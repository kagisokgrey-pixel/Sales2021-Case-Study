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KPI Summary" sheetId="3" state="visible" r:id="rId5"/>
    <sheet name="Daily Metrics" sheetId="4" state="visible" r:id="rId6"/>
    <sheet name="Pivot - Monthly" sheetId="5" state="visible" r:id="rId7"/>
    <sheet name="Pivot - Yearly" sheetId="6" state="visible" r:id="rId8"/>
    <sheet name="Pivot - Day of Week" sheetId="7" state="visible" r:id="rId9"/>
    <sheet name="Pivot - Promo vs Non-Promo" sheetId="8" state="visible" r:id="rId10"/>
    <sheet name="Promo Elasticit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<sst xmlns="http://schemas.openxmlformats.org/spreadsheetml/2006/main" count="1218" uniqueCount="153">
  <si>
    <t xml:space="preserve">SALES CASE STUDY — EXECUTIVE DASHBOARD</t>
  </si>
  <si>
    <t xml:space="preserve">Simulated daily trading data · single product · 30 Dec 2013 – 16 Nov 2016</t>
  </si>
  <si>
    <t xml:space="preserve">Total Sales</t>
  </si>
  <si>
    <t xml:space="preserve">Total Quantity Sold</t>
  </si>
  <si>
    <t xml:space="preserve">Overall Gross Profit %</t>
  </si>
  <si>
    <t xml:space="preserve">Avg Unit Price (weighted)</t>
  </si>
  <si>
    <t xml:space="preserve">Avg Daily GP %</t>
  </si>
  <si>
    <t xml:space="preserve">Key Insights</t>
  </si>
  <si>
    <t xml:space="preserve">1. Over the full 2013–2016 period the product is marginally loss-making overall (-3.8% gross profit), but the trend has turned: 2016 is the first year with a positive average gross profit margin (+2.6%), and 4 of the last 5 months in the dataset (Jul, Sep, Oct, Nov 2016) posted positive margins.</t>
  </si>
  <si>
    <t xml:space="preserve">2. Demand for this product is highly price elastic. Across three tested promotional periods, PED ranged from -5.3 to -14.3 — a 10-15% price cut drove 50-170% more units sold per day.</t>
  </si>
  <si>
    <t xml:space="preserve">3. That elasticity is a double-edged sword: every tested promo period had a negative gross profit % even though baseline (non-promo) margin was positive, meaning current promo discount depth is too aggressive relative to cost — volume gains do not offset the margin given away.</t>
  </si>
  <si>
    <t xml:space="preserve">4. Weekends (especially Saturday) generate the highest average daily sales (~R279k) and volumes, but carry the thinnest margins of the week — weekend demand is more price-sensitive/promotion-driven.</t>
  </si>
  <si>
    <t xml:space="preserve">5. Price and quantity are strongly negatively correlated (r ≈ -0.62) across the whole dataset, and price correlates positively with gross profit % (r ≈ +0.64) — confirming margin is protected at higher price points and volume is chased at lower ones.</t>
  </si>
  <si>
    <t xml:space="preserve">date</t>
  </si>
  <si>
    <t xml:space="preserve">sales</t>
  </si>
  <si>
    <t xml:space="preserve">cost_of_sales</t>
  </si>
  <si>
    <t xml:space="preserve">quantity_sold</t>
  </si>
  <si>
    <t xml:space="preserve">price_per_unit</t>
  </si>
  <si>
    <t xml:space="preserve">cost_per_unit</t>
  </si>
  <si>
    <t xml:space="preserve">gross_profit</t>
  </si>
  <si>
    <t xml:space="preserve">gross_profit_pct</t>
  </si>
  <si>
    <t xml:space="preserve">gross_profit_pct_per_unit</t>
  </si>
  <si>
    <t xml:space="preserve">year</t>
  </si>
  <si>
    <t xml:space="preserve">month</t>
  </si>
  <si>
    <t xml:space="preserve">week_of_year</t>
  </si>
  <si>
    <t xml:space="preserve">day_of_week</t>
  </si>
  <si>
    <t xml:space="preserve">is_weekend</t>
  </si>
  <si>
    <t xml:space="preserve">price_rolling_avg</t>
  </si>
  <si>
    <t xml:space="preserve">qty_rolling_avg</t>
  </si>
  <si>
    <t xml:space="preserve">price_drop_pct</t>
  </si>
  <si>
    <t xml:space="preserve">qty_spike_pct</t>
  </si>
  <si>
    <t xml:space="preserve">promo_candidate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</si>
  <si>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</si>
  <si>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</si>
  <si>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</si>
  <si>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</si>
  <si>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</si>
  <si>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</si>
  <si>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</si>
  <si>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Sales Case Study — KPI Summary</t>
  </si>
  <si>
    <t xml:space="preserve">Metrics 1–4: daily price per unit, average unit price, daily % gross profit, daily % gross profit per unit</t>
  </si>
  <si>
    <t xml:space="preserve">Metric</t>
  </si>
  <si>
    <t xml:space="preserve">Value</t>
  </si>
  <si>
    <t xml:space="preserve">How it is calculated</t>
  </si>
  <si>
    <t xml:space="preserve">Date range</t>
  </si>
  <si>
    <t xml:space="preserve">Min / max of Raw Data date column</t>
  </si>
  <si>
    <t xml:space="preserve">Total days in dataset</t>
  </si>
  <si>
    <t xml:space="preserve">COUNT of daily records</t>
  </si>
  <si>
    <t xml:space="preserve">Total Sales (R)</t>
  </si>
  <si>
    <t xml:space="preserve">SUM of daily Sales</t>
  </si>
  <si>
    <t xml:space="preserve">Total Cost of Sales (R)</t>
  </si>
  <si>
    <t xml:space="preserve">SUM of daily Cost of Sales</t>
  </si>
  <si>
    <t xml:space="preserve">Total Quantity Sold (units)</t>
  </si>
  <si>
    <t xml:space="preserve">SUM of daily Quantity Sold</t>
  </si>
  <si>
    <t xml:space="preserve">Total Gross Profit (R)</t>
  </si>
  <si>
    <t xml:space="preserve">Total Sales − Total Cost of Sales</t>
  </si>
  <si>
    <t xml:space="preserve">Total Gross Profit / Total Sales</t>
  </si>
  <si>
    <t xml:space="preserve">KPI 1 — Daily Sales Price per Unit</t>
  </si>
  <si>
    <t xml:space="preserve">Average of daily Sales÷Quantity (full series in 'Daily Metrics' sheet, Raw Data col E)</t>
  </si>
  <si>
    <t xml:space="preserve">KPI 2 — Average Unit Sales Price of Product (simple mean of daily price)</t>
  </si>
  <si>
    <t xml:space="preserve">AVERAGE of the daily price-per-unit column</t>
  </si>
  <si>
    <t xml:space="preserve">KPI 2b — Average Unit Sales Price (volume-weighted)</t>
  </si>
  <si>
    <t xml:space="preserve">Total Sales / Total Quantity Sold (weights by daily volume)</t>
  </si>
  <si>
    <t xml:space="preserve">KPI 3 — Average Daily % Gross Profit</t>
  </si>
  <si>
    <t xml:space="preserve">Average of daily (Sales−Cost)/Sales (full series in 'Daily Metrics' sheet)</t>
  </si>
  <si>
    <t xml:space="preserve">KPI 4 — Average Daily % Gross Profit per Unit</t>
  </si>
  <si>
    <t xml:space="preserve">Average of daily (Price/unit−Cost/unit)/Price per unit — mathematically identical to KPI 3</t>
  </si>
  <si>
    <t xml:space="preserve">Note: Gross Profit % and Gross Profit % per Unit are mathematically identical ((Sales−Cost)/Sales = (Price−Cost)/Price), confirmed to &lt;1e-10 difference across all 1,053 days.</t>
  </si>
  <si>
    <t xml:space="preserve">Daily Metrics (1–4)</t>
  </si>
  <si>
    <t xml:space="preserve">Pulled directly from Raw Data via formulas — recalculates if Raw Data changes</t>
  </si>
  <si>
    <t xml:space="preserve">Date</t>
  </si>
  <si>
    <t xml:space="preserve">Daily Sales Price per Unit (R)</t>
  </si>
  <si>
    <t xml:space="preserve">Daily Cost per Unit (R)</t>
  </si>
  <si>
    <t xml:space="preserve">Daily % Gross Profit</t>
  </si>
  <si>
    <t xml:space="preserve">Daily % Gross Profit per Unit</t>
  </si>
  <si>
    <t xml:space="preserve">On Promotion?</t>
  </si>
  <si>
    <t xml:space="preserve">Monthly Sales Pivot</t>
  </si>
  <si>
    <t xml:space="preserve">Built with SUMIFS / AVERAGEIFS against Raw Data (year, month columns)</t>
  </si>
  <si>
    <t xml:space="preserve">Year-Month</t>
  </si>
  <si>
    <t xml:space="preserve">Total Quantity</t>
  </si>
  <si>
    <t xml:space="preserve">Gross Profit %</t>
  </si>
  <si>
    <t xml:space="preserve">Avg Price per Unit (R)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</si>
  <si>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</si>
  <si>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</si>
  <si>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</si>
  <si>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</si>
  <si>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</si>
  <si>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</si>
  <si>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</si>
  <si>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</si>
  <si>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</si>
  <si>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</si>
  <si>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</si>
  <si>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</si>
  <si>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</si>
  <si>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</si>
  <si>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</si>
  <si>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</si>
  <si>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</si>
  <si>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</si>
  <si>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</si>
  <si>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</si>
  <si>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</si>
  <si>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</si>
  <si>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</si>
  <si>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</si>
  <si>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</si>
  <si>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</si>
  <si>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</si>
  <si>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</si>
  <si>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</si>
  <si>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</si>
  <si>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</si>
  <si>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</si>
  <si>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</si>
  <si>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</si>
  <si>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</si>
  <si>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</si>
  <si>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Yearly Sales Pivot</t>
  </si>
  <si>
    <t xml:space="preserve">Note: 2013 and 2016 are partial years (2 days and 11 months of data respectively)</t>
  </si>
  <si>
    <t xml:space="preserve">Year</t>
  </si>
  <si>
    <t xml:space="preserve">Day-of-Week Pivot</t>
  </si>
  <si>
    <t xml:space="preserve">Built with AVERAGEIFS against Raw Data day_of_week column</t>
  </si>
  <si>
    <t xml:space="preserve">Day of Week</t>
  </si>
  <si>
    <t xml:space="preserve">Avg Daily Sales (R)</t>
  </si>
  <si>
    <t xml:space="preserve">Avg Daily Quantity</t>
  </si>
  <si>
    <t xml:space="preserve">Avg Gross Profit %</t>
  </si>
  <si>
    <t xml:space="preserve">Promotional vs Non-Promotional Days</t>
  </si>
  <si>
    <t xml:space="preserve">promo_candidate flag: days with a notable price drop + quantity spike vs the trailing rolling average</t>
  </si>
  <si>
    <t xml:space="preserve">Segment</t>
  </si>
  <si>
    <t xml:space="preserve"># Days</t>
  </si>
  <si>
    <t xml:space="preserve">Non-Promotional</t>
  </si>
  <si>
    <t xml:space="preserve">Promotional</t>
  </si>
  <si>
    <t xml:space="preserve">Metric 5 — Price Elasticity of Demand During Promotions</t>
  </si>
  <si>
    <t xml:space="preserve">Three promotional periods (longest contiguous "promo_candidate" runs) analysed against a 30-day pre-promotion, non-promotional baseline. PED = %Δ Quantity / %Δ Price.</t>
  </si>
  <si>
    <t xml:space="preserve">Period</t>
  </si>
  <si>
    <t xml:space="preserve">Promo Start</t>
  </si>
  <si>
    <t xml:space="preserve">Promo End</t>
  </si>
  <si>
    <t xml:space="preserve">Baseline Window (30 days pre-promo, excl. promo days)</t>
  </si>
  <si>
    <t xml:space="preserve">Baseline Avg Price (R)</t>
  </si>
  <si>
    <t xml:space="preserve">Promo Avg Price (R)</t>
  </si>
  <si>
    <t xml:space="preserve">% Δ Price</t>
  </si>
  <si>
    <t xml:space="preserve">Baseline Avg Qty</t>
  </si>
  <si>
    <t xml:space="preserve">Promo Avg Qty</t>
  </si>
  <si>
    <t xml:space="preserve">% Δ Qty</t>
  </si>
  <si>
    <t xml:space="preserve">Price Elasticity of Demand</t>
  </si>
  <si>
    <t xml:space="preserve">Baseline GP %</t>
  </si>
  <si>
    <t xml:space="preserve">Promo GP %</t>
  </si>
  <si>
    <t xml:space="preserve">Period 1</t>
  </si>
  <si>
    <t xml:space="preserve">Period 2</t>
  </si>
  <si>
    <t xml:space="preserve">Period 3</t>
  </si>
  <si>
    <t xml:space="preserve">Interpretation</t>
  </si>
  <si>
    <t xml:space="preserve">All three periods show highly elastic demand (|PED| well above 1): a ~10–15% price cut during promotion drives a 50–170% jump in average daily quantity sold. However, promotional gross profit % turns negative in every period (baseline was positive, +2% to +5%), while promo-period margin falls to roughly -6% to -13%. In other words, the discount depth is currently cutting deeper than the volume uplift can compensate for — the product sells far better by units at a promotional price, but the store loses money doing it under this pricing structure. A shallower discount (e.g. 5-8% instead of 10-15%) would likely still trigger a large volume response given how elastic demand is, while keeping gross margin closer to breakeven or positive.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</si>
</sst>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\R0.00"/>
    <numFmt numFmtId="168" formatCode="0.00%"/>
    <numFmt numFmtId="169" formatCode="0%"/>
    <numFmt numFmtId="170" formatCode="yyyy\-mm\-dd"/>
    <numFmt numFmtId="171" formatCode="0.00"/>
    <numFmt numFmtId="172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  <font>
      <i val="true"/>
      <sz val="8"/>
      <name val="Arial"/>
      <family val="0"/>
      <charset val="1"/>
    </font>
    <font>
      <sz val="8"/>
      <color rgb="FFBFBFBF"/>
      <name val="Arial"/>
      <family val="0"/>
      <charset val="1"/>
    </font>
    <font>
      <b val="true"/>
      <sz val="12"/>
      <color rgb="FF2E74B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5F7FA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5F7FA"/>
      </patternFill>
    </fill>
    <fill>
      <patternFill patternType="solid">
        <fgColor rgb="FFFFFFFF"/>
        <bgColor rgb="FFF5F7F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7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0" fontId="9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7FA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ED7D31"/>
      <rgbColor rgb="FF595959"/>
      <rgbColor rgb="FFB3B3B3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(R) vs Gross Profit (R)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- Monthly'!B4</c:f>
              <c:strCache>
                <c:ptCount val="1"/>
                <c:pt idx="0">
                  <c:v>Total Sales (R)</c:v>
                </c:pt>
              </c:strCache>
            </c:strRef>
          </c:tx>
          <c:spPr>
            <a:solidFill>
              <a:srgbClr val="2e74b5"/>
            </a:solidFill>
            <a:ln w="20160">
              <a:solidFill>
                <a:srgbClr val="2e74b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Monthly'!$A$5:$A$40</c:f>
              <c:strCache>
                <c:ptCount val="36"/>
                <c:pt idx="0">
                  <c:v>2013-12</c:v>
                </c:pt>
                <c:pt idx="1">
                  <c:v>2014-01</c:v>
                </c:pt>
                <c:pt idx="2">
                  <c:v>2014-02</c:v>
                </c:pt>
                <c:pt idx="3">
                  <c:v>2014-03</c:v>
                </c:pt>
                <c:pt idx="4">
                  <c:v>2014-04</c:v>
                </c:pt>
                <c:pt idx="5">
                  <c:v>2014-05</c:v>
                </c:pt>
                <c:pt idx="6">
                  <c:v>2014-06</c:v>
                </c:pt>
                <c:pt idx="7">
                  <c:v>2014-07</c:v>
                </c:pt>
                <c:pt idx="8">
                  <c:v>2014-08</c:v>
                </c:pt>
                <c:pt idx="9">
                  <c:v>2014-09</c:v>
                </c:pt>
                <c:pt idx="10">
                  <c:v>2014-10</c:v>
                </c:pt>
                <c:pt idx="11">
                  <c:v>2014-11</c:v>
                </c:pt>
                <c:pt idx="12">
                  <c:v>2014-12</c:v>
                </c:pt>
                <c:pt idx="13">
                  <c:v>2015-01</c:v>
                </c:pt>
                <c:pt idx="14">
                  <c:v>2015-02</c:v>
                </c:pt>
                <c:pt idx="15">
                  <c:v>2015-03</c:v>
                </c:pt>
                <c:pt idx="16">
                  <c:v>2015-04</c:v>
                </c:pt>
                <c:pt idx="17">
                  <c:v>2015-05</c:v>
                </c:pt>
                <c:pt idx="18">
                  <c:v>2015-06</c:v>
                </c:pt>
                <c:pt idx="19">
                  <c:v>2015-07</c:v>
                </c:pt>
                <c:pt idx="20">
                  <c:v>2015-08</c:v>
                </c:pt>
                <c:pt idx="21">
                  <c:v>2015-09</c:v>
                </c:pt>
                <c:pt idx="22">
                  <c:v>2015-10</c:v>
                </c:pt>
                <c:pt idx="23">
                  <c:v>2015-11</c:v>
                </c:pt>
                <c:pt idx="24">
                  <c:v>2015-12</c:v>
                </c:pt>
                <c:pt idx="25">
                  <c:v>2016-01</c:v>
                </c:pt>
                <c:pt idx="26">
                  <c:v>2016-02</c:v>
                </c:pt>
                <c:pt idx="27">
                  <c:v>2016-03</c:v>
                </c:pt>
                <c:pt idx="28">
                  <c:v>2016-04</c:v>
                </c:pt>
                <c:pt idx="29">
                  <c:v>2016-05</c:v>
                </c:pt>
                <c:pt idx="30">
                  <c:v>2016-06</c:v>
                </c:pt>
                <c:pt idx="31">
                  <c:v>2016-07</c:v>
                </c:pt>
                <c:pt idx="32">
                  <c:v>2016-08</c:v>
                </c:pt>
                <c:pt idx="33">
                  <c:v>2016-09</c:v>
                </c:pt>
                <c:pt idx="34">
                  <c:v>2016-10</c:v>
                </c:pt>
                <c:pt idx="35">
                  <c:v>2016-11</c:v>
                </c:pt>
              </c:strCache>
            </c:strRef>
          </c:cat>
          <c:val>
            <c:numRef>
              <c:f>'Pivot - Monthly'!$B$5:$B$40</c:f>
              <c:numCache>
                <c:formatCode>#,##0</c:formatCode>
                <c:ptCount val="36"/>
                <c:pt idx="0">
                  <c:v>524283.452433713</c:v>
                </c:pt>
                <c:pt idx="1">
                  <c:v>4008180.48884024</c:v>
                </c:pt>
                <c:pt idx="2">
                  <c:v>5780487.17532102</c:v>
                </c:pt>
                <c:pt idx="3">
                  <c:v>8279517.17612846</c:v>
                </c:pt>
                <c:pt idx="4">
                  <c:v>6435743.27385559</c:v>
                </c:pt>
                <c:pt idx="5">
                  <c:v>7694906.15369268</c:v>
                </c:pt>
                <c:pt idx="6">
                  <c:v>6456943.64663631</c:v>
                </c:pt>
                <c:pt idx="7">
                  <c:v>4933710.80070922</c:v>
                </c:pt>
                <c:pt idx="8">
                  <c:v>10010378.2877578</c:v>
                </c:pt>
                <c:pt idx="9">
                  <c:v>7643452.6856599</c:v>
                </c:pt>
                <c:pt idx="10">
                  <c:v>5924683.38116296</c:v>
                </c:pt>
                <c:pt idx="11">
                  <c:v>2631353.34311266</c:v>
                </c:pt>
                <c:pt idx="12">
                  <c:v>5615619.29882374</c:v>
                </c:pt>
                <c:pt idx="13">
                  <c:v>3696191.50790871</c:v>
                </c:pt>
                <c:pt idx="14">
                  <c:v>4901504.89312981</c:v>
                </c:pt>
                <c:pt idx="15">
                  <c:v>5269353.15269244</c:v>
                </c:pt>
                <c:pt idx="16">
                  <c:v>5963993.96776295</c:v>
                </c:pt>
                <c:pt idx="17">
                  <c:v>8384367.24115292</c:v>
                </c:pt>
                <c:pt idx="18">
                  <c:v>5332108.32336354</c:v>
                </c:pt>
                <c:pt idx="19">
                  <c:v>3677692.39405612</c:v>
                </c:pt>
                <c:pt idx="20">
                  <c:v>3934668.408063</c:v>
                </c:pt>
                <c:pt idx="21">
                  <c:v>4669899.85861668</c:v>
                </c:pt>
                <c:pt idx="22">
                  <c:v>4828975.07950143</c:v>
                </c:pt>
                <c:pt idx="23">
                  <c:v>6538148.88332874</c:v>
                </c:pt>
                <c:pt idx="24">
                  <c:v>6820689.67764691</c:v>
                </c:pt>
                <c:pt idx="25">
                  <c:v>5403090.50925758</c:v>
                </c:pt>
                <c:pt idx="26">
                  <c:v>4891882.308156</c:v>
                </c:pt>
                <c:pt idx="27">
                  <c:v>2951856.0057579</c:v>
                </c:pt>
                <c:pt idx="28">
                  <c:v>6656880.17616495</c:v>
                </c:pt>
                <c:pt idx="29">
                  <c:v>5170231.85490041</c:v>
                </c:pt>
                <c:pt idx="30">
                  <c:v>6771134.9382742</c:v>
                </c:pt>
                <c:pt idx="31">
                  <c:v>3324825.43161598</c:v>
                </c:pt>
                <c:pt idx="32">
                  <c:v>4343329.4138205</c:v>
                </c:pt>
                <c:pt idx="33">
                  <c:v>3259542.50174151</c:v>
                </c:pt>
                <c:pt idx="34">
                  <c:v>2329172.70277017</c:v>
                </c:pt>
                <c:pt idx="35">
                  <c:v>1851029.86266632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- Monthly'!D4</c:f>
              <c:strCache>
                <c:ptCount val="1"/>
                <c:pt idx="0">
                  <c:v>Total Gross Profit (R)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Monthly'!$A$5:$A$40</c:f>
              <c:strCache>
                <c:ptCount val="36"/>
                <c:pt idx="0">
                  <c:v>2013-12</c:v>
                </c:pt>
                <c:pt idx="1">
                  <c:v>2014-01</c:v>
                </c:pt>
                <c:pt idx="2">
                  <c:v>2014-02</c:v>
                </c:pt>
                <c:pt idx="3">
                  <c:v>2014-03</c:v>
                </c:pt>
                <c:pt idx="4">
                  <c:v>2014-04</c:v>
                </c:pt>
                <c:pt idx="5">
                  <c:v>2014-05</c:v>
                </c:pt>
                <c:pt idx="6">
                  <c:v>2014-06</c:v>
                </c:pt>
                <c:pt idx="7">
                  <c:v>2014-07</c:v>
                </c:pt>
                <c:pt idx="8">
                  <c:v>2014-08</c:v>
                </c:pt>
                <c:pt idx="9">
                  <c:v>2014-09</c:v>
                </c:pt>
                <c:pt idx="10">
                  <c:v>2014-10</c:v>
                </c:pt>
                <c:pt idx="11">
                  <c:v>2014-11</c:v>
                </c:pt>
                <c:pt idx="12">
                  <c:v>2014-12</c:v>
                </c:pt>
                <c:pt idx="13">
                  <c:v>2015-01</c:v>
                </c:pt>
                <c:pt idx="14">
                  <c:v>2015-02</c:v>
                </c:pt>
                <c:pt idx="15">
                  <c:v>2015-03</c:v>
                </c:pt>
                <c:pt idx="16">
                  <c:v>2015-04</c:v>
                </c:pt>
                <c:pt idx="17">
                  <c:v>2015-05</c:v>
                </c:pt>
                <c:pt idx="18">
                  <c:v>2015-06</c:v>
                </c:pt>
                <c:pt idx="19">
                  <c:v>2015-07</c:v>
                </c:pt>
                <c:pt idx="20">
                  <c:v>2015-08</c:v>
                </c:pt>
                <c:pt idx="21">
                  <c:v>2015-09</c:v>
                </c:pt>
                <c:pt idx="22">
                  <c:v>2015-10</c:v>
                </c:pt>
                <c:pt idx="23">
                  <c:v>2015-11</c:v>
                </c:pt>
                <c:pt idx="24">
                  <c:v>2015-12</c:v>
                </c:pt>
                <c:pt idx="25">
                  <c:v>2016-01</c:v>
                </c:pt>
                <c:pt idx="26">
                  <c:v>2016-02</c:v>
                </c:pt>
                <c:pt idx="27">
                  <c:v>2016-03</c:v>
                </c:pt>
                <c:pt idx="28">
                  <c:v>2016-04</c:v>
                </c:pt>
                <c:pt idx="29">
                  <c:v>2016-05</c:v>
                </c:pt>
                <c:pt idx="30">
                  <c:v>2016-06</c:v>
                </c:pt>
                <c:pt idx="31">
                  <c:v>2016-07</c:v>
                </c:pt>
                <c:pt idx="32">
                  <c:v>2016-08</c:v>
                </c:pt>
                <c:pt idx="33">
                  <c:v>2016-09</c:v>
                </c:pt>
                <c:pt idx="34">
                  <c:v>2016-10</c:v>
                </c:pt>
                <c:pt idx="35">
                  <c:v>2016-11</c:v>
                </c:pt>
              </c:strCache>
            </c:strRef>
          </c:cat>
          <c:val>
            <c:numRef>
              <c:f>'Pivot - Monthly'!$D$5:$D$40</c:f>
              <c:numCache>
                <c:formatCode>#,##0</c:formatCode>
                <c:ptCount val="36"/>
                <c:pt idx="0">
                  <c:v>-12782.289063019</c:v>
                </c:pt>
                <c:pt idx="1">
                  <c:v>12460.6454033405</c:v>
                </c:pt>
                <c:pt idx="2">
                  <c:v>-132991.385551814</c:v>
                </c:pt>
                <c:pt idx="3">
                  <c:v>-136136.843264401</c:v>
                </c:pt>
                <c:pt idx="4">
                  <c:v>-43900.3512910212</c:v>
                </c:pt>
                <c:pt idx="5">
                  <c:v>-322334.263607428</c:v>
                </c:pt>
                <c:pt idx="6">
                  <c:v>-188900.01037013</c:v>
                </c:pt>
                <c:pt idx="7">
                  <c:v>-71184.1012228084</c:v>
                </c:pt>
                <c:pt idx="8">
                  <c:v>-514054.136966254</c:v>
                </c:pt>
                <c:pt idx="9">
                  <c:v>-550107.353529807</c:v>
                </c:pt>
                <c:pt idx="10">
                  <c:v>-113777.936146794</c:v>
                </c:pt>
                <c:pt idx="11">
                  <c:v>114228.507626264</c:v>
                </c:pt>
                <c:pt idx="12">
                  <c:v>-319176.760451671</c:v>
                </c:pt>
                <c:pt idx="13">
                  <c:v>-155068.95857229</c:v>
                </c:pt>
                <c:pt idx="14">
                  <c:v>-250251.374758963</c:v>
                </c:pt>
                <c:pt idx="15">
                  <c:v>-330277.567393034</c:v>
                </c:pt>
                <c:pt idx="16">
                  <c:v>-322679.696644054</c:v>
                </c:pt>
                <c:pt idx="17">
                  <c:v>-589334.657462986</c:v>
                </c:pt>
                <c:pt idx="18">
                  <c:v>-188817.045593255</c:v>
                </c:pt>
                <c:pt idx="19">
                  <c:v>-151496.170966253</c:v>
                </c:pt>
                <c:pt idx="20">
                  <c:v>-276258.926829441</c:v>
                </c:pt>
                <c:pt idx="21">
                  <c:v>-354594.836317785</c:v>
                </c:pt>
                <c:pt idx="22">
                  <c:v>-346518.9979818</c:v>
                </c:pt>
                <c:pt idx="23">
                  <c:v>-600684.571337532</c:v>
                </c:pt>
                <c:pt idx="24">
                  <c:v>-333627.642912018</c:v>
                </c:pt>
                <c:pt idx="25">
                  <c:v>-254252.206074277</c:v>
                </c:pt>
                <c:pt idx="26">
                  <c:v>2578.66444686786</c:v>
                </c:pt>
                <c:pt idx="27">
                  <c:v>34054.5144860054</c:v>
                </c:pt>
                <c:pt idx="28">
                  <c:v>-470851.729065941</c:v>
                </c:pt>
                <c:pt idx="29">
                  <c:v>-168162.777076727</c:v>
                </c:pt>
                <c:pt idx="30">
                  <c:v>-397214.692931718</c:v>
                </c:pt>
                <c:pt idx="31">
                  <c:v>56428.1590387552</c:v>
                </c:pt>
                <c:pt idx="32">
                  <c:v>-136458.241184861</c:v>
                </c:pt>
                <c:pt idx="33">
                  <c:v>49345.2141997427</c:v>
                </c:pt>
                <c:pt idx="34">
                  <c:v>219961.644972457</c:v>
                </c:pt>
                <c:pt idx="35">
                  <c:v>126556.984368645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169802"/>
        <c:axId val="47159477"/>
      </c:lineChart>
      <c:catAx>
        <c:axId val="631698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59477"/>
        <c:crosses val="autoZero"/>
        <c:auto val="1"/>
        <c:lblAlgn val="ctr"/>
        <c:lblOffset val="100"/>
        <c:noMultiLvlLbl val="0"/>
      </c:catAx>
      <c:valAx>
        <c:axId val="471594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698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Gross Profit %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- Monthly'!E4</c:f>
              <c:strCache>
                <c:ptCount val="1"/>
                <c:pt idx="0">
                  <c:v>Gross Profit %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Monthly'!$A$5:$A$40</c:f>
              <c:strCache>
                <c:ptCount val="36"/>
                <c:pt idx="0">
                  <c:v>2013-12</c:v>
                </c:pt>
                <c:pt idx="1">
                  <c:v>2014-01</c:v>
                </c:pt>
                <c:pt idx="2">
                  <c:v>2014-02</c:v>
                </c:pt>
                <c:pt idx="3">
                  <c:v>2014-03</c:v>
                </c:pt>
                <c:pt idx="4">
                  <c:v>2014-04</c:v>
                </c:pt>
                <c:pt idx="5">
                  <c:v>2014-05</c:v>
                </c:pt>
                <c:pt idx="6">
                  <c:v>2014-06</c:v>
                </c:pt>
                <c:pt idx="7">
                  <c:v>2014-07</c:v>
                </c:pt>
                <c:pt idx="8">
                  <c:v>2014-08</c:v>
                </c:pt>
                <c:pt idx="9">
                  <c:v>2014-09</c:v>
                </c:pt>
                <c:pt idx="10">
                  <c:v>2014-10</c:v>
                </c:pt>
                <c:pt idx="11">
                  <c:v>2014-11</c:v>
                </c:pt>
                <c:pt idx="12">
                  <c:v>2014-12</c:v>
                </c:pt>
                <c:pt idx="13">
                  <c:v>2015-01</c:v>
                </c:pt>
                <c:pt idx="14">
                  <c:v>2015-02</c:v>
                </c:pt>
                <c:pt idx="15">
                  <c:v>2015-03</c:v>
                </c:pt>
                <c:pt idx="16">
                  <c:v>2015-04</c:v>
                </c:pt>
                <c:pt idx="17">
                  <c:v>2015-05</c:v>
                </c:pt>
                <c:pt idx="18">
                  <c:v>2015-06</c:v>
                </c:pt>
                <c:pt idx="19">
                  <c:v>2015-07</c:v>
                </c:pt>
                <c:pt idx="20">
                  <c:v>2015-08</c:v>
                </c:pt>
                <c:pt idx="21">
                  <c:v>2015-09</c:v>
                </c:pt>
                <c:pt idx="22">
                  <c:v>2015-10</c:v>
                </c:pt>
                <c:pt idx="23">
                  <c:v>2015-11</c:v>
                </c:pt>
                <c:pt idx="24">
                  <c:v>2015-12</c:v>
                </c:pt>
                <c:pt idx="25">
                  <c:v>2016-01</c:v>
                </c:pt>
                <c:pt idx="26">
                  <c:v>2016-02</c:v>
                </c:pt>
                <c:pt idx="27">
                  <c:v>2016-03</c:v>
                </c:pt>
                <c:pt idx="28">
                  <c:v>2016-04</c:v>
                </c:pt>
                <c:pt idx="29">
                  <c:v>2016-05</c:v>
                </c:pt>
                <c:pt idx="30">
                  <c:v>2016-06</c:v>
                </c:pt>
                <c:pt idx="31">
                  <c:v>2016-07</c:v>
                </c:pt>
                <c:pt idx="32">
                  <c:v>2016-08</c:v>
                </c:pt>
                <c:pt idx="33">
                  <c:v>2016-09</c:v>
                </c:pt>
                <c:pt idx="34">
                  <c:v>2016-10</c:v>
                </c:pt>
                <c:pt idx="35">
                  <c:v>2016-11</c:v>
                </c:pt>
              </c:strCache>
            </c:strRef>
          </c:cat>
          <c:val>
            <c:numRef>
              <c:f>'Pivot - Monthly'!$E$5:$E$40</c:f>
              <c:numCache>
                <c:formatCode>0.00%</c:formatCode>
                <c:ptCount val="36"/>
                <c:pt idx="0">
                  <c:v>-0.0243804930399461</c:v>
                </c:pt>
                <c:pt idx="1">
                  <c:v>0.00310880346781639</c:v>
                </c:pt>
                <c:pt idx="2">
                  <c:v>-0.0230069510610804</c:v>
                </c:pt>
                <c:pt idx="3">
                  <c:v>-0.0164426065395349</c:v>
                </c:pt>
                <c:pt idx="4">
                  <c:v>-0.006821333515487</c:v>
                </c:pt>
                <c:pt idx="5">
                  <c:v>-0.041889304062889</c:v>
                </c:pt>
                <c:pt idx="6">
                  <c:v>-0.0292553289463097</c:v>
                </c:pt>
                <c:pt idx="7">
                  <c:v>-0.0144281057601868</c:v>
                </c:pt>
                <c:pt idx="8">
                  <c:v>-0.0513521189898404</c:v>
                </c:pt>
                <c:pt idx="9">
                  <c:v>-0.0719710549869536</c:v>
                </c:pt>
                <c:pt idx="10">
                  <c:v>-0.0192040534197222</c:v>
                </c:pt>
                <c:pt idx="11">
                  <c:v>0.0434105544681968</c:v>
                </c:pt>
                <c:pt idx="12">
                  <c:v>-0.0568373216678927</c:v>
                </c:pt>
                <c:pt idx="13">
                  <c:v>-0.0419537132317116</c:v>
                </c:pt>
                <c:pt idx="14">
                  <c:v>-0.0510560287534811</c:v>
                </c:pt>
                <c:pt idx="15">
                  <c:v>-0.0626789584646218</c:v>
                </c:pt>
                <c:pt idx="16">
                  <c:v>-0.0541046316257575</c:v>
                </c:pt>
                <c:pt idx="17">
                  <c:v>-0.0702896999275461</c:v>
                </c:pt>
                <c:pt idx="18">
                  <c:v>-0.035411329654711</c:v>
                </c:pt>
                <c:pt idx="19">
                  <c:v>-0.0411932686950928</c:v>
                </c:pt>
                <c:pt idx="20">
                  <c:v>-0.0702114887911078</c:v>
                </c:pt>
                <c:pt idx="21">
                  <c:v>-0.0759320000542417</c:v>
                </c:pt>
                <c:pt idx="22">
                  <c:v>-0.0717582907919202</c:v>
                </c:pt>
                <c:pt idx="23">
                  <c:v>-0.0918737982350301</c:v>
                </c:pt>
                <c:pt idx="24">
                  <c:v>-0.0489140627531256</c:v>
                </c:pt>
                <c:pt idx="25">
                  <c:v>-0.0470568104751614</c:v>
                </c:pt>
                <c:pt idx="26">
                  <c:v>0.000527131333999711</c:v>
                </c:pt>
                <c:pt idx="27">
                  <c:v>0.0115366448836185</c:v>
                </c:pt>
                <c:pt idx="28">
                  <c:v>-0.0707315914671007</c:v>
                </c:pt>
                <c:pt idx="29">
                  <c:v>-0.0325251907063587</c:v>
                </c:pt>
                <c:pt idx="30">
                  <c:v>-0.0586629415235016</c:v>
                </c:pt>
                <c:pt idx="31">
                  <c:v>0.0169717659466197</c:v>
                </c:pt>
                <c:pt idx="32">
                  <c:v>-0.0314178889472785</c:v>
                </c:pt>
                <c:pt idx="33">
                  <c:v>0.0151386932900487</c:v>
                </c:pt>
                <c:pt idx="34">
                  <c:v>0.0944376708136965</c:v>
                </c:pt>
                <c:pt idx="35">
                  <c:v>0.0683711197324202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811951"/>
        <c:axId val="84638717"/>
      </c:lineChart>
      <c:catAx>
        <c:axId val="518119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38717"/>
        <c:crosses val="autoZero"/>
        <c:auto val="1"/>
        <c:lblAlgn val="ctr"/>
        <c:lblOffset val="100"/>
        <c:noMultiLvlLbl val="0"/>
      </c:catAx>
      <c:valAx>
        <c:axId val="846387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119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Year (R)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Yearly'!B4</c:f>
              <c:strCache>
                <c:ptCount val="1"/>
                <c:pt idx="0">
                  <c:v>Total Sales (R)</c:v>
                </c:pt>
              </c:strCache>
            </c:strRef>
          </c:tx>
          <c:spPr>
            <a:solidFill>
              <a:srgbClr val="2e74b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Yearly'!$A$5:$A$8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'Pivot - Yearly'!$B$5:$B$8</c:f>
              <c:numCache>
                <c:formatCode>#,##0</c:formatCode>
                <c:ptCount val="4"/>
                <c:pt idx="0">
                  <c:v>524283.452433713</c:v>
                </c:pt>
                <c:pt idx="1">
                  <c:v>75414975.7117006</c:v>
                </c:pt>
                <c:pt idx="2">
                  <c:v>64017593.3872232</c:v>
                </c:pt>
                <c:pt idx="3">
                  <c:v>46952975.7051255</c:v>
                </c:pt>
              </c:numCache>
            </c:numRef>
          </c:val>
        </c:ser>
        <c:gapWidth val="150"/>
        <c:overlap val="0"/>
        <c:axId val="96646646"/>
        <c:axId val="91829745"/>
      </c:barChart>
      <c:catAx>
        <c:axId val="966466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29745"/>
        <c:crosses val="autoZero"/>
        <c:auto val="1"/>
        <c:lblAlgn val="ctr"/>
        <c:lblOffset val="100"/>
        <c:noMultiLvlLbl val="0"/>
      </c:catAx>
      <c:valAx>
        <c:axId val="918297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466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Daily Sales by Day of Week (R)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Day of Week'!B4</c:f>
              <c:strCache>
                <c:ptCount val="1"/>
                <c:pt idx="0">
                  <c:v>Avg Daily Sales (R)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Day of Week'!$A$5:$A$11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'Pivot - Day of Week'!$B$5:$B$11</c:f>
              <c:numCache>
                <c:formatCode>#,##0</c:formatCode>
                <c:ptCount val="7"/>
                <c:pt idx="0">
                  <c:v>156313.034969048</c:v>
                </c:pt>
                <c:pt idx="1">
                  <c:v>137314.858059048</c:v>
                </c:pt>
                <c:pt idx="2">
                  <c:v>145890.659562444</c:v>
                </c:pt>
                <c:pt idx="3">
                  <c:v>141084.758278552</c:v>
                </c:pt>
                <c:pt idx="4">
                  <c:v>245313.970229885</c:v>
                </c:pt>
                <c:pt idx="5">
                  <c:v>279047.260026128</c:v>
                </c:pt>
                <c:pt idx="6">
                  <c:v>138170.856900844</c:v>
                </c:pt>
              </c:numCache>
            </c:numRef>
          </c:val>
        </c:ser>
        <c:gapWidth val="150"/>
        <c:overlap val="0"/>
        <c:axId val="64473950"/>
        <c:axId val="25968058"/>
      </c:barChart>
      <c:catAx>
        <c:axId val="644739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68058"/>
        <c:crosses val="autoZero"/>
        <c:auto val="1"/>
        <c:lblAlgn val="ctr"/>
        <c:lblOffset val="100"/>
        <c:noMultiLvlLbl val="0"/>
      </c:catAx>
      <c:valAx>
        <c:axId val="259680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739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Promo vs Non-Promo: Avg Price (R)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Promo vs Non-Promo'!C4</c:f>
              <c:strCache>
                <c:ptCount val="1"/>
                <c:pt idx="0">
                  <c:v>Avg Price per Unit (R)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Promo vs Non-Promo'!$A$5:$A$6</c:f>
              <c:strCache>
                <c:ptCount val="2"/>
                <c:pt idx="0">
                  <c:v>Non-Promotional</c:v>
                </c:pt>
                <c:pt idx="1">
                  <c:v>Promotional</c:v>
                </c:pt>
              </c:strCache>
            </c:strRef>
          </c:cat>
          <c:val>
            <c:numRef>
              <c:f>'Pivot - Promo vs Non-Promo'!$C$5:$C$6</c:f>
              <c:numCache>
                <c:formatCode>\R0.00</c:formatCode>
                <c:ptCount val="2"/>
                <c:pt idx="0">
                  <c:v>37.344364044423</c:v>
                </c:pt>
                <c:pt idx="1">
                  <c:v>35.1107497987166</c:v>
                </c:pt>
              </c:numCache>
            </c:numRef>
          </c:val>
        </c:ser>
        <c:gapWidth val="150"/>
        <c:overlap val="0"/>
        <c:axId val="28303342"/>
        <c:axId val="52638483"/>
      </c:barChart>
      <c:catAx>
        <c:axId val="283033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38483"/>
        <c:crosses val="autoZero"/>
        <c:auto val="1"/>
        <c:lblAlgn val="ctr"/>
        <c:lblOffset val="100"/>
        <c:noMultiLvlLbl val="0"/>
      </c:catAx>
      <c:valAx>
        <c:axId val="526384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R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033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(R) &amp; Gross Profit (R)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- Monthly'!B4</c:f>
              <c:strCache>
                <c:ptCount val="1"/>
                <c:pt idx="0">
                  <c:v>Total Sales (R)</c:v>
                </c:pt>
              </c:strCache>
            </c:strRef>
          </c:tx>
          <c:spPr>
            <a:solidFill>
              <a:srgbClr val="2e74b5"/>
            </a:solidFill>
            <a:ln w="20160">
              <a:solidFill>
                <a:srgbClr val="2e74b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Monthly'!$A$5:$A$40</c:f>
              <c:strCache>
                <c:ptCount val="36"/>
                <c:pt idx="0">
                  <c:v>2013-12</c:v>
                </c:pt>
                <c:pt idx="1">
                  <c:v>2014-01</c:v>
                </c:pt>
                <c:pt idx="2">
                  <c:v>2014-02</c:v>
                </c:pt>
                <c:pt idx="3">
                  <c:v>2014-03</c:v>
                </c:pt>
                <c:pt idx="4">
                  <c:v>2014-04</c:v>
                </c:pt>
                <c:pt idx="5">
                  <c:v>2014-05</c:v>
                </c:pt>
                <c:pt idx="6">
                  <c:v>2014-06</c:v>
                </c:pt>
                <c:pt idx="7">
                  <c:v>2014-07</c:v>
                </c:pt>
                <c:pt idx="8">
                  <c:v>2014-08</c:v>
                </c:pt>
                <c:pt idx="9">
                  <c:v>2014-09</c:v>
                </c:pt>
                <c:pt idx="10">
                  <c:v>2014-10</c:v>
                </c:pt>
                <c:pt idx="11">
                  <c:v>2014-11</c:v>
                </c:pt>
                <c:pt idx="12">
                  <c:v>2014-12</c:v>
                </c:pt>
                <c:pt idx="13">
                  <c:v>2015-01</c:v>
                </c:pt>
                <c:pt idx="14">
                  <c:v>2015-02</c:v>
                </c:pt>
                <c:pt idx="15">
                  <c:v>2015-03</c:v>
                </c:pt>
                <c:pt idx="16">
                  <c:v>2015-04</c:v>
                </c:pt>
                <c:pt idx="17">
                  <c:v>2015-05</c:v>
                </c:pt>
                <c:pt idx="18">
                  <c:v>2015-06</c:v>
                </c:pt>
                <c:pt idx="19">
                  <c:v>2015-07</c:v>
                </c:pt>
                <c:pt idx="20">
                  <c:v>2015-08</c:v>
                </c:pt>
                <c:pt idx="21">
                  <c:v>2015-09</c:v>
                </c:pt>
                <c:pt idx="22">
                  <c:v>2015-10</c:v>
                </c:pt>
                <c:pt idx="23">
                  <c:v>2015-11</c:v>
                </c:pt>
                <c:pt idx="24">
                  <c:v>2015-12</c:v>
                </c:pt>
                <c:pt idx="25">
                  <c:v>2016-01</c:v>
                </c:pt>
                <c:pt idx="26">
                  <c:v>2016-02</c:v>
                </c:pt>
                <c:pt idx="27">
                  <c:v>2016-03</c:v>
                </c:pt>
                <c:pt idx="28">
                  <c:v>2016-04</c:v>
                </c:pt>
                <c:pt idx="29">
                  <c:v>2016-05</c:v>
                </c:pt>
                <c:pt idx="30">
                  <c:v>2016-06</c:v>
                </c:pt>
                <c:pt idx="31">
                  <c:v>2016-07</c:v>
                </c:pt>
                <c:pt idx="32">
                  <c:v>2016-08</c:v>
                </c:pt>
                <c:pt idx="33">
                  <c:v>2016-09</c:v>
                </c:pt>
                <c:pt idx="34">
                  <c:v>2016-10</c:v>
                </c:pt>
                <c:pt idx="35">
                  <c:v>2016-11</c:v>
                </c:pt>
              </c:strCache>
            </c:strRef>
          </c:cat>
          <c:val>
            <c:numRef>
              <c:f>'Pivot - Monthly'!$B$5:$B$40</c:f>
              <c:numCache>
                <c:formatCode>#,##0</c:formatCode>
                <c:ptCount val="36"/>
                <c:pt idx="0">
                  <c:v>524283.452433713</c:v>
                </c:pt>
                <c:pt idx="1">
                  <c:v>4008180.48884024</c:v>
                </c:pt>
                <c:pt idx="2">
                  <c:v>5780487.17532102</c:v>
                </c:pt>
                <c:pt idx="3">
                  <c:v>8279517.17612846</c:v>
                </c:pt>
                <c:pt idx="4">
                  <c:v>6435743.27385559</c:v>
                </c:pt>
                <c:pt idx="5">
                  <c:v>7694906.15369268</c:v>
                </c:pt>
                <c:pt idx="6">
                  <c:v>6456943.64663631</c:v>
                </c:pt>
                <c:pt idx="7">
                  <c:v>4933710.80070922</c:v>
                </c:pt>
                <c:pt idx="8">
                  <c:v>10010378.2877578</c:v>
                </c:pt>
                <c:pt idx="9">
                  <c:v>7643452.6856599</c:v>
                </c:pt>
                <c:pt idx="10">
                  <c:v>5924683.38116296</c:v>
                </c:pt>
                <c:pt idx="11">
                  <c:v>2631353.34311266</c:v>
                </c:pt>
                <c:pt idx="12">
                  <c:v>5615619.29882374</c:v>
                </c:pt>
                <c:pt idx="13">
                  <c:v>3696191.50790871</c:v>
                </c:pt>
                <c:pt idx="14">
                  <c:v>4901504.89312981</c:v>
                </c:pt>
                <c:pt idx="15">
                  <c:v>5269353.15269244</c:v>
                </c:pt>
                <c:pt idx="16">
                  <c:v>5963993.96776295</c:v>
                </c:pt>
                <c:pt idx="17">
                  <c:v>8384367.24115292</c:v>
                </c:pt>
                <c:pt idx="18">
                  <c:v>5332108.32336354</c:v>
                </c:pt>
                <c:pt idx="19">
                  <c:v>3677692.39405612</c:v>
                </c:pt>
                <c:pt idx="20">
                  <c:v>3934668.408063</c:v>
                </c:pt>
                <c:pt idx="21">
                  <c:v>4669899.85861668</c:v>
                </c:pt>
                <c:pt idx="22">
                  <c:v>4828975.07950143</c:v>
                </c:pt>
                <c:pt idx="23">
                  <c:v>6538148.88332874</c:v>
                </c:pt>
                <c:pt idx="24">
                  <c:v>6820689.67764691</c:v>
                </c:pt>
                <c:pt idx="25">
                  <c:v>5403090.50925758</c:v>
                </c:pt>
                <c:pt idx="26">
                  <c:v>4891882.308156</c:v>
                </c:pt>
                <c:pt idx="27">
                  <c:v>2951856.0057579</c:v>
                </c:pt>
                <c:pt idx="28">
                  <c:v>6656880.17616495</c:v>
                </c:pt>
                <c:pt idx="29">
                  <c:v>5170231.85490041</c:v>
                </c:pt>
                <c:pt idx="30">
                  <c:v>6771134.9382742</c:v>
                </c:pt>
                <c:pt idx="31">
                  <c:v>3324825.43161598</c:v>
                </c:pt>
                <c:pt idx="32">
                  <c:v>4343329.4138205</c:v>
                </c:pt>
                <c:pt idx="33">
                  <c:v>3259542.50174151</c:v>
                </c:pt>
                <c:pt idx="34">
                  <c:v>2329172.70277017</c:v>
                </c:pt>
                <c:pt idx="35">
                  <c:v>1851029.86266632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- Monthly'!D4</c:f>
              <c:strCache>
                <c:ptCount val="1"/>
                <c:pt idx="0">
                  <c:v>Total Gross Profit (R)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Monthly'!$A$5:$A$40</c:f>
              <c:strCache>
                <c:ptCount val="36"/>
                <c:pt idx="0">
                  <c:v>2013-12</c:v>
                </c:pt>
                <c:pt idx="1">
                  <c:v>2014-01</c:v>
                </c:pt>
                <c:pt idx="2">
                  <c:v>2014-02</c:v>
                </c:pt>
                <c:pt idx="3">
                  <c:v>2014-03</c:v>
                </c:pt>
                <c:pt idx="4">
                  <c:v>2014-04</c:v>
                </c:pt>
                <c:pt idx="5">
                  <c:v>2014-05</c:v>
                </c:pt>
                <c:pt idx="6">
                  <c:v>2014-06</c:v>
                </c:pt>
                <c:pt idx="7">
                  <c:v>2014-07</c:v>
                </c:pt>
                <c:pt idx="8">
                  <c:v>2014-08</c:v>
                </c:pt>
                <c:pt idx="9">
                  <c:v>2014-09</c:v>
                </c:pt>
                <c:pt idx="10">
                  <c:v>2014-10</c:v>
                </c:pt>
                <c:pt idx="11">
                  <c:v>2014-11</c:v>
                </c:pt>
                <c:pt idx="12">
                  <c:v>2014-12</c:v>
                </c:pt>
                <c:pt idx="13">
                  <c:v>2015-01</c:v>
                </c:pt>
                <c:pt idx="14">
                  <c:v>2015-02</c:v>
                </c:pt>
                <c:pt idx="15">
                  <c:v>2015-03</c:v>
                </c:pt>
                <c:pt idx="16">
                  <c:v>2015-04</c:v>
                </c:pt>
                <c:pt idx="17">
                  <c:v>2015-05</c:v>
                </c:pt>
                <c:pt idx="18">
                  <c:v>2015-06</c:v>
                </c:pt>
                <c:pt idx="19">
                  <c:v>2015-07</c:v>
                </c:pt>
                <c:pt idx="20">
                  <c:v>2015-08</c:v>
                </c:pt>
                <c:pt idx="21">
                  <c:v>2015-09</c:v>
                </c:pt>
                <c:pt idx="22">
                  <c:v>2015-10</c:v>
                </c:pt>
                <c:pt idx="23">
                  <c:v>2015-11</c:v>
                </c:pt>
                <c:pt idx="24">
                  <c:v>2015-12</c:v>
                </c:pt>
                <c:pt idx="25">
                  <c:v>2016-01</c:v>
                </c:pt>
                <c:pt idx="26">
                  <c:v>2016-02</c:v>
                </c:pt>
                <c:pt idx="27">
                  <c:v>2016-03</c:v>
                </c:pt>
                <c:pt idx="28">
                  <c:v>2016-04</c:v>
                </c:pt>
                <c:pt idx="29">
                  <c:v>2016-05</c:v>
                </c:pt>
                <c:pt idx="30">
                  <c:v>2016-06</c:v>
                </c:pt>
                <c:pt idx="31">
                  <c:v>2016-07</c:v>
                </c:pt>
                <c:pt idx="32">
                  <c:v>2016-08</c:v>
                </c:pt>
                <c:pt idx="33">
                  <c:v>2016-09</c:v>
                </c:pt>
                <c:pt idx="34">
                  <c:v>2016-10</c:v>
                </c:pt>
                <c:pt idx="35">
                  <c:v>2016-11</c:v>
                </c:pt>
              </c:strCache>
            </c:strRef>
          </c:cat>
          <c:val>
            <c:numRef>
              <c:f>'Pivot - Monthly'!$D$5:$D$40</c:f>
              <c:numCache>
                <c:formatCode>#,##0</c:formatCode>
                <c:ptCount val="36"/>
                <c:pt idx="0">
                  <c:v>-12782.289063019</c:v>
                </c:pt>
                <c:pt idx="1">
                  <c:v>12460.6454033405</c:v>
                </c:pt>
                <c:pt idx="2">
                  <c:v>-132991.385551814</c:v>
                </c:pt>
                <c:pt idx="3">
                  <c:v>-136136.843264401</c:v>
                </c:pt>
                <c:pt idx="4">
                  <c:v>-43900.3512910212</c:v>
                </c:pt>
                <c:pt idx="5">
                  <c:v>-322334.263607428</c:v>
                </c:pt>
                <c:pt idx="6">
                  <c:v>-188900.01037013</c:v>
                </c:pt>
                <c:pt idx="7">
                  <c:v>-71184.1012228084</c:v>
                </c:pt>
                <c:pt idx="8">
                  <c:v>-514054.136966254</c:v>
                </c:pt>
                <c:pt idx="9">
                  <c:v>-550107.353529807</c:v>
                </c:pt>
                <c:pt idx="10">
                  <c:v>-113777.936146794</c:v>
                </c:pt>
                <c:pt idx="11">
                  <c:v>114228.507626264</c:v>
                </c:pt>
                <c:pt idx="12">
                  <c:v>-319176.760451671</c:v>
                </c:pt>
                <c:pt idx="13">
                  <c:v>-155068.95857229</c:v>
                </c:pt>
                <c:pt idx="14">
                  <c:v>-250251.374758963</c:v>
                </c:pt>
                <c:pt idx="15">
                  <c:v>-330277.567393034</c:v>
                </c:pt>
                <c:pt idx="16">
                  <c:v>-322679.696644054</c:v>
                </c:pt>
                <c:pt idx="17">
                  <c:v>-589334.657462986</c:v>
                </c:pt>
                <c:pt idx="18">
                  <c:v>-188817.045593255</c:v>
                </c:pt>
                <c:pt idx="19">
                  <c:v>-151496.170966253</c:v>
                </c:pt>
                <c:pt idx="20">
                  <c:v>-276258.926829441</c:v>
                </c:pt>
                <c:pt idx="21">
                  <c:v>-354594.836317785</c:v>
                </c:pt>
                <c:pt idx="22">
                  <c:v>-346518.9979818</c:v>
                </c:pt>
                <c:pt idx="23">
                  <c:v>-600684.571337532</c:v>
                </c:pt>
                <c:pt idx="24">
                  <c:v>-333627.642912018</c:v>
                </c:pt>
                <c:pt idx="25">
                  <c:v>-254252.206074277</c:v>
                </c:pt>
                <c:pt idx="26">
                  <c:v>2578.66444686786</c:v>
                </c:pt>
                <c:pt idx="27">
                  <c:v>34054.5144860054</c:v>
                </c:pt>
                <c:pt idx="28">
                  <c:v>-470851.729065941</c:v>
                </c:pt>
                <c:pt idx="29">
                  <c:v>-168162.777076727</c:v>
                </c:pt>
                <c:pt idx="30">
                  <c:v>-397214.692931718</c:v>
                </c:pt>
                <c:pt idx="31">
                  <c:v>56428.1590387552</c:v>
                </c:pt>
                <c:pt idx="32">
                  <c:v>-136458.241184861</c:v>
                </c:pt>
                <c:pt idx="33">
                  <c:v>49345.2141997427</c:v>
                </c:pt>
                <c:pt idx="34">
                  <c:v>219961.644972457</c:v>
                </c:pt>
                <c:pt idx="35">
                  <c:v>126556.984368645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116223"/>
        <c:axId val="58314467"/>
      </c:lineChart>
      <c:catAx>
        <c:axId val="531162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14467"/>
        <c:crosses val="autoZero"/>
        <c:auto val="1"/>
        <c:lblAlgn val="ctr"/>
        <c:lblOffset val="100"/>
        <c:noMultiLvlLbl val="0"/>
      </c:catAx>
      <c:valAx>
        <c:axId val="583144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Rand (R)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162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Gross Profit %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- Monthly'!E4</c:f>
              <c:strCache>
                <c:ptCount val="1"/>
                <c:pt idx="0">
                  <c:v>Gross Profit %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Monthly'!$A$5:$A$40</c:f>
              <c:strCache>
                <c:ptCount val="36"/>
                <c:pt idx="0">
                  <c:v>2013-12</c:v>
                </c:pt>
                <c:pt idx="1">
                  <c:v>2014-01</c:v>
                </c:pt>
                <c:pt idx="2">
                  <c:v>2014-02</c:v>
                </c:pt>
                <c:pt idx="3">
                  <c:v>2014-03</c:v>
                </c:pt>
                <c:pt idx="4">
                  <c:v>2014-04</c:v>
                </c:pt>
                <c:pt idx="5">
                  <c:v>2014-05</c:v>
                </c:pt>
                <c:pt idx="6">
                  <c:v>2014-06</c:v>
                </c:pt>
                <c:pt idx="7">
                  <c:v>2014-07</c:v>
                </c:pt>
                <c:pt idx="8">
                  <c:v>2014-08</c:v>
                </c:pt>
                <c:pt idx="9">
                  <c:v>2014-09</c:v>
                </c:pt>
                <c:pt idx="10">
                  <c:v>2014-10</c:v>
                </c:pt>
                <c:pt idx="11">
                  <c:v>2014-11</c:v>
                </c:pt>
                <c:pt idx="12">
                  <c:v>2014-12</c:v>
                </c:pt>
                <c:pt idx="13">
                  <c:v>2015-01</c:v>
                </c:pt>
                <c:pt idx="14">
                  <c:v>2015-02</c:v>
                </c:pt>
                <c:pt idx="15">
                  <c:v>2015-03</c:v>
                </c:pt>
                <c:pt idx="16">
                  <c:v>2015-04</c:v>
                </c:pt>
                <c:pt idx="17">
                  <c:v>2015-05</c:v>
                </c:pt>
                <c:pt idx="18">
                  <c:v>2015-06</c:v>
                </c:pt>
                <c:pt idx="19">
                  <c:v>2015-07</c:v>
                </c:pt>
                <c:pt idx="20">
                  <c:v>2015-08</c:v>
                </c:pt>
                <c:pt idx="21">
                  <c:v>2015-09</c:v>
                </c:pt>
                <c:pt idx="22">
                  <c:v>2015-10</c:v>
                </c:pt>
                <c:pt idx="23">
                  <c:v>2015-11</c:v>
                </c:pt>
                <c:pt idx="24">
                  <c:v>2015-12</c:v>
                </c:pt>
                <c:pt idx="25">
                  <c:v>2016-01</c:v>
                </c:pt>
                <c:pt idx="26">
                  <c:v>2016-02</c:v>
                </c:pt>
                <c:pt idx="27">
                  <c:v>2016-03</c:v>
                </c:pt>
                <c:pt idx="28">
                  <c:v>2016-04</c:v>
                </c:pt>
                <c:pt idx="29">
                  <c:v>2016-05</c:v>
                </c:pt>
                <c:pt idx="30">
                  <c:v>2016-06</c:v>
                </c:pt>
                <c:pt idx="31">
                  <c:v>2016-07</c:v>
                </c:pt>
                <c:pt idx="32">
                  <c:v>2016-08</c:v>
                </c:pt>
                <c:pt idx="33">
                  <c:v>2016-09</c:v>
                </c:pt>
                <c:pt idx="34">
                  <c:v>2016-10</c:v>
                </c:pt>
                <c:pt idx="35">
                  <c:v>2016-11</c:v>
                </c:pt>
              </c:strCache>
            </c:strRef>
          </c:cat>
          <c:val>
            <c:numRef>
              <c:f>'Pivot - Monthly'!$E$5:$E$40</c:f>
              <c:numCache>
                <c:formatCode>0.00%</c:formatCode>
                <c:ptCount val="36"/>
                <c:pt idx="0">
                  <c:v>-0.0243804930399461</c:v>
                </c:pt>
                <c:pt idx="1">
                  <c:v>0.00310880346781639</c:v>
                </c:pt>
                <c:pt idx="2">
                  <c:v>-0.0230069510610804</c:v>
                </c:pt>
                <c:pt idx="3">
                  <c:v>-0.0164426065395349</c:v>
                </c:pt>
                <c:pt idx="4">
                  <c:v>-0.006821333515487</c:v>
                </c:pt>
                <c:pt idx="5">
                  <c:v>-0.041889304062889</c:v>
                </c:pt>
                <c:pt idx="6">
                  <c:v>-0.0292553289463097</c:v>
                </c:pt>
                <c:pt idx="7">
                  <c:v>-0.0144281057601868</c:v>
                </c:pt>
                <c:pt idx="8">
                  <c:v>-0.0513521189898404</c:v>
                </c:pt>
                <c:pt idx="9">
                  <c:v>-0.0719710549869536</c:v>
                </c:pt>
                <c:pt idx="10">
                  <c:v>-0.0192040534197222</c:v>
                </c:pt>
                <c:pt idx="11">
                  <c:v>0.0434105544681968</c:v>
                </c:pt>
                <c:pt idx="12">
                  <c:v>-0.0568373216678927</c:v>
                </c:pt>
                <c:pt idx="13">
                  <c:v>-0.0419537132317116</c:v>
                </c:pt>
                <c:pt idx="14">
                  <c:v>-0.0510560287534811</c:v>
                </c:pt>
                <c:pt idx="15">
                  <c:v>-0.0626789584646218</c:v>
                </c:pt>
                <c:pt idx="16">
                  <c:v>-0.0541046316257575</c:v>
                </c:pt>
                <c:pt idx="17">
                  <c:v>-0.0702896999275461</c:v>
                </c:pt>
                <c:pt idx="18">
                  <c:v>-0.035411329654711</c:v>
                </c:pt>
                <c:pt idx="19">
                  <c:v>-0.0411932686950928</c:v>
                </c:pt>
                <c:pt idx="20">
                  <c:v>-0.0702114887911078</c:v>
                </c:pt>
                <c:pt idx="21">
                  <c:v>-0.0759320000542417</c:v>
                </c:pt>
                <c:pt idx="22">
                  <c:v>-0.0717582907919202</c:v>
                </c:pt>
                <c:pt idx="23">
                  <c:v>-0.0918737982350301</c:v>
                </c:pt>
                <c:pt idx="24">
                  <c:v>-0.0489140627531256</c:v>
                </c:pt>
                <c:pt idx="25">
                  <c:v>-0.0470568104751614</c:v>
                </c:pt>
                <c:pt idx="26">
                  <c:v>0.000527131333999711</c:v>
                </c:pt>
                <c:pt idx="27">
                  <c:v>0.0115366448836185</c:v>
                </c:pt>
                <c:pt idx="28">
                  <c:v>-0.0707315914671007</c:v>
                </c:pt>
                <c:pt idx="29">
                  <c:v>-0.0325251907063587</c:v>
                </c:pt>
                <c:pt idx="30">
                  <c:v>-0.0586629415235016</c:v>
                </c:pt>
                <c:pt idx="31">
                  <c:v>0.0169717659466197</c:v>
                </c:pt>
                <c:pt idx="32">
                  <c:v>-0.0314178889472785</c:v>
                </c:pt>
                <c:pt idx="33">
                  <c:v>0.0151386932900487</c:v>
                </c:pt>
                <c:pt idx="34">
                  <c:v>0.0944376708136965</c:v>
                </c:pt>
                <c:pt idx="35">
                  <c:v>0.0683711197324202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289395"/>
        <c:axId val="95575667"/>
      </c:lineChart>
      <c:catAx>
        <c:axId val="522893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75667"/>
        <c:crosses val="autoZero"/>
        <c:auto val="1"/>
        <c:lblAlgn val="ctr"/>
        <c:lblOffset val="100"/>
        <c:noMultiLvlLbl val="0"/>
      </c:catAx>
      <c:valAx>
        <c:axId val="955756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Gross Profit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893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Year (R)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Yearly'!B4</c:f>
              <c:strCache>
                <c:ptCount val="1"/>
                <c:pt idx="0">
                  <c:v>Total Sales (R)</c:v>
                </c:pt>
              </c:strCache>
            </c:strRef>
          </c:tx>
          <c:spPr>
            <a:solidFill>
              <a:srgbClr val="2e74b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Yearly'!$A$5:$A$8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'Pivot - Yearly'!$B$5:$B$8</c:f>
              <c:numCache>
                <c:formatCode>#,##0</c:formatCode>
                <c:ptCount val="4"/>
                <c:pt idx="0">
                  <c:v>524283.452433713</c:v>
                </c:pt>
                <c:pt idx="1">
                  <c:v>75414975.7117006</c:v>
                </c:pt>
                <c:pt idx="2">
                  <c:v>64017593.3872232</c:v>
                </c:pt>
                <c:pt idx="3">
                  <c:v>46952975.7051255</c:v>
                </c:pt>
              </c:numCache>
            </c:numRef>
          </c:val>
        </c:ser>
        <c:gapWidth val="150"/>
        <c:overlap val="0"/>
        <c:axId val="53761987"/>
        <c:axId val="60758966"/>
      </c:barChart>
      <c:catAx>
        <c:axId val="537619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58966"/>
        <c:crosses val="autoZero"/>
        <c:auto val="1"/>
        <c:lblAlgn val="ctr"/>
        <c:lblOffset val="100"/>
        <c:noMultiLvlLbl val="0"/>
      </c:catAx>
      <c:valAx>
        <c:axId val="607589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619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Daily Sales by Day of Week (R)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Day of Week'!B4</c:f>
              <c:strCache>
                <c:ptCount val="1"/>
                <c:pt idx="0">
                  <c:v>Avg Daily Sales (R)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Day of Week'!$A$5:$A$11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'Pivot - Day of Week'!$B$5:$B$11</c:f>
              <c:numCache>
                <c:formatCode>#,##0</c:formatCode>
                <c:ptCount val="7"/>
                <c:pt idx="0">
                  <c:v>156313.034969048</c:v>
                </c:pt>
                <c:pt idx="1">
                  <c:v>137314.858059048</c:v>
                </c:pt>
                <c:pt idx="2">
                  <c:v>145890.659562444</c:v>
                </c:pt>
                <c:pt idx="3">
                  <c:v>141084.758278552</c:v>
                </c:pt>
                <c:pt idx="4">
                  <c:v>245313.970229885</c:v>
                </c:pt>
                <c:pt idx="5">
                  <c:v>279047.260026128</c:v>
                </c:pt>
                <c:pt idx="6">
                  <c:v>138170.856900844</c:v>
                </c:pt>
              </c:numCache>
            </c:numRef>
          </c:val>
        </c:ser>
        <c:gapWidth val="150"/>
        <c:overlap val="0"/>
        <c:axId val="48017977"/>
        <c:axId val="30477415"/>
      </c:barChart>
      <c:catAx>
        <c:axId val="480179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77415"/>
        <c:crosses val="autoZero"/>
        <c:auto val="1"/>
        <c:lblAlgn val="ctr"/>
        <c:lblOffset val="100"/>
        <c:noMultiLvlLbl val="0"/>
      </c:catAx>
      <c:valAx>
        <c:axId val="304774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179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Promotional vs Non-Promotional: Avg Price &amp; Quantity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Promo vs Non-Promo'!C4</c:f>
              <c:strCache>
                <c:ptCount val="1"/>
                <c:pt idx="0">
                  <c:v>Avg Price per Unit (R)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Promo vs Non-Promo'!$A$5:$A$6</c:f>
              <c:strCache>
                <c:ptCount val="2"/>
                <c:pt idx="0">
                  <c:v>Non-Promotional</c:v>
                </c:pt>
                <c:pt idx="1">
                  <c:v>Promotional</c:v>
                </c:pt>
              </c:strCache>
            </c:strRef>
          </c:cat>
          <c:val>
            <c:numRef>
              <c:f>'Pivot - Promo vs Non-Promo'!$C$5:$C$6</c:f>
              <c:numCache>
                <c:formatCode>\R0.00</c:formatCode>
                <c:ptCount val="2"/>
                <c:pt idx="0">
                  <c:v>37.344364044423</c:v>
                </c:pt>
                <c:pt idx="1">
                  <c:v>35.1107497987166</c:v>
                </c:pt>
              </c:numCache>
            </c:numRef>
          </c:val>
        </c:ser>
        <c:gapWidth val="150"/>
        <c:overlap val="0"/>
        <c:axId val="78291706"/>
        <c:axId val="41418201"/>
      </c:barChart>
      <c:barChart>
        <c:barDir val="col"/>
        <c:grouping val="clustered"/>
        <c:varyColors val="0"/>
        <c:ser>
          <c:idx val="1"/>
          <c:order val="1"/>
          <c:tx>
            <c:strRef>
              <c:f>'Pivot - Promo vs Non-Promo'!D4</c:f>
              <c:strCache>
                <c:ptCount val="1"/>
                <c:pt idx="0">
                  <c:v>Avg Daily Quantity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Promo vs Non-Promo'!$A$5:$A$6</c:f>
              <c:strCache>
                <c:ptCount val="2"/>
                <c:pt idx="0">
                  <c:v>Non-Promotional</c:v>
                </c:pt>
                <c:pt idx="1">
                  <c:v>Promotional</c:v>
                </c:pt>
              </c:strCache>
            </c:strRef>
          </c:cat>
          <c:val>
            <c:numRef>
              <c:f>'Pivot - Promo vs Non-Promo'!$D$5:$D$6</c:f>
              <c:numCache>
                <c:formatCode>#,##0</c:formatCode>
                <c:ptCount val="2"/>
                <c:pt idx="0">
                  <c:v>4634.96648648649</c:v>
                </c:pt>
                <c:pt idx="1">
                  <c:v>7754.125</c:v>
                </c:pt>
              </c:numCache>
            </c:numRef>
          </c:val>
        </c:ser>
        <c:gapWidth val="150"/>
        <c:overlap val="0"/>
        <c:axId val="28717414"/>
        <c:axId val="96489638"/>
      </c:barChart>
      <c:catAx>
        <c:axId val="782917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418201"/>
        <c:crosses val="autoZero"/>
        <c:auto val="1"/>
        <c:lblAlgn val="ctr"/>
        <c:lblOffset val="100"/>
        <c:noMultiLvlLbl val="0"/>
      </c:catAx>
      <c:valAx>
        <c:axId val="414182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Price per Unit (R)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R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91706"/>
        <c:crosses val="autoZero"/>
        <c:crossBetween val="between"/>
      </c:valAx>
      <c:catAx>
        <c:axId val="28717414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89638"/>
        <c:crosses val="autoZero"/>
        <c:auto val="1"/>
        <c:lblAlgn val="ctr"/>
        <c:lblOffset val="100"/>
        <c:noMultiLvlLbl val="0"/>
      </c:catAx>
      <c:valAx>
        <c:axId val="96489638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Daily Quantity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17414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70200</xdr:rowOff>
    </xdr:from>
    <xdr:to>
      <xdr:col>11</xdr:col>
      <xdr:colOff>525960</xdr:colOff>
      <xdr:row>23</xdr:row>
      <xdr:rowOff>81720</xdr:rowOff>
    </xdr:to>
    <xdr:graphicFrame>
      <xdr:nvGraphicFramePr>
        <xdr:cNvPr id="0" name="Chart 1"/>
        <xdr:cNvGraphicFramePr/>
      </xdr:nvGraphicFramePr>
      <xdr:xfrm>
        <a:off x="141120" y="1647720"/>
        <a:ext cx="827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7</xdr:row>
      <xdr:rowOff>70200</xdr:rowOff>
    </xdr:from>
    <xdr:to>
      <xdr:col>22</xdr:col>
      <xdr:colOff>122040</xdr:colOff>
      <xdr:row>23</xdr:row>
      <xdr:rowOff>81720</xdr:rowOff>
    </xdr:to>
    <xdr:graphicFrame>
      <xdr:nvGraphicFramePr>
        <xdr:cNvPr id="1" name="Chart 2"/>
        <xdr:cNvGraphicFramePr/>
      </xdr:nvGraphicFramePr>
      <xdr:xfrm>
        <a:off x="7119000" y="1647720"/>
        <a:ext cx="827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70560</xdr:rowOff>
    </xdr:from>
    <xdr:to>
      <xdr:col>7</xdr:col>
      <xdr:colOff>387360</xdr:colOff>
      <xdr:row>40</xdr:row>
      <xdr:rowOff>81720</xdr:rowOff>
    </xdr:to>
    <xdr:graphicFrame>
      <xdr:nvGraphicFramePr>
        <xdr:cNvPr id="2" name="Chart 3"/>
        <xdr:cNvGraphicFramePr/>
      </xdr:nvGraphicFramePr>
      <xdr:xfrm>
        <a:off x="141120" y="4886280"/>
        <a:ext cx="503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70560</xdr:rowOff>
    </xdr:from>
    <xdr:to>
      <xdr:col>13</xdr:col>
      <xdr:colOff>387360</xdr:colOff>
      <xdr:row>40</xdr:row>
      <xdr:rowOff>81720</xdr:rowOff>
    </xdr:to>
    <xdr:graphicFrame>
      <xdr:nvGraphicFramePr>
        <xdr:cNvPr id="3" name="Chart 4"/>
        <xdr:cNvGraphicFramePr/>
      </xdr:nvGraphicFramePr>
      <xdr:xfrm>
        <a:off x="4793040" y="4886280"/>
        <a:ext cx="503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24</xdr:row>
      <xdr:rowOff>70560</xdr:rowOff>
    </xdr:from>
    <xdr:to>
      <xdr:col>20</xdr:col>
      <xdr:colOff>430920</xdr:colOff>
      <xdr:row>40</xdr:row>
      <xdr:rowOff>81720</xdr:rowOff>
    </xdr:to>
    <xdr:graphicFrame>
      <xdr:nvGraphicFramePr>
        <xdr:cNvPr id="4" name="Chart 5"/>
        <xdr:cNvGraphicFramePr/>
      </xdr:nvGraphicFramePr>
      <xdr:xfrm>
        <a:off x="9444960" y="4886280"/>
        <a:ext cx="503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20</xdr:col>
      <xdr:colOff>581040</xdr:colOff>
      <xdr:row>18</xdr:row>
      <xdr:rowOff>39600</xdr:rowOff>
    </xdr:to>
    <xdr:graphicFrame>
      <xdr:nvGraphicFramePr>
        <xdr:cNvPr id="5" name="Chart 1"/>
        <xdr:cNvGraphicFramePr/>
      </xdr:nvGraphicFramePr>
      <xdr:xfrm>
        <a:off x="7989480" y="628560"/>
        <a:ext cx="791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20</xdr:col>
      <xdr:colOff>581040</xdr:colOff>
      <xdr:row>39</xdr:row>
      <xdr:rowOff>11160</xdr:rowOff>
    </xdr:to>
    <xdr:graphicFrame>
      <xdr:nvGraphicFramePr>
        <xdr:cNvPr id="6" name="Chart 2"/>
        <xdr:cNvGraphicFramePr/>
      </xdr:nvGraphicFramePr>
      <xdr:xfrm>
        <a:off x="7989480" y="4600440"/>
        <a:ext cx="791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14</xdr:col>
      <xdr:colOff>38880</xdr:colOff>
      <xdr:row>18</xdr:row>
      <xdr:rowOff>39600</xdr:rowOff>
    </xdr:to>
    <xdr:graphicFrame>
      <xdr:nvGraphicFramePr>
        <xdr:cNvPr id="7" name="Chart 1"/>
        <xdr:cNvGraphicFramePr/>
      </xdr:nvGraphicFramePr>
      <xdr:xfrm>
        <a:off x="7237080" y="628560"/>
        <a:ext cx="431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15</xdr:col>
      <xdr:colOff>147240</xdr:colOff>
      <xdr:row>18</xdr:row>
      <xdr:rowOff>39600</xdr:rowOff>
    </xdr:to>
    <xdr:graphicFrame>
      <xdr:nvGraphicFramePr>
        <xdr:cNvPr id="8" name="Chart 1"/>
        <xdr:cNvGraphicFramePr/>
      </xdr:nvGraphicFramePr>
      <xdr:xfrm>
        <a:off x="7002720" y="628560"/>
        <a:ext cx="503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15</xdr:col>
      <xdr:colOff>147240</xdr:colOff>
      <xdr:row>18</xdr:row>
      <xdr:rowOff>39600</xdr:rowOff>
    </xdr:to>
    <xdr:graphicFrame>
      <xdr:nvGraphicFramePr>
        <xdr:cNvPr id="9" name="Chart 1"/>
        <xdr:cNvGraphicFramePr/>
      </xdr:nvGraphicFramePr>
      <xdr:xfrm>
        <a:off x="7002720" y="628560"/>
        <a:ext cx="503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5" min="2" style="1" width="11"/>
  </cols>
  <sheetData>
    <row r="2" customFormat="false" ht="24.45" hidden="false" customHeight="fals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customFormat="false" ht="15.75" hidden="false" customHeight="true" outlineLevel="0" collapsed="false">
      <c r="B5" s="4" t="s">
        <v>2</v>
      </c>
      <c r="C5" s="4"/>
      <c r="E5" s="4" t="s">
        <v>3</v>
      </c>
      <c r="F5" s="4"/>
      <c r="H5" s="4" t="s">
        <v>4</v>
      </c>
      <c r="I5" s="4"/>
      <c r="K5" s="4" t="s">
        <v>5</v>
      </c>
      <c r="L5" s="4"/>
      <c r="N5" s="4" t="s">
        <v>6</v>
      </c>
      <c r="O5" s="4"/>
    </row>
    <row r="6" customFormat="false" ht="19.5" hidden="false" customHeight="true" outlineLevel="0" collapsed="false">
      <c r="B6" s="5" t="n">
        <f aca="false">'KPI Summary'!C8</f>
        <v>186909828.256483</v>
      </c>
      <c r="C6" s="5"/>
      <c r="E6" s="5" t="n">
        <f aca="false">'KPI Summary'!C9</f>
        <v>194026109.446509</v>
      </c>
      <c r="F6" s="5"/>
      <c r="H6" s="6" t="n">
        <f aca="false">'KPI Summary'!C11</f>
        <v>-7116281.190026</v>
      </c>
      <c r="I6" s="6"/>
      <c r="K6" s="7" t="n">
        <f aca="false">'KPI Summary'!C14</f>
        <v>37.0728515815071</v>
      </c>
      <c r="L6" s="7"/>
      <c r="N6" s="8" t="n">
        <f aca="false">'KPI Summary'!C15</f>
        <v>35.4004468775916</v>
      </c>
      <c r="O6" s="8"/>
    </row>
    <row r="7" customFormat="false" ht="19.5" hidden="false" customHeight="true" outlineLevel="0" collapsed="false">
      <c r="B7" s="5"/>
      <c r="C7" s="5"/>
      <c r="E7" s="5"/>
      <c r="F7" s="5"/>
      <c r="H7" s="6"/>
      <c r="I7" s="6"/>
      <c r="K7" s="7"/>
      <c r="L7" s="7"/>
      <c r="N7" s="8"/>
      <c r="O7" s="8"/>
    </row>
    <row r="43" customFormat="false" ht="16.15" hidden="false" customHeight="false" outlineLevel="0" collapsed="false">
      <c r="B43" s="9" t="s">
        <v>7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customFormat="false" ht="15" hidden="false" customHeight="true" outlineLevel="0" collapsed="false">
      <c r="B44" s="10" t="s">
        <v>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customFormat="false" ht="15" hidden="false" customHeight="false" outlineLevel="0" collapsed="false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customFormat="false" ht="15" hidden="false" customHeight="true" outlineLevel="0" collapsed="false">
      <c r="B46" s="10" t="s">
        <v>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customFormat="false" ht="15" hidden="false" customHeight="false" outlineLevel="0" collapsed="false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customFormat="false" ht="15" hidden="false" customHeight="true" outlineLevel="0" collapsed="false">
      <c r="B48" s="10" t="s">
        <v>10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customFormat="false" ht="15" hidden="false" customHeight="false" outlineLevel="0" collapsed="false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customFormat="false" ht="15" hidden="false" customHeight="true" outlineLevel="0" collapsed="false"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customFormat="false" ht="15" hidden="false" customHeight="false" outlineLevel="0" collapsed="false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customFormat="false" ht="15" hidden="false" customHeight="true" outlineLevel="0" collapsed="false">
      <c r="B52" s="10" t="s">
        <v>12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customFormat="false" ht="15" hidden="false" customHeight="false" outlineLevel="0" collapsed="false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</sheetData>
  <mergeCells count="18">
    <mergeCell ref="B2:N2"/>
    <mergeCell ref="B3:N3"/>
    <mergeCell ref="B5:C5"/>
    <mergeCell ref="E5:F5"/>
    <mergeCell ref="H5:I5"/>
    <mergeCell ref="K5:L5"/>
    <mergeCell ref="N5:O5"/>
    <mergeCell ref="B6:C7"/>
    <mergeCell ref="E6:F7"/>
    <mergeCell ref="H6:I7"/>
    <mergeCell ref="K6:L7"/>
    <mergeCell ref="N6:O7"/>
    <mergeCell ref="B43:O43"/>
    <mergeCell ref="B44:O45"/>
    <mergeCell ref="B46:O47"/>
    <mergeCell ref="B48:O49"/>
    <mergeCell ref="B50:O51"/>
    <mergeCell ref="B52:O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4"/>
    <col collapsed="false" customWidth="true" hidden="false" outlineLevel="0" max="6" min="4" style="1" width="12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1" min="10" style="1" width="8"/>
    <col collapsed="false" customWidth="true" hidden="false" outlineLevel="0" max="13" min="12" style="1" width="12"/>
    <col collapsed="false" customWidth="true" hidden="false" outlineLevel="0" max="14" min="14" style="1" width="10"/>
    <col collapsed="false" customWidth="true" hidden="false" outlineLevel="0" max="16" min="15" style="1" width="14"/>
    <col collapsed="false" customWidth="true" hidden="false" outlineLevel="0" max="18" min="17" style="1" width="12"/>
    <col collapsed="false" customWidth="true" hidden="false" outlineLevel="0" max="19" min="19" style="1" width="14"/>
  </cols>
  <sheetData>
    <row r="1" customFormat="false" ht="15" hidden="false" customHeight="true" outlineLevel="0" collapsed="false">
      <c r="A1" s="11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  <c r="K1" s="11" t="s">
        <v>23</v>
      </c>
      <c r="L1" s="11" t="s">
        <v>24</v>
      </c>
      <c r="M1" s="11" t="s">
        <v>25</v>
      </c>
      <c r="N1" s="11" t="s">
        <v>26</v>
      </c>
      <c r="O1" s="11" t="s">
        <v>27</v>
      </c>
      <c r="P1" s="11" t="s">
        <v>28</v>
      </c>
      <c r="Q1" s="11" t="s">
        <v>29</v>
      </c>
      <c r="R1" s="11" t="s">
        <v>30</v>
      </c>
      <c r="S1" s="11" t="s">
        <v>31</v>
      </c>
    </row>
    <row r="2" customFormat="false" ht="15" hidden="false" customHeight="true" outlineLevel="0" collapsed="false">
      <c r="A2" s="12" t="n">
        <v>41638</v>
      </c>
      <c r="B2" s="13" t="n">
        <v>223937.967869727</v>
      </c>
      <c r="C2" s="13" t="n">
        <v>230079.621012448</v>
      </c>
      <c r="D2" s="13" t="n">
        <v>6827</v>
      </c>
      <c r="E2" s="14" t="n">
        <v>32.8018116112094</v>
      </c>
      <c r="F2" s="14" t="n">
        <v>33.7014239069061</v>
      </c>
      <c r="G2" s="13" t="n">
        <v>-6141.65314272151</v>
      </c>
      <c r="H2" s="15" t="n">
        <v>-0.0274256893600747</v>
      </c>
      <c r="I2" s="15" t="n">
        <v>-0.0274256893600747</v>
      </c>
      <c r="J2" s="16" t="n">
        <v>2013</v>
      </c>
      <c r="K2" s="16" t="n">
        <v>12</v>
      </c>
      <c r="L2" s="16" t="n">
        <v>1</v>
      </c>
      <c r="M2" s="16" t="s">
        <v>32</v>
      </c>
      <c r="N2" s="17" t="b">
        <f aca="false">FALSE()</f>
        <v>0</v>
      </c>
      <c r="O2" s="14"/>
      <c r="P2" s="13"/>
      <c r="Q2" s="15"/>
      <c r="R2" s="15"/>
      <c r="S2" s="17" t="b">
        <f aca="false">FALSE()</f>
        <v>0</v>
      </c>
    </row>
    <row r="3" customFormat="false" ht="15" hidden="false" customHeight="true" outlineLevel="0" collapsed="false">
      <c r="A3" s="12" t="n">
        <v>41639</v>
      </c>
      <c r="B3" s="13" t="n">
        <v>300345.484563986</v>
      </c>
      <c r="C3" s="13" t="n">
        <v>306986.120484283</v>
      </c>
      <c r="D3" s="13" t="n">
        <v>9268</v>
      </c>
      <c r="E3" s="14" t="n">
        <v>32.4067203888634</v>
      </c>
      <c r="F3" s="14" t="n">
        <v>33.1232326806521</v>
      </c>
      <c r="G3" s="13" t="n">
        <v>-6640.63592029753</v>
      </c>
      <c r="H3" s="15" t="n">
        <v>-0.0221099908658118</v>
      </c>
      <c r="I3" s="15" t="n">
        <v>-0.0221099908658119</v>
      </c>
      <c r="J3" s="16" t="n">
        <v>2013</v>
      </c>
      <c r="K3" s="16" t="n">
        <v>12</v>
      </c>
      <c r="L3" s="16" t="n">
        <v>1</v>
      </c>
      <c r="M3" s="16" t="s">
        <v>33</v>
      </c>
      <c r="N3" s="17" t="b">
        <f aca="false">FALSE()</f>
        <v>0</v>
      </c>
      <c r="O3" s="14" t="n">
        <v>32.8018116112094</v>
      </c>
      <c r="P3" s="13" t="n">
        <v>6827</v>
      </c>
      <c r="Q3" s="15" t="n">
        <v>-0.0120447988369953</v>
      </c>
      <c r="R3" s="15" t="n">
        <v>0.35755090083492</v>
      </c>
      <c r="S3" s="17" t="b">
        <f aca="false">FALSE()</f>
        <v>0</v>
      </c>
    </row>
    <row r="4" customFormat="false" ht="15" hidden="false" customHeight="true" outlineLevel="0" collapsed="false">
      <c r="A4" s="12" t="n">
        <v>41640</v>
      </c>
      <c r="B4" s="13" t="n">
        <v>86782.4677274178</v>
      </c>
      <c r="C4" s="13" t="n">
        <v>87986.3182144499</v>
      </c>
      <c r="D4" s="13" t="n">
        <v>2678</v>
      </c>
      <c r="E4" s="14" t="n">
        <v>32.4057011678184</v>
      </c>
      <c r="F4" s="14" t="n">
        <v>32.8552345834391</v>
      </c>
      <c r="G4" s="13" t="n">
        <v>-1203.85048703209</v>
      </c>
      <c r="H4" s="15" t="n">
        <v>-0.0138720471836934</v>
      </c>
      <c r="I4" s="15" t="n">
        <v>-0.0138720471836935</v>
      </c>
      <c r="J4" s="16" t="n">
        <v>2014</v>
      </c>
      <c r="K4" s="16" t="n">
        <v>1</v>
      </c>
      <c r="L4" s="16" t="n">
        <v>1</v>
      </c>
      <c r="M4" s="16" t="s">
        <v>34</v>
      </c>
      <c r="N4" s="17" t="b">
        <f aca="false">FALSE()</f>
        <v>0</v>
      </c>
      <c r="O4" s="14" t="n">
        <v>32.6042660000364</v>
      </c>
      <c r="P4" s="13" t="n">
        <v>8047.5</v>
      </c>
      <c r="Q4" s="15" t="n">
        <v>-0.00609014882339972</v>
      </c>
      <c r="R4" s="15" t="n">
        <v>-0.667225846536191</v>
      </c>
      <c r="S4" s="17" t="b">
        <f aca="false">FALSE()</f>
        <v>0</v>
      </c>
    </row>
    <row r="5" customFormat="false" ht="15" hidden="false" customHeight="true" outlineLevel="0" collapsed="false">
      <c r="A5" s="12" t="n">
        <v>41641</v>
      </c>
      <c r="B5" s="13" t="n">
        <v>200173.116752677</v>
      </c>
      <c r="C5" s="13" t="n">
        <v>202881.177706233</v>
      </c>
      <c r="D5" s="13" t="n">
        <v>6175</v>
      </c>
      <c r="E5" s="14" t="n">
        <v>32.4166990692595</v>
      </c>
      <c r="F5" s="14" t="n">
        <v>32.855251450402</v>
      </c>
      <c r="G5" s="13" t="n">
        <v>-2708.06095355545</v>
      </c>
      <c r="H5" s="15" t="n">
        <v>-0.013528594635919</v>
      </c>
      <c r="I5" s="15" t="n">
        <v>-0.0135285946359191</v>
      </c>
      <c r="J5" s="16" t="n">
        <v>2014</v>
      </c>
      <c r="K5" s="16" t="n">
        <v>1</v>
      </c>
      <c r="L5" s="16" t="n">
        <v>1</v>
      </c>
      <c r="M5" s="16" t="s">
        <v>35</v>
      </c>
      <c r="N5" s="17" t="b">
        <f aca="false">FALSE()</f>
        <v>0</v>
      </c>
      <c r="O5" s="14" t="n">
        <v>32.5380777226304</v>
      </c>
      <c r="P5" s="13" t="n">
        <v>6257.66666666667</v>
      </c>
      <c r="Q5" s="15" t="n">
        <v>-0.0037303572265586</v>
      </c>
      <c r="R5" s="15" t="n">
        <v>-0.0132104618334843</v>
      </c>
      <c r="S5" s="17" t="b">
        <f aca="false">FALSE()</f>
        <v>0</v>
      </c>
    </row>
    <row r="6" customFormat="false" ht="15" hidden="false" customHeight="true" outlineLevel="0" collapsed="false">
      <c r="A6" s="12" t="n">
        <v>41642</v>
      </c>
      <c r="B6" s="13" t="n">
        <v>326906.074176331</v>
      </c>
      <c r="C6" s="13" t="n">
        <v>333806.291873355</v>
      </c>
      <c r="D6" s="13" t="n">
        <v>10084</v>
      </c>
      <c r="E6" s="14" t="n">
        <v>32.418293750132</v>
      </c>
      <c r="F6" s="14" t="n">
        <v>33.1025676193331</v>
      </c>
      <c r="G6" s="13" t="n">
        <v>-6900.21769702417</v>
      </c>
      <c r="H6" s="15" t="n">
        <v>-0.0211076460246568</v>
      </c>
      <c r="I6" s="15" t="n">
        <v>-0.0211076460246568</v>
      </c>
      <c r="J6" s="16" t="n">
        <v>2014</v>
      </c>
      <c r="K6" s="16" t="n">
        <v>1</v>
      </c>
      <c r="L6" s="16" t="n">
        <v>1</v>
      </c>
      <c r="M6" s="16" t="s">
        <v>36</v>
      </c>
      <c r="N6" s="17" t="b">
        <f aca="false">FALSE()</f>
        <v>0</v>
      </c>
      <c r="O6" s="14" t="n">
        <v>32.5077330592877</v>
      </c>
      <c r="P6" s="13" t="n">
        <v>6237</v>
      </c>
      <c r="Q6" s="15" t="n">
        <v>-0.00275132409241174</v>
      </c>
      <c r="R6" s="15" t="n">
        <v>0.616802950136284</v>
      </c>
      <c r="S6" s="17" t="b">
        <f aca="false">FALSE()</f>
        <v>0</v>
      </c>
    </row>
    <row r="7" customFormat="false" ht="15" hidden="false" customHeight="true" outlineLevel="0" collapsed="false">
      <c r="A7" s="12" t="n">
        <v>41643</v>
      </c>
      <c r="B7" s="13" t="n">
        <v>307043.935422162</v>
      </c>
      <c r="C7" s="13" t="n">
        <v>313652.348272364</v>
      </c>
      <c r="D7" s="13" t="n">
        <v>9470</v>
      </c>
      <c r="E7" s="14" t="n">
        <v>32.4228020509147</v>
      </c>
      <c r="F7" s="14" t="n">
        <v>33.1206281174618</v>
      </c>
      <c r="G7" s="13" t="n">
        <v>-6608.41285020165</v>
      </c>
      <c r="H7" s="15" t="n">
        <v>-0.0215226945978125</v>
      </c>
      <c r="I7" s="15" t="n">
        <v>-0.0215226945978125</v>
      </c>
      <c r="J7" s="16" t="n">
        <v>2014</v>
      </c>
      <c r="K7" s="16" t="n">
        <v>1</v>
      </c>
      <c r="L7" s="16" t="n">
        <v>1</v>
      </c>
      <c r="M7" s="16" t="s">
        <v>37</v>
      </c>
      <c r="N7" s="17" t="b">
        <f aca="false">TRUE()</f>
        <v>1</v>
      </c>
      <c r="O7" s="14" t="n">
        <v>32.4898451974565</v>
      </c>
      <c r="P7" s="13" t="n">
        <v>7006.4</v>
      </c>
      <c r="Q7" s="15" t="n">
        <v>-0.00206351080266472</v>
      </c>
      <c r="R7" s="15" t="n">
        <v>0.351621374743092</v>
      </c>
      <c r="S7" s="17" t="b">
        <f aca="false">FALSE()</f>
        <v>0</v>
      </c>
    </row>
    <row r="8" customFormat="false" ht="15" hidden="false" customHeight="true" outlineLevel="0" collapsed="false">
      <c r="A8" s="12" t="n">
        <v>41644</v>
      </c>
      <c r="B8" s="13" t="n">
        <v>179188.88448781</v>
      </c>
      <c r="C8" s="13" t="n">
        <v>183083.284984027</v>
      </c>
      <c r="D8" s="13" t="n">
        <v>5524</v>
      </c>
      <c r="E8" s="14" t="n">
        <v>32.4382484590532</v>
      </c>
      <c r="F8" s="14" t="n">
        <v>33.1432449283177</v>
      </c>
      <c r="G8" s="13" t="n">
        <v>-3894.40049621725</v>
      </c>
      <c r="H8" s="15" t="n">
        <v>-0.0217334937228329</v>
      </c>
      <c r="I8" s="15" t="n">
        <v>-0.021733493722833</v>
      </c>
      <c r="J8" s="16" t="n">
        <v>2014</v>
      </c>
      <c r="K8" s="16" t="n">
        <v>1</v>
      </c>
      <c r="L8" s="16" t="n">
        <v>1</v>
      </c>
      <c r="M8" s="16" t="s">
        <v>38</v>
      </c>
      <c r="N8" s="17" t="b">
        <f aca="false">TRUE()</f>
        <v>1</v>
      </c>
      <c r="O8" s="14" t="n">
        <v>32.4786713396996</v>
      </c>
      <c r="P8" s="13" t="n">
        <v>7417</v>
      </c>
      <c r="Q8" s="15" t="n">
        <v>-0.00124459773072589</v>
      </c>
      <c r="R8" s="15" t="n">
        <v>-0.255224484292841</v>
      </c>
      <c r="S8" s="17" t="b">
        <f aca="false">FALSE()</f>
        <v>0</v>
      </c>
    </row>
    <row r="9" customFormat="false" ht="15" hidden="false" customHeight="true" outlineLevel="0" collapsed="false">
      <c r="A9" s="12" t="n">
        <v>41645</v>
      </c>
      <c r="B9" s="13" t="n">
        <v>306351.950858992</v>
      </c>
      <c r="C9" s="13" t="n">
        <v>313446.068148843</v>
      </c>
      <c r="D9" s="13" t="n">
        <v>9448</v>
      </c>
      <c r="E9" s="14" t="n">
        <v>32.4250583042964</v>
      </c>
      <c r="F9" s="14" t="n">
        <v>33.175917458599</v>
      </c>
      <c r="G9" s="13" t="n">
        <v>-7094.11728985113</v>
      </c>
      <c r="H9" s="15" t="n">
        <v>-0.0231567557182504</v>
      </c>
      <c r="I9" s="15" t="n">
        <v>-0.0231567557182504</v>
      </c>
      <c r="J9" s="16" t="n">
        <v>2014</v>
      </c>
      <c r="K9" s="16" t="n">
        <v>1</v>
      </c>
      <c r="L9" s="16" t="n">
        <v>2</v>
      </c>
      <c r="M9" s="16" t="s">
        <v>32</v>
      </c>
      <c r="N9" s="17" t="b">
        <f aca="false">FALSE()</f>
        <v>0</v>
      </c>
      <c r="O9" s="14" t="n">
        <v>32.4728966424644</v>
      </c>
      <c r="P9" s="13" t="n">
        <v>7146.57142857143</v>
      </c>
      <c r="Q9" s="15" t="n">
        <v>-0.00147317742222751</v>
      </c>
      <c r="R9" s="15" t="n">
        <v>0.3220325430776</v>
      </c>
      <c r="S9" s="17" t="b">
        <f aca="false">FALSE()</f>
        <v>0</v>
      </c>
    </row>
    <row r="10" customFormat="false" ht="15" hidden="false" customHeight="true" outlineLevel="0" collapsed="false">
      <c r="A10" s="12" t="n">
        <v>41646</v>
      </c>
      <c r="B10" s="13" t="n">
        <v>224020.409968478</v>
      </c>
      <c r="C10" s="13" t="n">
        <v>229533.97372838</v>
      </c>
      <c r="D10" s="13" t="n">
        <v>6911</v>
      </c>
      <c r="E10" s="14" t="n">
        <v>32.4150499158556</v>
      </c>
      <c r="F10" s="14" t="n">
        <v>33.212845279754</v>
      </c>
      <c r="G10" s="13" t="n">
        <v>-5513.56375990133</v>
      </c>
      <c r="H10" s="15" t="n">
        <v>-0.0246118813936513</v>
      </c>
      <c r="I10" s="15" t="n">
        <v>-0.0246118813936515</v>
      </c>
      <c r="J10" s="16" t="n">
        <v>2014</v>
      </c>
      <c r="K10" s="16" t="n">
        <v>1</v>
      </c>
      <c r="L10" s="16" t="n">
        <v>2</v>
      </c>
      <c r="M10" s="16" t="s">
        <v>33</v>
      </c>
      <c r="N10" s="17" t="b">
        <f aca="false">FALSE()</f>
        <v>0</v>
      </c>
      <c r="O10" s="14" t="n">
        <v>32.4669168501934</v>
      </c>
      <c r="P10" s="13" t="n">
        <v>7434.25</v>
      </c>
      <c r="Q10" s="15" t="n">
        <v>-0.00159753186842566</v>
      </c>
      <c r="R10" s="15" t="n">
        <v>-0.0703836970777146</v>
      </c>
      <c r="S10" s="17" t="b">
        <f aca="false">FALSE()</f>
        <v>0</v>
      </c>
    </row>
    <row r="11" customFormat="false" ht="15" hidden="false" customHeight="true" outlineLevel="0" collapsed="false">
      <c r="A11" s="12" t="n">
        <v>41647</v>
      </c>
      <c r="B11" s="13" t="n">
        <v>101836.402236237</v>
      </c>
      <c r="C11" s="13" t="n">
        <v>99381.9675172249</v>
      </c>
      <c r="D11" s="13" t="n">
        <v>2990</v>
      </c>
      <c r="E11" s="14" t="n">
        <v>34.0589974034238</v>
      </c>
      <c r="F11" s="14" t="n">
        <v>33.2381162264966</v>
      </c>
      <c r="G11" s="13" t="n">
        <v>2454.43471901218</v>
      </c>
      <c r="H11" s="15" t="n">
        <v>0.024101742256354</v>
      </c>
      <c r="I11" s="15" t="n">
        <v>0.0241017422563541</v>
      </c>
      <c r="J11" s="16" t="n">
        <v>2014</v>
      </c>
      <c r="K11" s="16" t="n">
        <v>1</v>
      </c>
      <c r="L11" s="16" t="n">
        <v>2</v>
      </c>
      <c r="M11" s="16" t="s">
        <v>34</v>
      </c>
      <c r="N11" s="17" t="b">
        <f aca="false">FALSE()</f>
        <v>0</v>
      </c>
      <c r="O11" s="14" t="n">
        <v>32.4611538574892</v>
      </c>
      <c r="P11" s="13" t="n">
        <v>7376.11111111111</v>
      </c>
      <c r="Q11" s="15" t="n">
        <v>0.0492232516733528</v>
      </c>
      <c r="R11" s="15" t="n">
        <v>-0.594637342773217</v>
      </c>
      <c r="S11" s="17" t="b">
        <f aca="false">FALSE()</f>
        <v>0</v>
      </c>
    </row>
    <row r="12" customFormat="false" ht="15" hidden="false" customHeight="true" outlineLevel="0" collapsed="false">
      <c r="A12" s="12" t="n">
        <v>41648</v>
      </c>
      <c r="B12" s="13" t="n">
        <v>107804.304947232</v>
      </c>
      <c r="C12" s="13" t="n">
        <v>104816.458512553</v>
      </c>
      <c r="D12" s="13" t="n">
        <v>3159</v>
      </c>
      <c r="E12" s="14" t="n">
        <v>34.1260857699372</v>
      </c>
      <c r="F12" s="14" t="n">
        <v>33.1802654360724</v>
      </c>
      <c r="G12" s="13" t="n">
        <v>2987.84643467909</v>
      </c>
      <c r="H12" s="15" t="n">
        <v>0.0277154649449443</v>
      </c>
      <c r="I12" s="15" t="n">
        <v>0.0277154649449443</v>
      </c>
      <c r="J12" s="16" t="n">
        <v>2014</v>
      </c>
      <c r="K12" s="16" t="n">
        <v>1</v>
      </c>
      <c r="L12" s="16" t="n">
        <v>2</v>
      </c>
      <c r="M12" s="16" t="s">
        <v>35</v>
      </c>
      <c r="N12" s="17" t="b">
        <f aca="false">FALSE()</f>
        <v>0</v>
      </c>
      <c r="O12" s="14" t="n">
        <v>32.6209382120826</v>
      </c>
      <c r="P12" s="13" t="n">
        <v>6937.5</v>
      </c>
      <c r="Q12" s="15" t="n">
        <v>0.0461405355072561</v>
      </c>
      <c r="R12" s="15" t="n">
        <v>-0.544648648648649</v>
      </c>
      <c r="S12" s="17" t="b">
        <f aca="false">FALSE()</f>
        <v>0</v>
      </c>
    </row>
    <row r="13" customFormat="false" ht="15" hidden="false" customHeight="true" outlineLevel="0" collapsed="false">
      <c r="A13" s="12" t="n">
        <v>41649</v>
      </c>
      <c r="B13" s="13" t="n">
        <v>144829.95672393</v>
      </c>
      <c r="C13" s="13" t="n">
        <v>141333.996283493</v>
      </c>
      <c r="D13" s="13" t="n">
        <v>4246</v>
      </c>
      <c r="E13" s="14" t="n">
        <v>34.1097401610764</v>
      </c>
      <c r="F13" s="14" t="n">
        <v>33.2863863126454</v>
      </c>
      <c r="G13" s="13" t="n">
        <v>3495.96044043763</v>
      </c>
      <c r="H13" s="15" t="n">
        <v>0.0241383793761777</v>
      </c>
      <c r="I13" s="15" t="n">
        <v>0.0241383793761777</v>
      </c>
      <c r="J13" s="16" t="n">
        <v>2014</v>
      </c>
      <c r="K13" s="16" t="n">
        <v>1</v>
      </c>
      <c r="L13" s="16" t="n">
        <v>2</v>
      </c>
      <c r="M13" s="16" t="s">
        <v>36</v>
      </c>
      <c r="N13" s="17" t="b">
        <f aca="false">FALSE()</f>
        <v>0</v>
      </c>
      <c r="O13" s="14" t="n">
        <v>32.7577698082512</v>
      </c>
      <c r="P13" s="13" t="n">
        <v>6594</v>
      </c>
      <c r="Q13" s="15" t="n">
        <v>0.0412717459320011</v>
      </c>
      <c r="R13" s="15" t="n">
        <v>-0.356081286017592</v>
      </c>
      <c r="S13" s="17" t="b">
        <f aca="false">FALSE()</f>
        <v>0</v>
      </c>
    </row>
    <row r="14" customFormat="false" ht="15" hidden="false" customHeight="true" outlineLevel="0" collapsed="false">
      <c r="A14" s="12" t="n">
        <v>41650</v>
      </c>
      <c r="B14" s="13" t="n">
        <v>146571.48235324</v>
      </c>
      <c r="C14" s="13" t="n">
        <v>143179.669988393</v>
      </c>
      <c r="D14" s="13" t="n">
        <v>4297</v>
      </c>
      <c r="E14" s="14" t="n">
        <v>34.1101890512544</v>
      </c>
      <c r="F14" s="14" t="n">
        <v>33.3208447727235</v>
      </c>
      <c r="G14" s="13" t="n">
        <v>3391.81236484731</v>
      </c>
      <c r="H14" s="15" t="n">
        <v>0.0231410115418836</v>
      </c>
      <c r="I14" s="15" t="n">
        <v>0.0231410115418835</v>
      </c>
      <c r="J14" s="16" t="n">
        <v>2014</v>
      </c>
      <c r="K14" s="16" t="n">
        <v>1</v>
      </c>
      <c r="L14" s="16" t="n">
        <v>2</v>
      </c>
      <c r="M14" s="16" t="s">
        <v>37</v>
      </c>
      <c r="N14" s="17" t="b">
        <f aca="false">TRUE()</f>
        <v>1</v>
      </c>
      <c r="O14" s="14" t="n">
        <v>32.87043400432</v>
      </c>
      <c r="P14" s="13" t="n">
        <v>6398.33333333333</v>
      </c>
      <c r="Q14" s="15" t="n">
        <v>0.0377164185532654</v>
      </c>
      <c r="R14" s="15" t="n">
        <v>-0.328418859077885</v>
      </c>
      <c r="S14" s="17" t="b">
        <f aca="false">FALSE()</f>
        <v>0</v>
      </c>
    </row>
    <row r="15" customFormat="false" ht="15" hidden="false" customHeight="true" outlineLevel="0" collapsed="false">
      <c r="A15" s="12" t="n">
        <v>41651</v>
      </c>
      <c r="B15" s="13" t="n">
        <v>95422.3729783171</v>
      </c>
      <c r="C15" s="13" t="n">
        <v>93126.1472383441</v>
      </c>
      <c r="D15" s="13" t="n">
        <v>2796</v>
      </c>
      <c r="E15" s="14" t="n">
        <v>34.1281734543337</v>
      </c>
      <c r="F15" s="14" t="n">
        <v>33.3069196131417</v>
      </c>
      <c r="G15" s="13" t="n">
        <v>2296.22573997304</v>
      </c>
      <c r="H15" s="15" t="n">
        <v>0.0240638088144676</v>
      </c>
      <c r="I15" s="15" t="n">
        <v>0.0240638088144676</v>
      </c>
      <c r="J15" s="16" t="n">
        <v>2014</v>
      </c>
      <c r="K15" s="16" t="n">
        <v>1</v>
      </c>
      <c r="L15" s="16" t="n">
        <v>2</v>
      </c>
      <c r="M15" s="16" t="s">
        <v>38</v>
      </c>
      <c r="N15" s="17" t="b">
        <f aca="false">TRUE()</f>
        <v>1</v>
      </c>
      <c r="O15" s="14" t="n">
        <v>32.9657997771611</v>
      </c>
      <c r="P15" s="13" t="n">
        <v>6236.69230769231</v>
      </c>
      <c r="Q15" s="15" t="n">
        <v>0.035259987169428</v>
      </c>
      <c r="R15" s="15" t="n">
        <v>-0.551685434833553</v>
      </c>
      <c r="S15" s="17" t="b">
        <f aca="false">FALSE()</f>
        <v>0</v>
      </c>
    </row>
    <row r="16" customFormat="false" ht="15" hidden="false" customHeight="true" outlineLevel="0" collapsed="false">
      <c r="A16" s="12" t="n">
        <v>41652</v>
      </c>
      <c r="B16" s="13" t="n">
        <v>114883.173791156</v>
      </c>
      <c r="C16" s="13" t="n">
        <v>112186.308663053</v>
      </c>
      <c r="D16" s="13" t="n">
        <v>3369</v>
      </c>
      <c r="E16" s="14" t="n">
        <v>34.1000812677816</v>
      </c>
      <c r="F16" s="14" t="n">
        <v>33.2995870178251</v>
      </c>
      <c r="G16" s="13" t="n">
        <v>2696.86512810351</v>
      </c>
      <c r="H16" s="15" t="n">
        <v>0.023474848745092</v>
      </c>
      <c r="I16" s="15" t="n">
        <v>0.0234748487450921</v>
      </c>
      <c r="J16" s="16" t="n">
        <v>2014</v>
      </c>
      <c r="K16" s="16" t="n">
        <v>1</v>
      </c>
      <c r="L16" s="16" t="n">
        <v>3</v>
      </c>
      <c r="M16" s="16" t="s">
        <v>32</v>
      </c>
      <c r="N16" s="17" t="b">
        <f aca="false">FALSE()</f>
        <v>0</v>
      </c>
      <c r="O16" s="14" t="n">
        <v>33.0488264683877</v>
      </c>
      <c r="P16" s="13" t="n">
        <v>5990.92857142857</v>
      </c>
      <c r="Q16" s="15" t="n">
        <v>0.0318091415560387</v>
      </c>
      <c r="R16" s="15" t="n">
        <v>-0.437649780024561</v>
      </c>
      <c r="S16" s="17" t="b">
        <f aca="false">FALSE()</f>
        <v>0</v>
      </c>
    </row>
    <row r="17" customFormat="false" ht="15" hidden="false" customHeight="true" outlineLevel="0" collapsed="false">
      <c r="A17" s="12" t="n">
        <v>41653</v>
      </c>
      <c r="B17" s="13" t="n">
        <v>80090.8000798927</v>
      </c>
      <c r="C17" s="13" t="n">
        <v>78096.7601822512</v>
      </c>
      <c r="D17" s="13" t="n">
        <v>2348</v>
      </c>
      <c r="E17" s="14" t="n">
        <v>34.1102214991025</v>
      </c>
      <c r="F17" s="14" t="n">
        <v>33.260971116802</v>
      </c>
      <c r="G17" s="13" t="n">
        <v>1994.03989764156</v>
      </c>
      <c r="H17" s="15" t="n">
        <v>0.0248972403278835</v>
      </c>
      <c r="I17" s="15" t="n">
        <v>0.0248972403278834</v>
      </c>
      <c r="J17" s="16" t="n">
        <v>2014</v>
      </c>
      <c r="K17" s="16" t="n">
        <v>1</v>
      </c>
      <c r="L17" s="16" t="n">
        <v>3</v>
      </c>
      <c r="M17" s="16" t="s">
        <v>33</v>
      </c>
      <c r="N17" s="17" t="b">
        <f aca="false">FALSE()</f>
        <v>0</v>
      </c>
      <c r="O17" s="14" t="n">
        <v>33.1415600152857</v>
      </c>
      <c r="P17" s="13" t="n">
        <v>5743.92857142857</v>
      </c>
      <c r="Q17" s="15" t="n">
        <v>0.0292279990250917</v>
      </c>
      <c r="R17" s="15" t="n">
        <v>-0.591220543430952</v>
      </c>
      <c r="S17" s="17" t="b">
        <f aca="false">FALSE()</f>
        <v>0</v>
      </c>
    </row>
    <row r="18" customFormat="false" ht="15" hidden="false" customHeight="true" outlineLevel="0" collapsed="false">
      <c r="A18" s="12" t="n">
        <v>41654</v>
      </c>
      <c r="B18" s="13" t="n">
        <v>98945.3711590778</v>
      </c>
      <c r="C18" s="13" t="n">
        <v>97159.00258687</v>
      </c>
      <c r="D18" s="13" t="n">
        <v>2903</v>
      </c>
      <c r="E18" s="14" t="n">
        <v>34.0838343641329</v>
      </c>
      <c r="F18" s="14" t="n">
        <v>33.4684817729487</v>
      </c>
      <c r="G18" s="13" t="n">
        <v>1786.36857220785</v>
      </c>
      <c r="H18" s="15" t="n">
        <v>0.0180540893553863</v>
      </c>
      <c r="I18" s="15" t="n">
        <v>0.0180540893553863</v>
      </c>
      <c r="J18" s="16" t="n">
        <v>2014</v>
      </c>
      <c r="K18" s="16" t="n">
        <v>1</v>
      </c>
      <c r="L18" s="16" t="n">
        <v>3</v>
      </c>
      <c r="M18" s="16" t="s">
        <v>34</v>
      </c>
      <c r="N18" s="17" t="b">
        <f aca="false">FALSE()</f>
        <v>0</v>
      </c>
      <c r="O18" s="14" t="n">
        <v>33.2632386660171</v>
      </c>
      <c r="P18" s="13" t="n">
        <v>5249.64285714286</v>
      </c>
      <c r="Q18" s="15" t="n">
        <v>0.0246697474757371</v>
      </c>
      <c r="R18" s="15" t="n">
        <v>-0.447010000680318</v>
      </c>
      <c r="S18" s="17" t="b">
        <f aca="false">FALSE()</f>
        <v>0</v>
      </c>
    </row>
    <row r="19" customFormat="false" ht="15" hidden="false" customHeight="true" outlineLevel="0" collapsed="false">
      <c r="A19" s="12" t="n">
        <v>41655</v>
      </c>
      <c r="B19" s="13" t="n">
        <v>84904.9017141078</v>
      </c>
      <c r="C19" s="13" t="n">
        <v>83350.4331588246</v>
      </c>
      <c r="D19" s="13" t="n">
        <v>2491</v>
      </c>
      <c r="E19" s="14" t="n">
        <v>34.0846654813761</v>
      </c>
      <c r="F19" s="14" t="n">
        <v>33.4606315370633</v>
      </c>
      <c r="G19" s="13" t="n">
        <v>1554.46855528327</v>
      </c>
      <c r="H19" s="15" t="n">
        <v>0.0183083487984885</v>
      </c>
      <c r="I19" s="15" t="n">
        <v>0.0183083487984885</v>
      </c>
      <c r="J19" s="16" t="n">
        <v>2014</v>
      </c>
      <c r="K19" s="16" t="n">
        <v>1</v>
      </c>
      <c r="L19" s="16" t="n">
        <v>3</v>
      </c>
      <c r="M19" s="16" t="s">
        <v>35</v>
      </c>
      <c r="N19" s="17" t="b">
        <f aca="false">FALSE()</f>
        <v>0</v>
      </c>
      <c r="O19" s="14" t="n">
        <v>33.3831053228967</v>
      </c>
      <c r="P19" s="13" t="n">
        <v>5265.71428571429</v>
      </c>
      <c r="Q19" s="15" t="n">
        <v>0.0210154253684185</v>
      </c>
      <c r="R19" s="15" t="n">
        <v>-0.526939772110689</v>
      </c>
      <c r="S19" s="17" t="b">
        <f aca="false">FALSE()</f>
        <v>0</v>
      </c>
    </row>
    <row r="20" customFormat="false" ht="15" hidden="false" customHeight="true" outlineLevel="0" collapsed="false">
      <c r="A20" s="12" t="n">
        <v>41656</v>
      </c>
      <c r="B20" s="13" t="n">
        <v>135460.619703985</v>
      </c>
      <c r="C20" s="13" t="n">
        <v>132703.335419772</v>
      </c>
      <c r="D20" s="13" t="n">
        <v>3968</v>
      </c>
      <c r="E20" s="14" t="n">
        <v>34.1382610141092</v>
      </c>
      <c r="F20" s="14" t="n">
        <v>33.4433809021602</v>
      </c>
      <c r="G20" s="13" t="n">
        <v>2757.2842842135</v>
      </c>
      <c r="H20" s="15" t="n">
        <v>0.0203548772347184</v>
      </c>
      <c r="I20" s="15" t="n">
        <v>0.0203548772347185</v>
      </c>
      <c r="J20" s="16" t="n">
        <v>2014</v>
      </c>
      <c r="K20" s="16" t="n">
        <v>1</v>
      </c>
      <c r="L20" s="16" t="n">
        <v>3</v>
      </c>
      <c r="M20" s="16" t="s">
        <v>36</v>
      </c>
      <c r="N20" s="17" t="b">
        <f aca="false">FALSE()</f>
        <v>0</v>
      </c>
      <c r="O20" s="14" t="n">
        <v>33.502245780905</v>
      </c>
      <c r="P20" s="13" t="n">
        <v>5002.57142857143</v>
      </c>
      <c r="Q20" s="15" t="n">
        <v>0.0189842566782986</v>
      </c>
      <c r="R20" s="15" t="n">
        <v>-0.206807927351648</v>
      </c>
      <c r="S20" s="17" t="b">
        <f aca="false">FALSE()</f>
        <v>0</v>
      </c>
    </row>
    <row r="21" customFormat="false" ht="15" hidden="false" customHeight="true" outlineLevel="0" collapsed="false">
      <c r="A21" s="12" t="n">
        <v>41657</v>
      </c>
      <c r="B21" s="13" t="n">
        <v>149925.749685775</v>
      </c>
      <c r="C21" s="13" t="n">
        <v>146928.411780892</v>
      </c>
      <c r="D21" s="13" t="n">
        <v>4393</v>
      </c>
      <c r="E21" s="14" t="n">
        <v>34.1283290884988</v>
      </c>
      <c r="F21" s="14" t="n">
        <v>33.4460304531965</v>
      </c>
      <c r="G21" s="13" t="n">
        <v>2997.33790488279</v>
      </c>
      <c r="H21" s="15" t="n">
        <v>0.0199921488547819</v>
      </c>
      <c r="I21" s="15" t="n">
        <v>0.019992148854782</v>
      </c>
      <c r="J21" s="16" t="n">
        <v>2014</v>
      </c>
      <c r="K21" s="16" t="n">
        <v>1</v>
      </c>
      <c r="L21" s="16" t="n">
        <v>3</v>
      </c>
      <c r="M21" s="16" t="s">
        <v>37</v>
      </c>
      <c r="N21" s="17" t="b">
        <f aca="false">TRUE()</f>
        <v>1</v>
      </c>
      <c r="O21" s="14" t="n">
        <v>33.6251005854748</v>
      </c>
      <c r="P21" s="13" t="n">
        <v>4565.71428571429</v>
      </c>
      <c r="Q21" s="15" t="n">
        <v>0.0149658586669431</v>
      </c>
      <c r="R21" s="15" t="n">
        <v>-0.0378285356695869</v>
      </c>
      <c r="S21" s="17" t="b">
        <f aca="false">FALSE()</f>
        <v>0</v>
      </c>
    </row>
    <row r="22" customFormat="false" ht="15" hidden="false" customHeight="true" outlineLevel="0" collapsed="false">
      <c r="A22" s="12" t="n">
        <v>41658</v>
      </c>
      <c r="B22" s="13" t="n">
        <v>74297.3071841829</v>
      </c>
      <c r="C22" s="13" t="n">
        <v>72782.2843214029</v>
      </c>
      <c r="D22" s="13" t="n">
        <v>2176</v>
      </c>
      <c r="E22" s="14" t="n">
        <v>34.1439830809664</v>
      </c>
      <c r="F22" s="14" t="n">
        <v>33.4477409565271</v>
      </c>
      <c r="G22" s="13" t="n">
        <v>1515.02286278001</v>
      </c>
      <c r="H22" s="15" t="n">
        <v>0.0203913562980724</v>
      </c>
      <c r="I22" s="15" t="n">
        <v>0.0203913562980725</v>
      </c>
      <c r="J22" s="16" t="n">
        <v>2014</v>
      </c>
      <c r="K22" s="16" t="n">
        <v>1</v>
      </c>
      <c r="L22" s="16" t="n">
        <v>3</v>
      </c>
      <c r="M22" s="16" t="s">
        <v>38</v>
      </c>
      <c r="N22" s="17" t="b">
        <f aca="false">TRUE()</f>
        <v>1</v>
      </c>
      <c r="O22" s="14" t="n">
        <v>33.7469239453023</v>
      </c>
      <c r="P22" s="13" t="n">
        <v>4203.07142857143</v>
      </c>
      <c r="Q22" s="15" t="n">
        <v>0.0117657874924458</v>
      </c>
      <c r="R22" s="15" t="n">
        <v>-0.482283364206448</v>
      </c>
      <c r="S22" s="17" t="b">
        <f aca="false">FALSE()</f>
        <v>0</v>
      </c>
    </row>
    <row r="23" customFormat="false" ht="15" hidden="false" customHeight="true" outlineLevel="0" collapsed="false">
      <c r="A23" s="12" t="n">
        <v>41659</v>
      </c>
      <c r="B23" s="13" t="n">
        <v>83356.4245612027</v>
      </c>
      <c r="C23" s="13" t="n">
        <v>81789.1361223528</v>
      </c>
      <c r="D23" s="13" t="n">
        <v>2443</v>
      </c>
      <c r="E23" s="14" t="n">
        <v>34.1205176263621</v>
      </c>
      <c r="F23" s="14" t="n">
        <v>33.478975080783</v>
      </c>
      <c r="G23" s="13" t="n">
        <v>1567.28843884995</v>
      </c>
      <c r="H23" s="15" t="n">
        <v>0.0188022512613794</v>
      </c>
      <c r="I23" s="15" t="n">
        <v>0.0188022512613794</v>
      </c>
      <c r="J23" s="16" t="n">
        <v>2014</v>
      </c>
      <c r="K23" s="16" t="n">
        <v>1</v>
      </c>
      <c r="L23" s="16" t="n">
        <v>4</v>
      </c>
      <c r="M23" s="16" t="s">
        <v>32</v>
      </c>
      <c r="N23" s="17" t="b">
        <f aca="false">FALSE()</f>
        <v>0</v>
      </c>
      <c r="O23" s="14" t="n">
        <v>33.8687621325818</v>
      </c>
      <c r="P23" s="13" t="n">
        <v>3963.92857142857</v>
      </c>
      <c r="Q23" s="15" t="n">
        <v>0.00743326528424164</v>
      </c>
      <c r="R23" s="15" t="n">
        <v>-0.383692224524732</v>
      </c>
      <c r="S23" s="17" t="b">
        <f aca="false">FALSE()</f>
        <v>0</v>
      </c>
    </row>
    <row r="24" customFormat="false" ht="15" hidden="false" customHeight="true" outlineLevel="0" collapsed="false">
      <c r="A24" s="12" t="n">
        <v>41660</v>
      </c>
      <c r="B24" s="13" t="n">
        <v>89922.0142861726</v>
      </c>
      <c r="C24" s="13" t="n">
        <v>88388.9160691597</v>
      </c>
      <c r="D24" s="13" t="n">
        <v>2638</v>
      </c>
      <c r="E24" s="14" t="n">
        <v>34.0871926786098</v>
      </c>
      <c r="F24" s="14" t="n">
        <v>33.5060333848217</v>
      </c>
      <c r="G24" s="13" t="n">
        <v>1533.09821701286</v>
      </c>
      <c r="H24" s="15" t="n">
        <v>0.0170491978986797</v>
      </c>
      <c r="I24" s="15" t="n">
        <v>0.0170491978986798</v>
      </c>
      <c r="J24" s="16" t="n">
        <v>2014</v>
      </c>
      <c r="K24" s="16" t="n">
        <v>1</v>
      </c>
      <c r="L24" s="16" t="n">
        <v>4</v>
      </c>
      <c r="M24" s="16" t="s">
        <v>33</v>
      </c>
      <c r="N24" s="17" t="b">
        <f aca="false">FALSE()</f>
        <v>0</v>
      </c>
      <c r="O24" s="14" t="n">
        <v>33.9898663698722</v>
      </c>
      <c r="P24" s="13" t="n">
        <v>3463.57142857143</v>
      </c>
      <c r="Q24" s="15" t="n">
        <v>0.00286339192035934</v>
      </c>
      <c r="R24" s="15" t="n">
        <v>-0.238358424417406</v>
      </c>
      <c r="S24" s="17" t="b">
        <f aca="false">FALSE()</f>
        <v>0</v>
      </c>
    </row>
    <row r="25" customFormat="false" ht="15" hidden="false" customHeight="true" outlineLevel="0" collapsed="false">
      <c r="A25" s="12" t="n">
        <v>41661</v>
      </c>
      <c r="B25" s="13" t="n">
        <v>57806.302780099</v>
      </c>
      <c r="C25" s="13" t="n">
        <v>57157.2825440923</v>
      </c>
      <c r="D25" s="13" t="n">
        <v>1704</v>
      </c>
      <c r="E25" s="14" t="n">
        <v>33.9238866080393</v>
      </c>
      <c r="F25" s="14" t="n">
        <v>33.5430061878476</v>
      </c>
      <c r="G25" s="13" t="n">
        <v>649.020236006742</v>
      </c>
      <c r="H25" s="15" t="n">
        <v>0.0112274995077212</v>
      </c>
      <c r="I25" s="15" t="n">
        <v>0.011227499507721</v>
      </c>
      <c r="J25" s="16" t="n">
        <v>2014</v>
      </c>
      <c r="K25" s="16" t="n">
        <v>1</v>
      </c>
      <c r="L25" s="16" t="n">
        <v>4</v>
      </c>
      <c r="M25" s="16" t="s">
        <v>34</v>
      </c>
      <c r="N25" s="17" t="b">
        <f aca="false">FALSE()</f>
        <v>0</v>
      </c>
      <c r="O25" s="14" t="n">
        <v>34.1093051386404</v>
      </c>
      <c r="P25" s="13" t="n">
        <v>3158.35714285714</v>
      </c>
      <c r="Q25" s="15" t="n">
        <v>-0.00543601019860598</v>
      </c>
      <c r="R25" s="15" t="n">
        <v>-0.460479001289097</v>
      </c>
      <c r="S25" s="17" t="b">
        <f aca="false">FALSE()</f>
        <v>0</v>
      </c>
    </row>
    <row r="26" customFormat="false" ht="15" hidden="false" customHeight="true" outlineLevel="0" collapsed="false">
      <c r="A26" s="12" t="n">
        <v>41662</v>
      </c>
      <c r="B26" s="13" t="n">
        <v>63977.7503489236</v>
      </c>
      <c r="C26" s="13" t="n">
        <v>62863.987239063</v>
      </c>
      <c r="D26" s="13" t="n">
        <v>1872</v>
      </c>
      <c r="E26" s="14" t="n">
        <v>34.1761486906643</v>
      </c>
      <c r="F26" s="14" t="n">
        <v>33.5811897644567</v>
      </c>
      <c r="G26" s="13" t="n">
        <v>1113.76310986056</v>
      </c>
      <c r="H26" s="15" t="n">
        <v>0.0174086007054998</v>
      </c>
      <c r="I26" s="15" t="n">
        <v>0.0174086007054999</v>
      </c>
      <c r="J26" s="16" t="n">
        <v>2014</v>
      </c>
      <c r="K26" s="16" t="n">
        <v>1</v>
      </c>
      <c r="L26" s="16" t="n">
        <v>4</v>
      </c>
      <c r="M26" s="16" t="s">
        <v>35</v>
      </c>
      <c r="N26" s="17" t="b">
        <f aca="false">FALSE()</f>
        <v>0</v>
      </c>
      <c r="O26" s="14" t="n">
        <v>34.0996543675415</v>
      </c>
      <c r="P26" s="13" t="n">
        <v>3066.5</v>
      </c>
      <c r="Q26" s="15" t="n">
        <v>0.00224325801951949</v>
      </c>
      <c r="R26" s="15" t="n">
        <v>-0.389532039784771</v>
      </c>
      <c r="S26" s="17" t="b">
        <f aca="false">FALSE()</f>
        <v>0</v>
      </c>
    </row>
    <row r="27" customFormat="false" ht="15" hidden="false" customHeight="true" outlineLevel="0" collapsed="false">
      <c r="A27" s="12" t="n">
        <v>41663</v>
      </c>
      <c r="B27" s="13" t="n">
        <v>116958.799847952</v>
      </c>
      <c r="C27" s="13" t="n">
        <v>114823.795223813</v>
      </c>
      <c r="D27" s="13" t="n">
        <v>3423</v>
      </c>
      <c r="E27" s="14" t="n">
        <v>34.1685071130447</v>
      </c>
      <c r="F27" s="14" t="n">
        <v>33.5447838807516</v>
      </c>
      <c r="G27" s="13" t="n">
        <v>2135.0046241393</v>
      </c>
      <c r="H27" s="15" t="n">
        <v>0.0182543308149095</v>
      </c>
      <c r="I27" s="15" t="n">
        <v>0.0182543308149094</v>
      </c>
      <c r="J27" s="16" t="n">
        <v>2014</v>
      </c>
      <c r="K27" s="16" t="n">
        <v>1</v>
      </c>
      <c r="L27" s="16" t="n">
        <v>4</v>
      </c>
      <c r="M27" s="16" t="s">
        <v>36</v>
      </c>
      <c r="N27" s="17" t="b">
        <f aca="false">FALSE()</f>
        <v>0</v>
      </c>
      <c r="O27" s="14" t="n">
        <v>34.1032302904505</v>
      </c>
      <c r="P27" s="13" t="n">
        <v>2974.57142857143</v>
      </c>
      <c r="Q27" s="15" t="n">
        <v>0.00191409500033303</v>
      </c>
      <c r="R27" s="15" t="n">
        <v>0.150754010181539</v>
      </c>
      <c r="S27" s="17" t="b">
        <f aca="false">FALSE()</f>
        <v>0</v>
      </c>
    </row>
    <row r="28" customFormat="false" ht="15" hidden="false" customHeight="true" outlineLevel="0" collapsed="false">
      <c r="A28" s="12" t="n">
        <v>41664</v>
      </c>
      <c r="B28" s="13" t="n">
        <v>155272.82480548</v>
      </c>
      <c r="C28" s="13" t="n">
        <v>152636.276562366</v>
      </c>
      <c r="D28" s="13" t="n">
        <v>4544</v>
      </c>
      <c r="E28" s="14" t="n">
        <v>34.1709561631779</v>
      </c>
      <c r="F28" s="14" t="n">
        <v>33.5907298772812</v>
      </c>
      <c r="G28" s="13" t="n">
        <v>2636.54824311423</v>
      </c>
      <c r="H28" s="15" t="n">
        <v>0.0169801009701292</v>
      </c>
      <c r="I28" s="15" t="n">
        <v>0.0169801009701293</v>
      </c>
      <c r="J28" s="16" t="n">
        <v>2014</v>
      </c>
      <c r="K28" s="16" t="n">
        <v>1</v>
      </c>
      <c r="L28" s="16" t="n">
        <v>4</v>
      </c>
      <c r="M28" s="16" t="s">
        <v>37</v>
      </c>
      <c r="N28" s="17" t="b">
        <f aca="false">TRUE()</f>
        <v>1</v>
      </c>
      <c r="O28" s="14" t="n">
        <v>34.1074279298768</v>
      </c>
      <c r="P28" s="13" t="n">
        <v>2915.78571428571</v>
      </c>
      <c r="Q28" s="15" t="n">
        <v>0.00186259231952713</v>
      </c>
      <c r="R28" s="15" t="n">
        <v>0.558413561647192</v>
      </c>
      <c r="S28" s="17" t="b">
        <f aca="false">FALSE()</f>
        <v>0</v>
      </c>
    </row>
    <row r="29" customFormat="false" ht="15" hidden="false" customHeight="true" outlineLevel="0" collapsed="false">
      <c r="A29" s="12" t="n">
        <v>41665</v>
      </c>
      <c r="B29" s="13" t="n">
        <v>82885.2159097627</v>
      </c>
      <c r="C29" s="13" t="n">
        <v>81583.1669498532</v>
      </c>
      <c r="D29" s="13" t="n">
        <v>2426</v>
      </c>
      <c r="E29" s="14" t="n">
        <v>34.1653816610728</v>
      </c>
      <c r="F29" s="14" t="n">
        <v>33.6286755770211</v>
      </c>
      <c r="G29" s="13" t="n">
        <v>1302.04895990953</v>
      </c>
      <c r="H29" s="15" t="n">
        <v>0.01570906156928</v>
      </c>
      <c r="I29" s="15" t="n">
        <v>0.01570906156928</v>
      </c>
      <c r="J29" s="16" t="n">
        <v>2014</v>
      </c>
      <c r="K29" s="16" t="n">
        <v>1</v>
      </c>
      <c r="L29" s="16" t="n">
        <v>4</v>
      </c>
      <c r="M29" s="16" t="s">
        <v>38</v>
      </c>
      <c r="N29" s="17" t="b">
        <f aca="false">TRUE()</f>
        <v>1</v>
      </c>
      <c r="O29" s="14" t="n">
        <v>34.1117684378714</v>
      </c>
      <c r="P29" s="13" t="n">
        <v>2933.42857142857</v>
      </c>
      <c r="Q29" s="15" t="n">
        <v>0.00157169286896145</v>
      </c>
      <c r="R29" s="15" t="n">
        <v>-0.172981396707899</v>
      </c>
      <c r="S29" s="17" t="b">
        <f aca="false">FALSE()</f>
        <v>0</v>
      </c>
    </row>
    <row r="30" customFormat="false" ht="15" hidden="false" customHeight="true" outlineLevel="0" collapsed="false">
      <c r="A30" s="12" t="n">
        <v>41666</v>
      </c>
      <c r="B30" s="13" t="n">
        <v>72353.4258824533</v>
      </c>
      <c r="C30" s="13" t="n">
        <v>71377.1564554363</v>
      </c>
      <c r="D30" s="13" t="n">
        <v>2117</v>
      </c>
      <c r="E30" s="14" t="n">
        <v>34.1773386312959</v>
      </c>
      <c r="F30" s="14" t="n">
        <v>33.7161816038906</v>
      </c>
      <c r="G30" s="13" t="n">
        <v>976.26942701696</v>
      </c>
      <c r="H30" s="15" t="n">
        <v>0.0134930642897687</v>
      </c>
      <c r="I30" s="15" t="n">
        <v>0.0134930642897687</v>
      </c>
      <c r="J30" s="16" t="n">
        <v>2014</v>
      </c>
      <c r="K30" s="16" t="n">
        <v>1</v>
      </c>
      <c r="L30" s="16" t="n">
        <v>5</v>
      </c>
      <c r="M30" s="16" t="s">
        <v>32</v>
      </c>
      <c r="N30" s="17" t="b">
        <f aca="false">FALSE()</f>
        <v>0</v>
      </c>
      <c r="O30" s="14" t="n">
        <v>34.1144261669242</v>
      </c>
      <c r="P30" s="13" t="n">
        <v>2907</v>
      </c>
      <c r="Q30" s="15" t="n">
        <v>0.00184416012345754</v>
      </c>
      <c r="R30" s="15" t="n">
        <v>-0.271757825937393</v>
      </c>
      <c r="S30" s="17" t="b">
        <f aca="false">FALSE()</f>
        <v>0</v>
      </c>
    </row>
    <row r="31" customFormat="false" ht="15" hidden="false" customHeight="true" outlineLevel="0" collapsed="false">
      <c r="A31" s="12" t="n">
        <v>41667</v>
      </c>
      <c r="B31" s="13" t="n">
        <v>50415.9037623892</v>
      </c>
      <c r="C31" s="13" t="n">
        <v>49769.0982430032</v>
      </c>
      <c r="D31" s="13" t="n">
        <v>1476</v>
      </c>
      <c r="E31" s="14" t="n">
        <v>34.1571163701824</v>
      </c>
      <c r="F31" s="14" t="n">
        <v>33.7189012486472</v>
      </c>
      <c r="G31" s="13" t="n">
        <v>646.805519385933</v>
      </c>
      <c r="H31" s="15" t="n">
        <v>0.0128293945187284</v>
      </c>
      <c r="I31" s="15" t="n">
        <v>0.0128293945187284</v>
      </c>
      <c r="J31" s="16" t="n">
        <v>2014</v>
      </c>
      <c r="K31" s="16" t="n">
        <v>1</v>
      </c>
      <c r="L31" s="16" t="n">
        <v>5</v>
      </c>
      <c r="M31" s="16" t="s">
        <v>33</v>
      </c>
      <c r="N31" s="17" t="b">
        <f aca="false">FALSE()</f>
        <v>0</v>
      </c>
      <c r="O31" s="14" t="n">
        <v>34.1199445500323</v>
      </c>
      <c r="P31" s="13" t="n">
        <v>2817.57142857143</v>
      </c>
      <c r="Q31" s="15" t="n">
        <v>0.0010894455029234</v>
      </c>
      <c r="R31" s="15" t="n">
        <v>-0.476144602748061</v>
      </c>
      <c r="S31" s="17" t="b">
        <f aca="false">FALSE()</f>
        <v>0</v>
      </c>
    </row>
    <row r="32" customFormat="false" ht="15" hidden="false" customHeight="true" outlineLevel="0" collapsed="false">
      <c r="A32" s="12" t="n">
        <v>41668</v>
      </c>
      <c r="B32" s="13" t="n">
        <v>67458.3018912738</v>
      </c>
      <c r="C32" s="13" t="n">
        <v>66529.4419965314</v>
      </c>
      <c r="D32" s="13" t="n">
        <v>1974</v>
      </c>
      <c r="E32" s="14" t="n">
        <v>34.1734052134112</v>
      </c>
      <c r="F32" s="14" t="n">
        <v>33.7028581542713</v>
      </c>
      <c r="G32" s="13" t="n">
        <v>928.859894742345</v>
      </c>
      <c r="H32" s="15" t="n">
        <v>0.0137693933689502</v>
      </c>
      <c r="I32" s="15" t="n">
        <v>0.0137693933689503</v>
      </c>
      <c r="J32" s="16" t="n">
        <v>2014</v>
      </c>
      <c r="K32" s="16" t="n">
        <v>1</v>
      </c>
      <c r="L32" s="16" t="n">
        <v>5</v>
      </c>
      <c r="M32" s="16" t="s">
        <v>34</v>
      </c>
      <c r="N32" s="17" t="b">
        <f aca="false">FALSE()</f>
        <v>0</v>
      </c>
      <c r="O32" s="14" t="n">
        <v>34.1232941836809</v>
      </c>
      <c r="P32" s="13" t="n">
        <v>2755.28571428571</v>
      </c>
      <c r="Q32" s="15" t="n">
        <v>0.00146852849143497</v>
      </c>
      <c r="R32" s="15" t="n">
        <v>-0.283558873852854</v>
      </c>
      <c r="S32" s="17" t="b">
        <f aca="false">FALSE()</f>
        <v>0</v>
      </c>
    </row>
    <row r="33" customFormat="false" ht="15" hidden="false" customHeight="true" outlineLevel="0" collapsed="false">
      <c r="A33" s="12" t="n">
        <v>41669</v>
      </c>
      <c r="B33" s="13" t="n">
        <v>64640.3693131938</v>
      </c>
      <c r="C33" s="13" t="n">
        <v>63757.8398684521</v>
      </c>
      <c r="D33" s="13" t="n">
        <v>1892</v>
      </c>
      <c r="E33" s="14" t="n">
        <v>34.1651000598276</v>
      </c>
      <c r="F33" s="14" t="n">
        <v>33.6986468649324</v>
      </c>
      <c r="G33" s="13" t="n">
        <v>882.529444741718</v>
      </c>
      <c r="H33" s="15" t="n">
        <v>0.0136529146432582</v>
      </c>
      <c r="I33" s="15" t="n">
        <v>0.0136529146432582</v>
      </c>
      <c r="J33" s="16" t="n">
        <v>2014</v>
      </c>
      <c r="K33" s="16" t="n">
        <v>1</v>
      </c>
      <c r="L33" s="16" t="n">
        <v>5</v>
      </c>
      <c r="M33" s="16" t="s">
        <v>35</v>
      </c>
      <c r="N33" s="17" t="b">
        <f aca="false">FALSE()</f>
        <v>0</v>
      </c>
      <c r="O33" s="14" t="n">
        <v>34.1296921014865</v>
      </c>
      <c r="P33" s="13" t="n">
        <v>2688.92857142857</v>
      </c>
      <c r="Q33" s="15" t="n">
        <v>0.00103745320162306</v>
      </c>
      <c r="R33" s="15" t="n">
        <v>-0.296374020454244</v>
      </c>
      <c r="S33" s="17" t="b">
        <f aca="false">FALSE()</f>
        <v>0</v>
      </c>
    </row>
    <row r="34" customFormat="false" ht="15" hidden="false" customHeight="true" outlineLevel="0" collapsed="false">
      <c r="A34" s="12" t="n">
        <v>41670</v>
      </c>
      <c r="B34" s="13" t="n">
        <v>137693.873500331</v>
      </c>
      <c r="C34" s="13" t="n">
        <v>135609.50758205</v>
      </c>
      <c r="D34" s="13" t="n">
        <v>4030</v>
      </c>
      <c r="E34" s="14" t="n">
        <v>34.1672142680723</v>
      </c>
      <c r="F34" s="14" t="n">
        <v>33.6500018814019</v>
      </c>
      <c r="G34" s="13" t="n">
        <v>2084.36591828172</v>
      </c>
      <c r="H34" s="15" t="n">
        <v>0.0151376808952702</v>
      </c>
      <c r="I34" s="15" t="n">
        <v>0.0151376808952702</v>
      </c>
      <c r="J34" s="16" t="n">
        <v>2014</v>
      </c>
      <c r="K34" s="16" t="n">
        <v>1</v>
      </c>
      <c r="L34" s="16" t="n">
        <v>5</v>
      </c>
      <c r="M34" s="16" t="s">
        <v>36</v>
      </c>
      <c r="N34" s="17" t="b">
        <f aca="false">FALSE()</f>
        <v>0</v>
      </c>
      <c r="O34" s="14" t="n">
        <v>34.1354374285187</v>
      </c>
      <c r="P34" s="13" t="n">
        <v>2646.14285714286</v>
      </c>
      <c r="Q34" s="15" t="n">
        <v>0.000930904712151836</v>
      </c>
      <c r="R34" s="15" t="n">
        <v>0.522971440911299</v>
      </c>
      <c r="S34" s="17" t="b">
        <f aca="false">FALSE()</f>
        <v>0</v>
      </c>
    </row>
    <row r="35" customFormat="false" ht="15" hidden="false" customHeight="true" outlineLevel="0" collapsed="false">
      <c r="A35" s="12" t="n">
        <v>41671</v>
      </c>
      <c r="B35" s="13" t="n">
        <v>181209.128481213</v>
      </c>
      <c r="C35" s="13" t="n">
        <v>178435.715345796</v>
      </c>
      <c r="D35" s="13" t="n">
        <v>5304</v>
      </c>
      <c r="E35" s="14" t="n">
        <v>34.1646169836374</v>
      </c>
      <c r="F35" s="14" t="n">
        <v>33.6417261210023</v>
      </c>
      <c r="G35" s="13" t="n">
        <v>2773.41313541666</v>
      </c>
      <c r="H35" s="15" t="n">
        <v>0.0153050409693031</v>
      </c>
      <c r="I35" s="15" t="n">
        <v>0.015305040969303</v>
      </c>
      <c r="J35" s="16" t="n">
        <v>2014</v>
      </c>
      <c r="K35" s="16" t="n">
        <v>2</v>
      </c>
      <c r="L35" s="16" t="n">
        <v>5</v>
      </c>
      <c r="M35" s="16" t="s">
        <v>37</v>
      </c>
      <c r="N35" s="17" t="b">
        <f aca="false">TRUE()</f>
        <v>1</v>
      </c>
      <c r="O35" s="14" t="n">
        <v>34.1375055180875</v>
      </c>
      <c r="P35" s="13" t="n">
        <v>2650.57142857143</v>
      </c>
      <c r="Q35" s="15" t="n">
        <v>0.000794184142583931</v>
      </c>
      <c r="R35" s="15" t="n">
        <v>1.00107793467716</v>
      </c>
      <c r="S35" s="17" t="b">
        <f aca="false">FALSE()</f>
        <v>0</v>
      </c>
    </row>
    <row r="36" customFormat="false" ht="15" hidden="false" customHeight="true" outlineLevel="0" collapsed="false">
      <c r="A36" s="12" t="n">
        <v>41672</v>
      </c>
      <c r="B36" s="13" t="n">
        <v>113433.581045457</v>
      </c>
      <c r="C36" s="13" t="n">
        <v>111466.516847537</v>
      </c>
      <c r="D36" s="13" t="n">
        <v>3320</v>
      </c>
      <c r="E36" s="14" t="n">
        <v>34.1667412787521</v>
      </c>
      <c r="F36" s="14" t="n">
        <v>33.5742520625112</v>
      </c>
      <c r="G36" s="13" t="n">
        <v>1967.06419791972</v>
      </c>
      <c r="H36" s="15" t="n">
        <v>0.017341109923449</v>
      </c>
      <c r="I36" s="15" t="n">
        <v>0.0173411099234489</v>
      </c>
      <c r="J36" s="16" t="n">
        <v>2014</v>
      </c>
      <c r="K36" s="16" t="n">
        <v>2</v>
      </c>
      <c r="L36" s="16" t="n">
        <v>5</v>
      </c>
      <c r="M36" s="16" t="s">
        <v>38</v>
      </c>
      <c r="N36" s="17" t="b">
        <f aca="false">TRUE()</f>
        <v>1</v>
      </c>
      <c r="O36" s="14" t="n">
        <v>34.1400975105974</v>
      </c>
      <c r="P36" s="13" t="n">
        <v>2715.64285714286</v>
      </c>
      <c r="Q36" s="15" t="n">
        <v>0.000780424489016179</v>
      </c>
      <c r="R36" s="15" t="n">
        <v>0.222546621426129</v>
      </c>
      <c r="S36" s="17" t="b">
        <f aca="false">FALSE()</f>
        <v>0</v>
      </c>
    </row>
    <row r="37" customFormat="false" ht="15" hidden="false" customHeight="true" outlineLevel="0" collapsed="false">
      <c r="A37" s="12" t="n">
        <v>41673</v>
      </c>
      <c r="B37" s="13" t="n">
        <v>143192.533356176</v>
      </c>
      <c r="C37" s="13" t="n">
        <v>140505.634723003</v>
      </c>
      <c r="D37" s="13" t="n">
        <v>4191</v>
      </c>
      <c r="E37" s="14" t="n">
        <v>34.1666746256684</v>
      </c>
      <c r="F37" s="14" t="n">
        <v>33.525563045336</v>
      </c>
      <c r="G37" s="13" t="n">
        <v>2686.89863317314</v>
      </c>
      <c r="H37" s="15" t="n">
        <v>0.0187642370045215</v>
      </c>
      <c r="I37" s="15" t="n">
        <v>0.0187642370045215</v>
      </c>
      <c r="J37" s="16" t="n">
        <v>2014</v>
      </c>
      <c r="K37" s="16" t="n">
        <v>2</v>
      </c>
      <c r="L37" s="16" t="n">
        <v>6</v>
      </c>
      <c r="M37" s="16" t="s">
        <v>32</v>
      </c>
      <c r="N37" s="17" t="b">
        <f aca="false">FALSE()</f>
        <v>0</v>
      </c>
      <c r="O37" s="14" t="n">
        <v>34.1417230961536</v>
      </c>
      <c r="P37" s="13" t="n">
        <v>2797.35714285714</v>
      </c>
      <c r="Q37" s="15" t="n">
        <v>0.00073082220966436</v>
      </c>
      <c r="R37" s="15" t="n">
        <v>0.498199831473585</v>
      </c>
      <c r="S37" s="17" t="b">
        <f aca="false">FALSE()</f>
        <v>0</v>
      </c>
    </row>
    <row r="38" customFormat="false" ht="15" hidden="false" customHeight="true" outlineLevel="0" collapsed="false">
      <c r="A38" s="12" t="n">
        <v>41674</v>
      </c>
      <c r="B38" s="13" t="n">
        <v>130126.649892881</v>
      </c>
      <c r="C38" s="13" t="n">
        <v>128496.287701173</v>
      </c>
      <c r="D38" s="13" t="n">
        <v>3809</v>
      </c>
      <c r="E38" s="14" t="n">
        <v>34.1629430015441</v>
      </c>
      <c r="F38" s="14" t="n">
        <v>33.7349140722428</v>
      </c>
      <c r="G38" s="13" t="n">
        <v>1630.36219170867</v>
      </c>
      <c r="H38" s="15" t="n">
        <v>0.0125290414611516</v>
      </c>
      <c r="I38" s="15" t="n">
        <v>0.0125290414611516</v>
      </c>
      <c r="J38" s="16" t="n">
        <v>2014</v>
      </c>
      <c r="K38" s="16" t="n">
        <v>2</v>
      </c>
      <c r="L38" s="16" t="n">
        <v>6</v>
      </c>
      <c r="M38" s="16" t="s">
        <v>33</v>
      </c>
      <c r="N38" s="17" t="b">
        <f aca="false">FALSE()</f>
        <v>0</v>
      </c>
      <c r="O38" s="14" t="n">
        <v>34.1450200246754</v>
      </c>
      <c r="P38" s="13" t="n">
        <v>2922.21428571429</v>
      </c>
      <c r="Q38" s="15" t="n">
        <v>0.00052490749326533</v>
      </c>
      <c r="R38" s="15" t="n">
        <v>0.303463616142358</v>
      </c>
      <c r="S38" s="17" t="b">
        <f aca="false">FALSE()</f>
        <v>0</v>
      </c>
    </row>
    <row r="39" customFormat="false" ht="15" hidden="false" customHeight="true" outlineLevel="0" collapsed="false">
      <c r="A39" s="12" t="n">
        <v>41675</v>
      </c>
      <c r="B39" s="13" t="n">
        <v>187155.86854574</v>
      </c>
      <c r="C39" s="13" t="n">
        <v>195078.603330943</v>
      </c>
      <c r="D39" s="13" t="n">
        <v>5764</v>
      </c>
      <c r="E39" s="14" t="n">
        <v>32.4697898240354</v>
      </c>
      <c r="F39" s="14" t="n">
        <v>33.844310085174</v>
      </c>
      <c r="G39" s="13" t="n">
        <v>-7922.73478520304</v>
      </c>
      <c r="H39" s="15" t="n">
        <v>-0.0423322808243481</v>
      </c>
      <c r="I39" s="15" t="n">
        <v>-0.0423322808243482</v>
      </c>
      <c r="J39" s="16" t="n">
        <v>2014</v>
      </c>
      <c r="K39" s="16" t="n">
        <v>2</v>
      </c>
      <c r="L39" s="16" t="n">
        <v>6</v>
      </c>
      <c r="M39" s="16" t="s">
        <v>34</v>
      </c>
      <c r="N39" s="17" t="b">
        <f aca="false">FALSE()</f>
        <v>0</v>
      </c>
      <c r="O39" s="14" t="n">
        <v>34.1504307620279</v>
      </c>
      <c r="P39" s="13" t="n">
        <v>3005.85714285714</v>
      </c>
      <c r="Q39" s="15" t="n">
        <v>-0.0492128766897211</v>
      </c>
      <c r="R39" s="15" t="n">
        <v>0.91758946818117</v>
      </c>
      <c r="S39" s="17" t="b">
        <f aca="false">FALSE()</f>
        <v>0</v>
      </c>
    </row>
    <row r="40" customFormat="false" ht="15" hidden="false" customHeight="true" outlineLevel="0" collapsed="false">
      <c r="A40" s="12" t="n">
        <v>41676</v>
      </c>
      <c r="B40" s="13" t="n">
        <v>102314.709596504</v>
      </c>
      <c r="C40" s="13" t="n">
        <v>101977.989955289</v>
      </c>
      <c r="D40" s="13" t="n">
        <v>3028</v>
      </c>
      <c r="E40" s="14" t="n">
        <v>33.7895342128481</v>
      </c>
      <c r="F40" s="14" t="n">
        <v>33.6783322177307</v>
      </c>
      <c r="G40" s="13" t="n">
        <v>336.719641215474</v>
      </c>
      <c r="H40" s="15" t="n">
        <v>0.00329101888226421</v>
      </c>
      <c r="I40" s="15" t="n">
        <v>0.00329101888226427</v>
      </c>
      <c r="J40" s="16" t="n">
        <v>2014</v>
      </c>
      <c r="K40" s="16" t="n">
        <v>2</v>
      </c>
      <c r="L40" s="16" t="n">
        <v>6</v>
      </c>
      <c r="M40" s="16" t="s">
        <v>35</v>
      </c>
      <c r="N40" s="17" t="b">
        <f aca="false">FALSE()</f>
        <v>0</v>
      </c>
      <c r="O40" s="14" t="n">
        <v>34.0465667060276</v>
      </c>
      <c r="P40" s="13" t="n">
        <v>3295.85714285714</v>
      </c>
      <c r="Q40" s="15" t="n">
        <v>-0.00754943943096607</v>
      </c>
      <c r="R40" s="15" t="n">
        <v>-0.0812708595206102</v>
      </c>
      <c r="S40" s="17" t="b">
        <f aca="false">FALSE()</f>
        <v>0</v>
      </c>
    </row>
    <row r="41" customFormat="false" ht="15" hidden="false" customHeight="true" outlineLevel="0" collapsed="false">
      <c r="A41" s="12" t="n">
        <v>41677</v>
      </c>
      <c r="B41" s="13" t="n">
        <v>301553.842555087</v>
      </c>
      <c r="C41" s="13" t="n">
        <v>313529.187748716</v>
      </c>
      <c r="D41" s="13" t="n">
        <v>9284</v>
      </c>
      <c r="E41" s="14" t="n">
        <v>32.4810256952916</v>
      </c>
      <c r="F41" s="14" t="n">
        <v>33.7709163882718</v>
      </c>
      <c r="G41" s="13" t="n">
        <v>-11975.3451936288</v>
      </c>
      <c r="H41" s="15" t="n">
        <v>-0.0397121293237747</v>
      </c>
      <c r="I41" s="15" t="n">
        <v>-0.0397121293237746</v>
      </c>
      <c r="J41" s="16" t="n">
        <v>2014</v>
      </c>
      <c r="K41" s="16" t="n">
        <v>2</v>
      </c>
      <c r="L41" s="16" t="n">
        <v>6</v>
      </c>
      <c r="M41" s="16" t="s">
        <v>36</v>
      </c>
      <c r="N41" s="17" t="b">
        <f aca="false">FALSE()</f>
        <v>0</v>
      </c>
      <c r="O41" s="14" t="n">
        <v>34.0189513861836</v>
      </c>
      <c r="P41" s="13" t="n">
        <v>3378.42857142857</v>
      </c>
      <c r="Q41" s="15" t="n">
        <v>-0.0452079099509407</v>
      </c>
      <c r="R41" s="15" t="n">
        <v>1.74802317222716</v>
      </c>
      <c r="S41" s="17" t="b">
        <f aca="false">FALSE()</f>
        <v>0</v>
      </c>
    </row>
    <row r="42" customFormat="false" ht="15" hidden="false" customHeight="true" outlineLevel="0" collapsed="false">
      <c r="A42" s="12" t="n">
        <v>41678</v>
      </c>
      <c r="B42" s="13" t="n">
        <v>316073.177549394</v>
      </c>
      <c r="C42" s="13" t="n">
        <v>329754.779463582</v>
      </c>
      <c r="D42" s="13" t="n">
        <v>9737</v>
      </c>
      <c r="E42" s="14" t="n">
        <v>32.461043190859</v>
      </c>
      <c r="F42" s="14" t="n">
        <v>33.8661578991047</v>
      </c>
      <c r="G42" s="13" t="n">
        <v>-13681.6019141879</v>
      </c>
      <c r="H42" s="15" t="n">
        <v>-0.043286184611631</v>
      </c>
      <c r="I42" s="15" t="n">
        <v>-0.0432861846116309</v>
      </c>
      <c r="J42" s="16" t="n">
        <v>2014</v>
      </c>
      <c r="K42" s="16" t="n">
        <v>2</v>
      </c>
      <c r="L42" s="16" t="n">
        <v>6</v>
      </c>
      <c r="M42" s="16" t="s">
        <v>37</v>
      </c>
      <c r="N42" s="17" t="b">
        <f aca="false">TRUE()</f>
        <v>1</v>
      </c>
      <c r="O42" s="14" t="n">
        <v>33.8984169992012</v>
      </c>
      <c r="P42" s="13" t="n">
        <v>3797.07142857143</v>
      </c>
      <c r="Q42" s="15" t="n">
        <v>-0.0424023873556121</v>
      </c>
      <c r="R42" s="15" t="n">
        <v>1.56434470174383</v>
      </c>
      <c r="S42" s="17" t="b">
        <f aca="false">FALSE()</f>
        <v>0</v>
      </c>
    </row>
    <row r="43" customFormat="false" ht="15" hidden="false" customHeight="true" outlineLevel="0" collapsed="false">
      <c r="A43" s="12" t="n">
        <v>41679</v>
      </c>
      <c r="B43" s="13" t="n">
        <v>135178.042554582</v>
      </c>
      <c r="C43" s="13" t="n">
        <v>141530.708683291</v>
      </c>
      <c r="D43" s="13" t="n">
        <v>4163</v>
      </c>
      <c r="E43" s="14" t="n">
        <v>32.4713049614658</v>
      </c>
      <c r="F43" s="14" t="n">
        <v>33.9972876971634</v>
      </c>
      <c r="G43" s="13" t="n">
        <v>-6352.66612870898</v>
      </c>
      <c r="H43" s="15" t="n">
        <v>-0.0469948078005634</v>
      </c>
      <c r="I43" s="15" t="n">
        <v>-0.0469948078005634</v>
      </c>
      <c r="J43" s="16" t="n">
        <v>2014</v>
      </c>
      <c r="K43" s="16" t="n">
        <v>2</v>
      </c>
      <c r="L43" s="16" t="n">
        <v>6</v>
      </c>
      <c r="M43" s="16" t="s">
        <v>38</v>
      </c>
      <c r="N43" s="17" t="b">
        <f aca="false">TRUE()</f>
        <v>1</v>
      </c>
      <c r="O43" s="14" t="n">
        <v>33.7762803583213</v>
      </c>
      <c r="P43" s="13" t="n">
        <v>4168</v>
      </c>
      <c r="Q43" s="15" t="n">
        <v>-0.03863585282368</v>
      </c>
      <c r="R43" s="15" t="n">
        <v>-0.00119961612284069</v>
      </c>
      <c r="S43" s="17" t="b">
        <f aca="false">FALSE()</f>
        <v>0</v>
      </c>
    </row>
    <row r="44" customFormat="false" ht="15" hidden="false" customHeight="true" outlineLevel="0" collapsed="false">
      <c r="A44" s="12" t="n">
        <v>41680</v>
      </c>
      <c r="B44" s="13" t="n">
        <v>147727.516186314</v>
      </c>
      <c r="C44" s="13" t="n">
        <v>154828.684575077</v>
      </c>
      <c r="D44" s="13" t="n">
        <v>4552</v>
      </c>
      <c r="E44" s="14" t="n">
        <v>32.4533207790671</v>
      </c>
      <c r="F44" s="14" t="n">
        <v>34.0133314092875</v>
      </c>
      <c r="G44" s="13" t="n">
        <v>-7101.16838876315</v>
      </c>
      <c r="H44" s="15" t="n">
        <v>-0.0480693683349227</v>
      </c>
      <c r="I44" s="15" t="n">
        <v>-0.0480693683349226</v>
      </c>
      <c r="J44" s="16" t="n">
        <v>2014</v>
      </c>
      <c r="K44" s="16" t="n">
        <v>2</v>
      </c>
      <c r="L44" s="16" t="n">
        <v>7</v>
      </c>
      <c r="M44" s="16" t="s">
        <v>32</v>
      </c>
      <c r="N44" s="17" t="b">
        <f aca="false">FALSE()</f>
        <v>0</v>
      </c>
      <c r="O44" s="14" t="n">
        <v>33.6552748797779</v>
      </c>
      <c r="P44" s="13" t="n">
        <v>4292.07142857143</v>
      </c>
      <c r="Q44" s="15" t="n">
        <v>-0.0357136913902619</v>
      </c>
      <c r="R44" s="15" t="n">
        <v>0.0605601690825276</v>
      </c>
      <c r="S44" s="17" t="b">
        <f aca="false">FALSE()</f>
        <v>0</v>
      </c>
    </row>
    <row r="45" customFormat="false" ht="15" hidden="false" customHeight="true" outlineLevel="0" collapsed="false">
      <c r="A45" s="12" t="n">
        <v>41681</v>
      </c>
      <c r="B45" s="13" t="n">
        <v>135498.746444386</v>
      </c>
      <c r="C45" s="13" t="n">
        <v>139824.161641013</v>
      </c>
      <c r="D45" s="13" t="n">
        <v>4172</v>
      </c>
      <c r="E45" s="14" t="n">
        <v>32.4781271439085</v>
      </c>
      <c r="F45" s="14" t="n">
        <v>33.5148997221986</v>
      </c>
      <c r="G45" s="13" t="n">
        <v>-4325.41519662662</v>
      </c>
      <c r="H45" s="15" t="n">
        <v>-0.0319221786926416</v>
      </c>
      <c r="I45" s="15" t="n">
        <v>-0.0319221786926415</v>
      </c>
      <c r="J45" s="16" t="n">
        <v>2014</v>
      </c>
      <c r="K45" s="16" t="n">
        <v>2</v>
      </c>
      <c r="L45" s="16" t="n">
        <v>7</v>
      </c>
      <c r="M45" s="16" t="s">
        <v>33</v>
      </c>
      <c r="N45" s="17" t="b">
        <f aca="false">FALSE()</f>
        <v>0</v>
      </c>
      <c r="O45" s="14" t="n">
        <v>33.5321307474759</v>
      </c>
      <c r="P45" s="13" t="n">
        <v>4466</v>
      </c>
      <c r="Q45" s="15" t="n">
        <v>-0.0314326462432383</v>
      </c>
      <c r="R45" s="15" t="n">
        <v>-0.0658307210031348</v>
      </c>
      <c r="S45" s="17" t="b">
        <f aca="false">FALSE()</f>
        <v>0</v>
      </c>
    </row>
    <row r="46" customFormat="false" ht="15" hidden="false" customHeight="true" outlineLevel="0" collapsed="false">
      <c r="A46" s="12" t="n">
        <v>41682</v>
      </c>
      <c r="B46" s="13" t="n">
        <v>163432.845205282</v>
      </c>
      <c r="C46" s="13" t="n">
        <v>166893.368919005</v>
      </c>
      <c r="D46" s="13" t="n">
        <v>5037</v>
      </c>
      <c r="E46" s="14" t="n">
        <v>32.4464651985869</v>
      </c>
      <c r="F46" s="14" t="n">
        <v>33.1334859874936</v>
      </c>
      <c r="G46" s="13" t="n">
        <v>-3460.5237137228</v>
      </c>
      <c r="H46" s="15" t="n">
        <v>-0.0211739794982836</v>
      </c>
      <c r="I46" s="15" t="n">
        <v>-0.0211739794982836</v>
      </c>
      <c r="J46" s="16" t="n">
        <v>2014</v>
      </c>
      <c r="K46" s="16" t="n">
        <v>2</v>
      </c>
      <c r="L46" s="16" t="n">
        <v>7</v>
      </c>
      <c r="M46" s="16" t="s">
        <v>34</v>
      </c>
      <c r="N46" s="17" t="b">
        <f aca="false">FALSE()</f>
        <v>0</v>
      </c>
      <c r="O46" s="14" t="n">
        <v>33.4122029455992</v>
      </c>
      <c r="P46" s="13" t="n">
        <v>4658.57142857143</v>
      </c>
      <c r="Q46" s="15" t="n">
        <v>-0.0289037435988479</v>
      </c>
      <c r="R46" s="15" t="n">
        <v>0.0812327506899724</v>
      </c>
      <c r="S46" s="17" t="b">
        <f aca="false">FALSE()</f>
        <v>0</v>
      </c>
    </row>
    <row r="47" customFormat="false" ht="15" hidden="false" customHeight="true" outlineLevel="0" collapsed="false">
      <c r="A47" s="12" t="n">
        <v>41683</v>
      </c>
      <c r="B47" s="13" t="n">
        <v>138291.633321586</v>
      </c>
      <c r="C47" s="13" t="n">
        <v>141027.434455681</v>
      </c>
      <c r="D47" s="13" t="n">
        <v>4259</v>
      </c>
      <c r="E47" s="14" t="n">
        <v>32.4704468940094</v>
      </c>
      <c r="F47" s="14" t="n">
        <v>33.1128045211743</v>
      </c>
      <c r="G47" s="13" t="n">
        <v>-2735.80113409521</v>
      </c>
      <c r="H47" s="15" t="n">
        <v>-0.0197828391232702</v>
      </c>
      <c r="I47" s="15" t="n">
        <v>-0.0197828391232702</v>
      </c>
      <c r="J47" s="16" t="n">
        <v>2014</v>
      </c>
      <c r="K47" s="16" t="n">
        <v>2</v>
      </c>
      <c r="L47" s="16" t="n">
        <v>7</v>
      </c>
      <c r="M47" s="16" t="s">
        <v>35</v>
      </c>
      <c r="N47" s="17" t="b">
        <f aca="false">FALSE()</f>
        <v>0</v>
      </c>
      <c r="O47" s="14" t="n">
        <v>33.2888500873974</v>
      </c>
      <c r="P47" s="13" t="n">
        <v>4877.35714285714</v>
      </c>
      <c r="Q47" s="15" t="n">
        <v>-0.024584904291959</v>
      </c>
      <c r="R47" s="15" t="n">
        <v>-0.126781190047303</v>
      </c>
      <c r="S47" s="17" t="b">
        <f aca="false">FALSE()</f>
        <v>0</v>
      </c>
    </row>
    <row r="48" customFormat="false" ht="15" hidden="false" customHeight="true" outlineLevel="0" collapsed="false">
      <c r="A48" s="12" t="n">
        <v>41684</v>
      </c>
      <c r="B48" s="13" t="n">
        <v>336901.371700099</v>
      </c>
      <c r="C48" s="13" t="n">
        <v>343519.875546947</v>
      </c>
      <c r="D48" s="13" t="n">
        <v>10381</v>
      </c>
      <c r="E48" s="14" t="n">
        <v>32.4536529910509</v>
      </c>
      <c r="F48" s="14" t="n">
        <v>33.09121236364</v>
      </c>
      <c r="G48" s="13" t="n">
        <v>-6618.50384684722</v>
      </c>
      <c r="H48" s="15" t="n">
        <v>-0.0196452267720027</v>
      </c>
      <c r="I48" s="15" t="n">
        <v>-0.0196452267720028</v>
      </c>
      <c r="J48" s="16" t="n">
        <v>2014</v>
      </c>
      <c r="K48" s="16" t="n">
        <v>2</v>
      </c>
      <c r="L48" s="16" t="n">
        <v>7</v>
      </c>
      <c r="M48" s="16" t="s">
        <v>36</v>
      </c>
      <c r="N48" s="17" t="b">
        <f aca="false">FALSE()</f>
        <v>0</v>
      </c>
      <c r="O48" s="14" t="n">
        <v>33.1678034326961</v>
      </c>
      <c r="P48" s="13" t="n">
        <v>5046.42857142857</v>
      </c>
      <c r="Q48" s="15" t="n">
        <v>-0.0215314361439215</v>
      </c>
      <c r="R48" s="15" t="n">
        <v>1.05709837225761</v>
      </c>
      <c r="S48" s="17" t="b">
        <f aca="false">FALSE()</f>
        <v>0</v>
      </c>
    </row>
    <row r="49" customFormat="false" ht="15" hidden="false" customHeight="true" outlineLevel="0" collapsed="false">
      <c r="A49" s="12" t="n">
        <v>41685</v>
      </c>
      <c r="B49" s="13" t="n">
        <v>367729.268214412</v>
      </c>
      <c r="C49" s="13" t="n">
        <v>373973.593334852</v>
      </c>
      <c r="D49" s="13" t="n">
        <v>11332</v>
      </c>
      <c r="E49" s="14" t="n">
        <v>32.4505178445475</v>
      </c>
      <c r="F49" s="14" t="n">
        <v>33.0015525357265</v>
      </c>
      <c r="G49" s="13" t="n">
        <v>-6244.32512044016</v>
      </c>
      <c r="H49" s="15" t="n">
        <v>-0.0169807672659857</v>
      </c>
      <c r="I49" s="15" t="n">
        <v>-0.0169807672659857</v>
      </c>
      <c r="J49" s="16" t="n">
        <v>2014</v>
      </c>
      <c r="K49" s="16" t="n">
        <v>2</v>
      </c>
      <c r="L49" s="16" t="n">
        <v>7</v>
      </c>
      <c r="M49" s="16" t="s">
        <v>37</v>
      </c>
      <c r="N49" s="17" t="b">
        <f aca="false">TRUE()</f>
        <v>1</v>
      </c>
      <c r="O49" s="14" t="n">
        <v>33.0454061986232</v>
      </c>
      <c r="P49" s="13" t="n">
        <v>5500.07142857143</v>
      </c>
      <c r="Q49" s="15" t="n">
        <v>-0.0180021498449758</v>
      </c>
      <c r="R49" s="15" t="n">
        <v>1.06033687874184</v>
      </c>
      <c r="S49" s="17" t="b">
        <f aca="false">FALSE()</f>
        <v>0</v>
      </c>
    </row>
    <row r="50" customFormat="false" ht="15" hidden="false" customHeight="true" outlineLevel="0" collapsed="false">
      <c r="A50" s="12" t="n">
        <v>41686</v>
      </c>
      <c r="B50" s="13" t="n">
        <v>133913.841387391</v>
      </c>
      <c r="C50" s="13" t="n">
        <v>136797.077370153</v>
      </c>
      <c r="D50" s="13" t="n">
        <v>4127</v>
      </c>
      <c r="E50" s="14" t="n">
        <v>32.448229073756</v>
      </c>
      <c r="F50" s="14" t="n">
        <v>33.1468566440884</v>
      </c>
      <c r="G50" s="13" t="n">
        <v>-2883.23598276166</v>
      </c>
      <c r="H50" s="15" t="n">
        <v>-0.0215305300250549</v>
      </c>
      <c r="I50" s="15" t="n">
        <v>-0.0215305300250549</v>
      </c>
      <c r="J50" s="16" t="n">
        <v>2014</v>
      </c>
      <c r="K50" s="16" t="n">
        <v>2</v>
      </c>
      <c r="L50" s="16" t="n">
        <v>7</v>
      </c>
      <c r="M50" s="16" t="s">
        <v>38</v>
      </c>
      <c r="N50" s="17" t="b">
        <f aca="false">TRUE()</f>
        <v>1</v>
      </c>
      <c r="O50" s="14" t="n">
        <v>32.9229705458311</v>
      </c>
      <c r="P50" s="13" t="n">
        <v>5930.64285714286</v>
      </c>
      <c r="Q50" s="15" t="n">
        <v>-0.0144197642012333</v>
      </c>
      <c r="R50" s="15" t="n">
        <v>-0.304122655939491</v>
      </c>
      <c r="S50" s="17" t="b">
        <f aca="false">FALSE()</f>
        <v>0</v>
      </c>
    </row>
    <row r="51" customFormat="false" ht="15" hidden="false" customHeight="true" outlineLevel="0" collapsed="false">
      <c r="A51" s="12" t="n">
        <v>41687</v>
      </c>
      <c r="B51" s="13" t="n">
        <v>150800.347016662</v>
      </c>
      <c r="C51" s="13" t="n">
        <v>152887.10639948</v>
      </c>
      <c r="D51" s="13" t="n">
        <v>4649</v>
      </c>
      <c r="E51" s="14" t="n">
        <v>32.4371578869999</v>
      </c>
      <c r="F51" s="14" t="n">
        <v>32.8860198751302</v>
      </c>
      <c r="G51" s="13" t="n">
        <v>-2086.7593828181</v>
      </c>
      <c r="H51" s="15" t="n">
        <v>-0.0138378950983947</v>
      </c>
      <c r="I51" s="15" t="n">
        <v>-0.0138378950983948</v>
      </c>
      <c r="J51" s="16" t="n">
        <v>2014</v>
      </c>
      <c r="K51" s="16" t="n">
        <v>2</v>
      </c>
      <c r="L51" s="16" t="n">
        <v>8</v>
      </c>
      <c r="M51" s="16" t="s">
        <v>32</v>
      </c>
      <c r="N51" s="17" t="b">
        <f aca="false">FALSE()</f>
        <v>0</v>
      </c>
      <c r="O51" s="14" t="n">
        <v>32.8002196740456</v>
      </c>
      <c r="P51" s="13" t="n">
        <v>5988.28571428572</v>
      </c>
      <c r="Q51" s="15" t="n">
        <v>-0.011068882789619</v>
      </c>
      <c r="R51" s="15" t="n">
        <v>-0.22365093754473</v>
      </c>
      <c r="S51" s="17" t="b">
        <f aca="false">FALSE()</f>
        <v>0</v>
      </c>
    </row>
    <row r="52" customFormat="false" ht="15" hidden="false" customHeight="true" outlineLevel="0" collapsed="false">
      <c r="A52" s="12" t="n">
        <v>41688</v>
      </c>
      <c r="B52" s="13" t="n">
        <v>55591.9303357739</v>
      </c>
      <c r="C52" s="13" t="n">
        <v>53463.2442119933</v>
      </c>
      <c r="D52" s="13" t="n">
        <v>1627</v>
      </c>
      <c r="E52" s="14" t="n">
        <v>34.1683652954972</v>
      </c>
      <c r="F52" s="14" t="n">
        <v>32.8600148813727</v>
      </c>
      <c r="G52" s="13" t="n">
        <v>2128.68612378062</v>
      </c>
      <c r="H52" s="15" t="n">
        <v>0.0382912791645011</v>
      </c>
      <c r="I52" s="15" t="n">
        <v>0.0382912791645011</v>
      </c>
      <c r="J52" s="16" t="n">
        <v>2014</v>
      </c>
      <c r="K52" s="16" t="n">
        <v>2</v>
      </c>
      <c r="L52" s="16" t="n">
        <v>8</v>
      </c>
      <c r="M52" s="16" t="s">
        <v>33</v>
      </c>
      <c r="N52" s="17" t="b">
        <f aca="false">FALSE()</f>
        <v>0</v>
      </c>
      <c r="O52" s="14" t="n">
        <v>32.6766827641407</v>
      </c>
      <c r="P52" s="13" t="n">
        <v>6021</v>
      </c>
      <c r="Q52" s="15" t="n">
        <v>0.045649754050109</v>
      </c>
      <c r="R52" s="15" t="n">
        <v>-0.729779106460721</v>
      </c>
      <c r="S52" s="17" t="b">
        <f aca="false">FALSE()</f>
        <v>0</v>
      </c>
    </row>
    <row r="53" customFormat="false" ht="15" hidden="false" customHeight="true" outlineLevel="0" collapsed="false">
      <c r="A53" s="12" t="n">
        <v>41689</v>
      </c>
      <c r="B53" s="13" t="n">
        <v>106427.191838824</v>
      </c>
      <c r="C53" s="13" t="n">
        <v>107736.444075959</v>
      </c>
      <c r="D53" s="13" t="n">
        <v>3281</v>
      </c>
      <c r="E53" s="14" t="n">
        <v>32.4374251261274</v>
      </c>
      <c r="F53" s="14" t="n">
        <v>32.8364657348243</v>
      </c>
      <c r="G53" s="13" t="n">
        <v>-1309.25223713458</v>
      </c>
      <c r="H53" s="15" t="n">
        <v>-0.0123018583363296</v>
      </c>
      <c r="I53" s="15" t="n">
        <v>-0.0123018583363295</v>
      </c>
      <c r="J53" s="16" t="n">
        <v>2014</v>
      </c>
      <c r="K53" s="16" t="n">
        <v>2</v>
      </c>
      <c r="L53" s="16" t="n">
        <v>8</v>
      </c>
      <c r="M53" s="16" t="s">
        <v>34</v>
      </c>
      <c r="N53" s="17" t="b">
        <f aca="false">FALSE()</f>
        <v>0</v>
      </c>
      <c r="O53" s="14" t="n">
        <v>32.6770700708517</v>
      </c>
      <c r="P53" s="13" t="n">
        <v>5865.14285714286</v>
      </c>
      <c r="Q53" s="15" t="n">
        <v>-0.00733373415072527</v>
      </c>
      <c r="R53" s="15" t="n">
        <v>-0.440593335931411</v>
      </c>
      <c r="S53" s="17" t="b">
        <f aca="false">FALSE()</f>
        <v>0</v>
      </c>
    </row>
    <row r="54" customFormat="false" ht="15" hidden="false" customHeight="true" outlineLevel="0" collapsed="false">
      <c r="A54" s="12" t="n">
        <v>41690</v>
      </c>
      <c r="B54" s="13" t="n">
        <v>78940.5544247979</v>
      </c>
      <c r="C54" s="13" t="n">
        <v>75934.3948220396</v>
      </c>
      <c r="D54" s="13" t="n">
        <v>2310</v>
      </c>
      <c r="E54" s="14" t="n">
        <v>34.1734001838952</v>
      </c>
      <c r="F54" s="14" t="n">
        <v>32.8720323904933</v>
      </c>
      <c r="G54" s="13" t="n">
        <v>3006.15960275836</v>
      </c>
      <c r="H54" s="15" t="n">
        <v>0.038081308456253</v>
      </c>
      <c r="I54" s="15" t="n">
        <v>0.038081308456253</v>
      </c>
      <c r="J54" s="16" t="n">
        <v>2014</v>
      </c>
      <c r="K54" s="16" t="n">
        <v>2</v>
      </c>
      <c r="L54" s="16" t="n">
        <v>8</v>
      </c>
      <c r="M54" s="16" t="s">
        <v>35</v>
      </c>
      <c r="N54" s="17" t="b">
        <f aca="false">FALSE()</f>
        <v>0</v>
      </c>
      <c r="O54" s="14" t="n">
        <v>32.6747583067154</v>
      </c>
      <c r="P54" s="13" t="n">
        <v>5687.78571428572</v>
      </c>
      <c r="Q54" s="15" t="n">
        <v>0.0458654311414398</v>
      </c>
      <c r="R54" s="15" t="n">
        <v>-0.593866556154165</v>
      </c>
      <c r="S54" s="17" t="b">
        <f aca="false">FALSE()</f>
        <v>0</v>
      </c>
    </row>
    <row r="55" customFormat="false" ht="15" hidden="false" customHeight="true" outlineLevel="0" collapsed="false">
      <c r="A55" s="12" t="n">
        <v>41691</v>
      </c>
      <c r="B55" s="13" t="n">
        <v>317916.317858534</v>
      </c>
      <c r="C55" s="13" t="n">
        <v>322089.788955442</v>
      </c>
      <c r="D55" s="13" t="n">
        <v>9802</v>
      </c>
      <c r="E55" s="14" t="n">
        <v>32.4338214505748</v>
      </c>
      <c r="F55" s="14" t="n">
        <v>32.8595989548502</v>
      </c>
      <c r="G55" s="13" t="n">
        <v>-4173.47109690757</v>
      </c>
      <c r="H55" s="15" t="n">
        <v>-0.0131275774864902</v>
      </c>
      <c r="I55" s="15" t="n">
        <v>-0.0131275774864902</v>
      </c>
      <c r="J55" s="16" t="n">
        <v>2014</v>
      </c>
      <c r="K55" s="16" t="n">
        <v>2</v>
      </c>
      <c r="L55" s="16" t="n">
        <v>8</v>
      </c>
      <c r="M55" s="16" t="s">
        <v>36</v>
      </c>
      <c r="N55" s="17" t="b">
        <f aca="false">FALSE()</f>
        <v>0</v>
      </c>
      <c r="O55" s="14" t="n">
        <v>32.7021773046473</v>
      </c>
      <c r="P55" s="13" t="n">
        <v>5636.5</v>
      </c>
      <c r="Q55" s="15" t="n">
        <v>-0.00820605464806039</v>
      </c>
      <c r="R55" s="15" t="n">
        <v>0.739022443005411</v>
      </c>
      <c r="S55" s="17" t="b">
        <f aca="false">FALSE()</f>
        <v>0</v>
      </c>
    </row>
    <row r="56" customFormat="false" ht="15" hidden="false" customHeight="true" outlineLevel="0" collapsed="false">
      <c r="A56" s="12" t="n">
        <v>41692</v>
      </c>
      <c r="B56" s="13" t="n">
        <v>309217.875562526</v>
      </c>
      <c r="C56" s="13" t="n">
        <v>320116.924323278</v>
      </c>
      <c r="D56" s="13" t="n">
        <v>9772</v>
      </c>
      <c r="E56" s="14" t="n">
        <v>31.6432537415602</v>
      </c>
      <c r="F56" s="14" t="n">
        <v>32.7585882442978</v>
      </c>
      <c r="G56" s="13" t="n">
        <v>-10899.0487607517</v>
      </c>
      <c r="H56" s="15" t="n">
        <v>-0.0352471497351965</v>
      </c>
      <c r="I56" s="15" t="n">
        <v>-0.0352471497351965</v>
      </c>
      <c r="J56" s="16" t="n">
        <v>2014</v>
      </c>
      <c r="K56" s="16" t="n">
        <v>2</v>
      </c>
      <c r="L56" s="16" t="n">
        <v>8</v>
      </c>
      <c r="M56" s="16" t="s">
        <v>37</v>
      </c>
      <c r="N56" s="17" t="b">
        <f aca="false">TRUE()</f>
        <v>1</v>
      </c>
      <c r="O56" s="14" t="n">
        <v>32.6988055728818</v>
      </c>
      <c r="P56" s="13" t="n">
        <v>5673.5</v>
      </c>
      <c r="Q56" s="15" t="n">
        <v>-0.0322810516417466</v>
      </c>
      <c r="R56" s="15" t="n">
        <v>0.72239358420728</v>
      </c>
      <c r="S56" s="17" t="b">
        <f aca="false">FALSE()</f>
        <v>0</v>
      </c>
    </row>
    <row r="57" customFormat="false" ht="15" hidden="false" customHeight="true" outlineLevel="0" collapsed="false">
      <c r="A57" s="12" t="n">
        <v>41693</v>
      </c>
      <c r="B57" s="13" t="n">
        <v>138491.549950462</v>
      </c>
      <c r="C57" s="13" t="n">
        <v>140752.601591667</v>
      </c>
      <c r="D57" s="13" t="n">
        <v>4270</v>
      </c>
      <c r="E57" s="14" t="n">
        <v>32.4336182553776</v>
      </c>
      <c r="F57" s="14" t="n">
        <v>32.9631385460579</v>
      </c>
      <c r="G57" s="13" t="n">
        <v>-2261.05164120486</v>
      </c>
      <c r="H57" s="15" t="n">
        <v>-0.016326278693636</v>
      </c>
      <c r="I57" s="15" t="n">
        <v>-0.016326278693636</v>
      </c>
      <c r="J57" s="16" t="n">
        <v>2014</v>
      </c>
      <c r="K57" s="16" t="n">
        <v>2</v>
      </c>
      <c r="L57" s="16" t="n">
        <v>8</v>
      </c>
      <c r="M57" s="16" t="s">
        <v>38</v>
      </c>
      <c r="N57" s="17" t="b">
        <f aca="false">TRUE()</f>
        <v>1</v>
      </c>
      <c r="O57" s="14" t="n">
        <v>32.6403920407891</v>
      </c>
      <c r="P57" s="13" t="n">
        <v>5676</v>
      </c>
      <c r="Q57" s="15" t="n">
        <v>-0.00633490508180996</v>
      </c>
      <c r="R57" s="15" t="n">
        <v>-0.247709654686399</v>
      </c>
      <c r="S57" s="17" t="b">
        <f aca="false">FALSE()</f>
        <v>0</v>
      </c>
    </row>
    <row r="58" customFormat="false" ht="15" hidden="false" customHeight="true" outlineLevel="0" collapsed="false">
      <c r="A58" s="12" t="n">
        <v>41694</v>
      </c>
      <c r="B58" s="13" t="n">
        <v>133146.222205236</v>
      </c>
      <c r="C58" s="13" t="n">
        <v>134505.404223795</v>
      </c>
      <c r="D58" s="13" t="n">
        <v>4106</v>
      </c>
      <c r="E58" s="14" t="n">
        <v>32.4272338541734</v>
      </c>
      <c r="F58" s="14" t="n">
        <v>32.7582572391122</v>
      </c>
      <c r="G58" s="13" t="n">
        <v>-1359.1820185587</v>
      </c>
      <c r="H58" s="15" t="n">
        <v>-0.0102081906346814</v>
      </c>
      <c r="I58" s="15" t="n">
        <v>-0.0102081906346816</v>
      </c>
      <c r="J58" s="16" t="n">
        <v>2014</v>
      </c>
      <c r="K58" s="16" t="n">
        <v>2</v>
      </c>
      <c r="L58" s="16" t="n">
        <v>9</v>
      </c>
      <c r="M58" s="16" t="s">
        <v>32</v>
      </c>
      <c r="N58" s="17" t="b">
        <f aca="false">FALSE()</f>
        <v>0</v>
      </c>
      <c r="O58" s="14" t="n">
        <v>32.6377001332113</v>
      </c>
      <c r="P58" s="13" t="n">
        <v>5683.64285714286</v>
      </c>
      <c r="Q58" s="15" t="n">
        <v>-0.0064485634152799</v>
      </c>
      <c r="R58" s="15" t="n">
        <v>-0.277576001307009</v>
      </c>
      <c r="S58" s="17" t="b">
        <f aca="false">FALSE()</f>
        <v>0</v>
      </c>
    </row>
    <row r="59" customFormat="false" ht="15" hidden="false" customHeight="true" outlineLevel="0" collapsed="false">
      <c r="A59" s="12" t="n">
        <v>41695</v>
      </c>
      <c r="B59" s="13" t="n">
        <v>224994.656182892</v>
      </c>
      <c r="C59" s="13" t="n">
        <v>227546.446559601</v>
      </c>
      <c r="D59" s="13" t="n">
        <v>6937</v>
      </c>
      <c r="E59" s="14" t="n">
        <v>32.4339997380557</v>
      </c>
      <c r="F59" s="14" t="n">
        <v>32.8018518898084</v>
      </c>
      <c r="G59" s="13" t="n">
        <v>-2551.79037670849</v>
      </c>
      <c r="H59" s="15" t="n">
        <v>-0.0113415599285799</v>
      </c>
      <c r="I59" s="15" t="n">
        <v>-0.0113415599285798</v>
      </c>
      <c r="J59" s="16" t="n">
        <v>2014</v>
      </c>
      <c r="K59" s="16" t="n">
        <v>2</v>
      </c>
      <c r="L59" s="16" t="n">
        <v>9</v>
      </c>
      <c r="M59" s="16" t="s">
        <v>33</v>
      </c>
      <c r="N59" s="17" t="b">
        <f aca="false">FALSE()</f>
        <v>0</v>
      </c>
      <c r="O59" s="14" t="n">
        <v>32.6358367814332</v>
      </c>
      <c r="P59" s="13" t="n">
        <v>5651.78571428572</v>
      </c>
      <c r="Q59" s="15" t="n">
        <v>-0.00618452177982347</v>
      </c>
      <c r="R59" s="15" t="n">
        <v>0.227399684044234</v>
      </c>
      <c r="S59" s="17" t="b">
        <f aca="false">FALSE()</f>
        <v>0</v>
      </c>
    </row>
    <row r="60" customFormat="false" ht="15" hidden="false" customHeight="true" outlineLevel="0" collapsed="false">
      <c r="A60" s="12" t="n">
        <v>41696</v>
      </c>
      <c r="B60" s="13" t="n">
        <v>225051.591468032</v>
      </c>
      <c r="C60" s="13" t="n">
        <v>228214.142119431</v>
      </c>
      <c r="D60" s="13" t="n">
        <v>6934</v>
      </c>
      <c r="E60" s="14" t="n">
        <v>32.4562433614122</v>
      </c>
      <c r="F60" s="14" t="n">
        <v>32.9123366194738</v>
      </c>
      <c r="G60" s="13" t="n">
        <v>-3162.55065139924</v>
      </c>
      <c r="H60" s="15" t="n">
        <v>-0.0140525584856772</v>
      </c>
      <c r="I60" s="15" t="n">
        <v>-0.0140525584856773</v>
      </c>
      <c r="J60" s="16" t="n">
        <v>2014</v>
      </c>
      <c r="K60" s="16" t="n">
        <v>2</v>
      </c>
      <c r="L60" s="16" t="n">
        <v>9</v>
      </c>
      <c r="M60" s="16" t="s">
        <v>34</v>
      </c>
      <c r="N60" s="17" t="b">
        <f aca="false">FALSE()</f>
        <v>0</v>
      </c>
      <c r="O60" s="14" t="n">
        <v>32.6326848238723</v>
      </c>
      <c r="P60" s="13" t="n">
        <v>5849.28571428572</v>
      </c>
      <c r="Q60" s="15" t="n">
        <v>-0.0054068938370349</v>
      </c>
      <c r="R60" s="15" t="n">
        <v>0.18544388814263</v>
      </c>
      <c r="S60" s="17" t="b">
        <f aca="false">FALSE()</f>
        <v>0</v>
      </c>
    </row>
    <row r="61" customFormat="false" ht="15" hidden="false" customHeight="true" outlineLevel="0" collapsed="false">
      <c r="A61" s="12" t="n">
        <v>41697</v>
      </c>
      <c r="B61" s="13" t="n">
        <v>344299.68244113</v>
      </c>
      <c r="C61" s="13" t="n">
        <v>365935.652955926</v>
      </c>
      <c r="D61" s="13" t="n">
        <v>11082</v>
      </c>
      <c r="E61" s="14" t="n">
        <v>31.0683705505441</v>
      </c>
      <c r="F61" s="14" t="n">
        <v>33.0207230604517</v>
      </c>
      <c r="G61" s="13" t="n">
        <v>-21635.9705147962</v>
      </c>
      <c r="H61" s="15" t="n">
        <v>-0.0628405183571308</v>
      </c>
      <c r="I61" s="15" t="n">
        <v>-0.0628405183571309</v>
      </c>
      <c r="J61" s="16" t="n">
        <v>2014</v>
      </c>
      <c r="K61" s="16" t="n">
        <v>2</v>
      </c>
      <c r="L61" s="16" t="n">
        <v>9</v>
      </c>
      <c r="M61" s="16" t="s">
        <v>35</v>
      </c>
      <c r="N61" s="17" t="b">
        <f aca="false">FALSE()</f>
        <v>0</v>
      </c>
      <c r="O61" s="14" t="n">
        <v>32.6333832640741</v>
      </c>
      <c r="P61" s="13" t="n">
        <v>5984.78571428572</v>
      </c>
      <c r="Q61" s="15" t="n">
        <v>-0.0479574152905219</v>
      </c>
      <c r="R61" s="15" t="n">
        <v>0.851695370403523</v>
      </c>
      <c r="S61" s="17" t="b">
        <f aca="false">FALSE()</f>
        <v>0</v>
      </c>
    </row>
    <row r="62" customFormat="false" ht="15" hidden="false" customHeight="true" outlineLevel="0" collapsed="false">
      <c r="A62" s="12" t="n">
        <v>41698</v>
      </c>
      <c r="B62" s="13" t="n">
        <v>661876.49999965</v>
      </c>
      <c r="C62" s="13" t="n">
        <v>686656.790992171</v>
      </c>
      <c r="D62" s="13" t="n">
        <v>20805</v>
      </c>
      <c r="E62" s="14" t="n">
        <v>31.8133381398534</v>
      </c>
      <c r="F62" s="14" t="n">
        <v>33.0044119679005</v>
      </c>
      <c r="G62" s="13" t="n">
        <v>-24780.2909925213</v>
      </c>
      <c r="H62" s="15" t="n">
        <v>-0.0374394482845885</v>
      </c>
      <c r="I62" s="15" t="n">
        <v>-0.0374394482845886</v>
      </c>
      <c r="J62" s="16" t="n">
        <v>2014</v>
      </c>
      <c r="K62" s="16" t="n">
        <v>2</v>
      </c>
      <c r="L62" s="16" t="n">
        <v>9</v>
      </c>
      <c r="M62" s="16" t="s">
        <v>36</v>
      </c>
      <c r="N62" s="17" t="b">
        <f aca="false">FALSE()</f>
        <v>0</v>
      </c>
      <c r="O62" s="14" t="n">
        <v>32.5332349538266</v>
      </c>
      <c r="P62" s="13" t="n">
        <v>6472.14285714286</v>
      </c>
      <c r="Q62" s="15" t="n">
        <v>-0.022128042753662</v>
      </c>
      <c r="R62" s="15" t="n">
        <v>2.2145458558658</v>
      </c>
      <c r="S62" s="17" t="b">
        <f aca="false">FALSE()</f>
        <v>0</v>
      </c>
    </row>
    <row r="63" customFormat="false" ht="15" hidden="false" customHeight="true" outlineLevel="0" collapsed="false">
      <c r="A63" s="12" t="n">
        <v>41699</v>
      </c>
      <c r="B63" s="13" t="n">
        <v>846678.388160804</v>
      </c>
      <c r="C63" s="13" t="n">
        <v>872081.585003521</v>
      </c>
      <c r="D63" s="13" t="n">
        <v>26410</v>
      </c>
      <c r="E63" s="14" t="n">
        <v>32.0590075032489</v>
      </c>
      <c r="F63" s="14" t="n">
        <v>33.0208854601863</v>
      </c>
      <c r="G63" s="13" t="n">
        <v>-25403.196842717</v>
      </c>
      <c r="H63" s="15" t="n">
        <v>-0.0300033604234296</v>
      </c>
      <c r="I63" s="15" t="n">
        <v>-0.0300033604234297</v>
      </c>
      <c r="J63" s="16" t="n">
        <v>2014</v>
      </c>
      <c r="K63" s="16" t="n">
        <v>3</v>
      </c>
      <c r="L63" s="16" t="n">
        <v>9</v>
      </c>
      <c r="M63" s="16" t="s">
        <v>37</v>
      </c>
      <c r="N63" s="17" t="b">
        <f aca="false">TRUE()</f>
        <v>1</v>
      </c>
      <c r="O63" s="14" t="n">
        <v>32.487498178741</v>
      </c>
      <c r="P63" s="13" t="n">
        <v>7216.71428571429</v>
      </c>
      <c r="Q63" s="15" t="n">
        <v>-0.0131894020627451</v>
      </c>
      <c r="R63" s="15" t="n">
        <v>2.65956014806897</v>
      </c>
      <c r="S63" s="17" t="b">
        <f aca="false">FALSE()</f>
        <v>0</v>
      </c>
    </row>
    <row r="64" customFormat="false" ht="15" hidden="false" customHeight="true" outlineLevel="0" collapsed="false">
      <c r="A64" s="12" t="n">
        <v>41700</v>
      </c>
      <c r="B64" s="13" t="n">
        <v>478902.304871823</v>
      </c>
      <c r="C64" s="13" t="n">
        <v>495554.449923889</v>
      </c>
      <c r="D64" s="13" t="n">
        <v>15004</v>
      </c>
      <c r="E64" s="14" t="n">
        <v>31.9183087757813</v>
      </c>
      <c r="F64" s="14" t="n">
        <v>33.0281558200406</v>
      </c>
      <c r="G64" s="13" t="n">
        <v>-16652.1450520653</v>
      </c>
      <c r="H64" s="15" t="n">
        <v>-0.0347714865488529</v>
      </c>
      <c r="I64" s="15" t="n">
        <v>-0.0347714865488528</v>
      </c>
      <c r="J64" s="16" t="n">
        <v>2014</v>
      </c>
      <c r="K64" s="16" t="n">
        <v>3</v>
      </c>
      <c r="L64" s="16" t="n">
        <v>9</v>
      </c>
      <c r="M64" s="16" t="s">
        <v>38</v>
      </c>
      <c r="N64" s="17" t="b">
        <f aca="false">TRUE()</f>
        <v>1</v>
      </c>
      <c r="O64" s="14" t="n">
        <v>32.4595331543626</v>
      </c>
      <c r="P64" s="13" t="n">
        <v>8293.71428571429</v>
      </c>
      <c r="Q64" s="15" t="n">
        <v>-0.0166738189365639</v>
      </c>
      <c r="R64" s="15" t="n">
        <v>0.809080887419044</v>
      </c>
      <c r="S64" s="17" t="b">
        <f aca="false">FALSE()</f>
        <v>0</v>
      </c>
    </row>
    <row r="65" customFormat="false" ht="15" hidden="false" customHeight="true" outlineLevel="0" collapsed="false">
      <c r="A65" s="12" t="n">
        <v>41701</v>
      </c>
      <c r="B65" s="13" t="n">
        <v>538827.202132543</v>
      </c>
      <c r="C65" s="13" t="n">
        <v>557567.136984813</v>
      </c>
      <c r="D65" s="13" t="n">
        <v>16884</v>
      </c>
      <c r="E65" s="14" t="n">
        <v>31.9134803442634</v>
      </c>
      <c r="F65" s="14" t="n">
        <v>33.0234030434028</v>
      </c>
      <c r="G65" s="13" t="n">
        <v>-18739.9348522708</v>
      </c>
      <c r="H65" s="15" t="n">
        <v>-0.0347791180142777</v>
      </c>
      <c r="I65" s="15" t="n">
        <v>-0.0347791180142777</v>
      </c>
      <c r="J65" s="16" t="n">
        <v>2014</v>
      </c>
      <c r="K65" s="16" t="n">
        <v>3</v>
      </c>
      <c r="L65" s="16" t="n">
        <v>10</v>
      </c>
      <c r="M65" s="16" t="s">
        <v>32</v>
      </c>
      <c r="N65" s="17" t="b">
        <f aca="false">FALSE()</f>
        <v>0</v>
      </c>
      <c r="O65" s="14" t="n">
        <v>32.4216817045072</v>
      </c>
      <c r="P65" s="13" t="n">
        <v>9070.64285714286</v>
      </c>
      <c r="Q65" s="15" t="n">
        <v>-0.0156747378151339</v>
      </c>
      <c r="R65" s="15" t="n">
        <v>0.861389569175283</v>
      </c>
      <c r="S65" s="17" t="b">
        <f aca="false">FALSE()</f>
        <v>0</v>
      </c>
    </row>
    <row r="66" customFormat="false" ht="15" hidden="false" customHeight="true" outlineLevel="0" collapsed="false">
      <c r="A66" s="12" t="n">
        <v>41702</v>
      </c>
      <c r="B66" s="13" t="n">
        <v>310346.121287545</v>
      </c>
      <c r="C66" s="13" t="n">
        <v>323325.029927025</v>
      </c>
      <c r="D66" s="13" t="n">
        <v>9789</v>
      </c>
      <c r="E66" s="14" t="n">
        <v>31.7035571853657</v>
      </c>
      <c r="F66" s="14" t="n">
        <v>33.0294238356344</v>
      </c>
      <c r="G66" s="13" t="n">
        <v>-12978.9086394799</v>
      </c>
      <c r="H66" s="15" t="n">
        <v>-0.0418207535046154</v>
      </c>
      <c r="I66" s="15" t="n">
        <v>-0.0418207535046154</v>
      </c>
      <c r="J66" s="16" t="n">
        <v>2014</v>
      </c>
      <c r="K66" s="16" t="n">
        <v>3</v>
      </c>
      <c r="L66" s="16" t="n">
        <v>10</v>
      </c>
      <c r="M66" s="16" t="s">
        <v>33</v>
      </c>
      <c r="N66" s="17" t="b">
        <f aca="false">FALSE()</f>
        <v>0</v>
      </c>
      <c r="O66" s="14" t="n">
        <v>32.3842761657403</v>
      </c>
      <c r="P66" s="13" t="n">
        <v>9944.57142857143</v>
      </c>
      <c r="Q66" s="15" t="n">
        <v>-0.0210200461758287</v>
      </c>
      <c r="R66" s="15" t="n">
        <v>-0.0156438545078436</v>
      </c>
      <c r="S66" s="17" t="b">
        <f aca="false">FALSE()</f>
        <v>0</v>
      </c>
    </row>
    <row r="67" customFormat="false" ht="15" hidden="false" customHeight="true" outlineLevel="0" collapsed="false">
      <c r="A67" s="12" t="n">
        <v>41703</v>
      </c>
      <c r="B67" s="13" t="n">
        <v>256390.522210472</v>
      </c>
      <c r="C67" s="13" t="n">
        <v>267308.507082711</v>
      </c>
      <c r="D67" s="13" t="n">
        <v>8079</v>
      </c>
      <c r="E67" s="14" t="n">
        <v>31.7354279255443</v>
      </c>
      <c r="F67" s="14" t="n">
        <v>33.086830929906</v>
      </c>
      <c r="G67" s="13" t="n">
        <v>-10917.9848722381</v>
      </c>
      <c r="H67" s="15" t="n">
        <v>-0.0425834183655022</v>
      </c>
      <c r="I67" s="15" t="n">
        <v>-0.0425834183655023</v>
      </c>
      <c r="J67" s="16" t="n">
        <v>2014</v>
      </c>
      <c r="K67" s="16" t="n">
        <v>3</v>
      </c>
      <c r="L67" s="16" t="n">
        <v>10</v>
      </c>
      <c r="M67" s="16" t="s">
        <v>34</v>
      </c>
      <c r="N67" s="17" t="b">
        <f aca="false">FALSE()</f>
        <v>0</v>
      </c>
      <c r="O67" s="14" t="n">
        <v>32.2082184435881</v>
      </c>
      <c r="P67" s="13" t="n">
        <v>10527.5714285714</v>
      </c>
      <c r="Q67" s="15" t="n">
        <v>-0.0146791887564933</v>
      </c>
      <c r="R67" s="15" t="n">
        <v>-0.232586541462554</v>
      </c>
      <c r="S67" s="17" t="b">
        <f aca="false">FALSE()</f>
        <v>0</v>
      </c>
    </row>
    <row r="68" customFormat="false" ht="15" hidden="false" customHeight="true" outlineLevel="0" collapsed="false">
      <c r="A68" s="12" t="n">
        <v>41704</v>
      </c>
      <c r="B68" s="13" t="n">
        <v>167803.659776094</v>
      </c>
      <c r="C68" s="13" t="n">
        <v>168135.690006122</v>
      </c>
      <c r="D68" s="13" t="n">
        <v>5072</v>
      </c>
      <c r="E68" s="14" t="n">
        <v>33.0843177791983</v>
      </c>
      <c r="F68" s="14" t="n">
        <v>33.1497811526266</v>
      </c>
      <c r="G68" s="13" t="n">
        <v>-332.030230028089</v>
      </c>
      <c r="H68" s="15" t="n">
        <v>-0.00197868288731681</v>
      </c>
      <c r="I68" s="15" t="n">
        <v>-0.00197868288731682</v>
      </c>
      <c r="J68" s="16" t="n">
        <v>2014</v>
      </c>
      <c r="K68" s="16" t="n">
        <v>3</v>
      </c>
      <c r="L68" s="16" t="n">
        <v>10</v>
      </c>
      <c r="M68" s="16" t="s">
        <v>35</v>
      </c>
      <c r="N68" s="17" t="b">
        <f aca="false">FALSE()</f>
        <v>0</v>
      </c>
      <c r="O68" s="14" t="n">
        <v>32.1580757864036</v>
      </c>
      <c r="P68" s="13" t="n">
        <v>10870.2857142857</v>
      </c>
      <c r="Q68" s="15" t="n">
        <v>0.0288027803325952</v>
      </c>
      <c r="R68" s="15" t="n">
        <v>-0.533406928455028</v>
      </c>
      <c r="S68" s="17" t="b">
        <f aca="false">FALSE()</f>
        <v>0</v>
      </c>
    </row>
    <row r="69" customFormat="false" ht="15" hidden="false" customHeight="true" outlineLevel="0" collapsed="false">
      <c r="A69" s="12" t="n">
        <v>41705</v>
      </c>
      <c r="B69" s="13" t="n">
        <v>465318.021511566</v>
      </c>
      <c r="C69" s="13" t="n">
        <v>483774.596715292</v>
      </c>
      <c r="D69" s="13" t="n">
        <v>14551</v>
      </c>
      <c r="E69" s="14" t="n">
        <v>31.9784222054544</v>
      </c>
      <c r="F69" s="14" t="n">
        <v>33.2468281709362</v>
      </c>
      <c r="G69" s="13" t="n">
        <v>-18456.5752037261</v>
      </c>
      <c r="H69" s="15" t="n">
        <v>-0.0396644323892092</v>
      </c>
      <c r="I69" s="15" t="n">
        <v>-0.0396644323892093</v>
      </c>
      <c r="J69" s="16" t="n">
        <v>2014</v>
      </c>
      <c r="K69" s="16" t="n">
        <v>3</v>
      </c>
      <c r="L69" s="16" t="n">
        <v>10</v>
      </c>
      <c r="M69" s="16" t="s">
        <v>36</v>
      </c>
      <c r="N69" s="17" t="b">
        <f aca="false">FALSE()</f>
        <v>0</v>
      </c>
      <c r="O69" s="14" t="n">
        <v>32.0802841860681</v>
      </c>
      <c r="P69" s="13" t="n">
        <v>11067.5714285714</v>
      </c>
      <c r="Q69" s="15" t="n">
        <v>-0.0031752206440234</v>
      </c>
      <c r="R69" s="15" t="n">
        <v>0.314741910084804</v>
      </c>
      <c r="S69" s="17" t="b">
        <f aca="false">FALSE()</f>
        <v>0</v>
      </c>
    </row>
    <row r="70" customFormat="false" ht="15" hidden="false" customHeight="true" outlineLevel="0" collapsed="false">
      <c r="A70" s="12" t="n">
        <v>41706</v>
      </c>
      <c r="B70" s="13" t="n">
        <v>520146.749639591</v>
      </c>
      <c r="C70" s="13" t="n">
        <v>541498.958244596</v>
      </c>
      <c r="D70" s="13" t="n">
        <v>16262</v>
      </c>
      <c r="E70" s="14" t="n">
        <v>31.9854107514199</v>
      </c>
      <c r="F70" s="14" t="n">
        <v>33.2984232102199</v>
      </c>
      <c r="G70" s="13" t="n">
        <v>-21352.2086050057</v>
      </c>
      <c r="H70" s="15" t="n">
        <v>-0.0410503547696888</v>
      </c>
      <c r="I70" s="15" t="n">
        <v>-0.0410503547696888</v>
      </c>
      <c r="J70" s="16" t="n">
        <v>2014</v>
      </c>
      <c r="K70" s="16" t="n">
        <v>3</v>
      </c>
      <c r="L70" s="16" t="n">
        <v>10</v>
      </c>
      <c r="M70" s="16" t="s">
        <v>37</v>
      </c>
      <c r="N70" s="17" t="b">
        <f aca="false">TRUE()</f>
        <v>1</v>
      </c>
      <c r="O70" s="14" t="n">
        <v>32.0477556685595</v>
      </c>
      <c r="P70" s="13" t="n">
        <v>11406.7857142857</v>
      </c>
      <c r="Q70" s="15" t="n">
        <v>-0.00194537545107233</v>
      </c>
      <c r="R70" s="15" t="n">
        <v>0.425642631265851</v>
      </c>
      <c r="S70" s="17" t="b">
        <f aca="false">FALSE()</f>
        <v>0</v>
      </c>
    </row>
    <row r="71" customFormat="false" ht="15" hidden="false" customHeight="true" outlineLevel="0" collapsed="false">
      <c r="A71" s="12" t="n">
        <v>41707</v>
      </c>
      <c r="B71" s="13" t="n">
        <v>224699.252819412</v>
      </c>
      <c r="C71" s="13" t="n">
        <v>233589.98296832</v>
      </c>
      <c r="D71" s="13" t="n">
        <v>7014</v>
      </c>
      <c r="E71" s="14" t="n">
        <v>32.0358216166827</v>
      </c>
      <c r="F71" s="14" t="n">
        <v>33.3033907853322</v>
      </c>
      <c r="G71" s="13" t="n">
        <v>-8890.73014890784</v>
      </c>
      <c r="H71" s="15" t="n">
        <v>-0.0395672439376254</v>
      </c>
      <c r="I71" s="15" t="n">
        <v>-0.0395672439376254</v>
      </c>
      <c r="J71" s="16" t="n">
        <v>2014</v>
      </c>
      <c r="K71" s="16" t="n">
        <v>3</v>
      </c>
      <c r="L71" s="16" t="n">
        <v>10</v>
      </c>
      <c r="M71" s="16" t="s">
        <v>38</v>
      </c>
      <c r="N71" s="17" t="b">
        <f aca="false">TRUE()</f>
        <v>1</v>
      </c>
      <c r="O71" s="14" t="n">
        <v>32.072195454978</v>
      </c>
      <c r="P71" s="13" t="n">
        <v>11870.3571428571</v>
      </c>
      <c r="Q71" s="15" t="n">
        <v>-0.00113412374112182</v>
      </c>
      <c r="R71" s="15" t="n">
        <v>-0.409116346240636</v>
      </c>
      <c r="S71" s="17" t="b">
        <f aca="false">FALSE()</f>
        <v>0</v>
      </c>
    </row>
    <row r="72" customFormat="false" ht="15" hidden="false" customHeight="true" outlineLevel="0" collapsed="false">
      <c r="A72" s="12" t="n">
        <v>41708</v>
      </c>
      <c r="B72" s="13" t="n">
        <v>286230.678896338</v>
      </c>
      <c r="C72" s="13" t="n">
        <v>297642.89143646</v>
      </c>
      <c r="D72" s="13" t="n">
        <v>8932</v>
      </c>
      <c r="E72" s="14" t="n">
        <v>32.0455305526577</v>
      </c>
      <c r="F72" s="14" t="n">
        <v>33.3232077291155</v>
      </c>
      <c r="G72" s="13" t="n">
        <v>-11412.2125401211</v>
      </c>
      <c r="H72" s="15" t="n">
        <v>-0.0398706825701733</v>
      </c>
      <c r="I72" s="15" t="n">
        <v>-0.0398706825701732</v>
      </c>
      <c r="J72" s="16" t="n">
        <v>2014</v>
      </c>
      <c r="K72" s="16" t="n">
        <v>3</v>
      </c>
      <c r="L72" s="16" t="n">
        <v>11</v>
      </c>
      <c r="M72" s="16" t="s">
        <v>32</v>
      </c>
      <c r="N72" s="17" t="b">
        <f aca="false">FALSE()</f>
        <v>0</v>
      </c>
      <c r="O72" s="14" t="n">
        <v>32.043781409357</v>
      </c>
      <c r="P72" s="13" t="n">
        <v>12066.3571428571</v>
      </c>
      <c r="Q72" s="15" t="n">
        <v>5.45860452098788E-005</v>
      </c>
      <c r="R72" s="15" t="n">
        <v>-0.259760017522154</v>
      </c>
      <c r="S72" s="17" t="b">
        <f aca="false">FALSE()</f>
        <v>0</v>
      </c>
    </row>
    <row r="73" customFormat="false" ht="15" hidden="false" customHeight="true" outlineLevel="0" collapsed="false">
      <c r="A73" s="12" t="n">
        <v>41709</v>
      </c>
      <c r="B73" s="13" t="n">
        <v>187143.018062584</v>
      </c>
      <c r="C73" s="13" t="n">
        <v>191499.042813208</v>
      </c>
      <c r="D73" s="13" t="n">
        <v>5737</v>
      </c>
      <c r="E73" s="14" t="n">
        <v>32.6203622211231</v>
      </c>
      <c r="F73" s="14" t="n">
        <v>33.3796483899613</v>
      </c>
      <c r="G73" s="13" t="n">
        <v>-4356.02475062438</v>
      </c>
      <c r="H73" s="15" t="n">
        <v>-0.0232764481182389</v>
      </c>
      <c r="I73" s="15" t="n">
        <v>-0.023276448118239</v>
      </c>
      <c r="J73" s="16" t="n">
        <v>2014</v>
      </c>
      <c r="K73" s="16" t="n">
        <v>3</v>
      </c>
      <c r="L73" s="16" t="n">
        <v>11</v>
      </c>
      <c r="M73" s="16" t="s">
        <v>33</v>
      </c>
      <c r="N73" s="17" t="b">
        <f aca="false">FALSE()</f>
        <v>0</v>
      </c>
      <c r="O73" s="14" t="n">
        <v>32.0165168878201</v>
      </c>
      <c r="P73" s="13" t="n">
        <v>12411.0714285714</v>
      </c>
      <c r="Q73" s="15" t="n">
        <v>0.0188604318020841</v>
      </c>
      <c r="R73" s="15" t="n">
        <v>-0.537751431613479</v>
      </c>
      <c r="S73" s="17" t="b">
        <f aca="false">FALSE()</f>
        <v>0</v>
      </c>
    </row>
    <row r="74" customFormat="false" ht="15" hidden="false" customHeight="true" outlineLevel="0" collapsed="false">
      <c r="A74" s="12" t="n">
        <v>41710</v>
      </c>
      <c r="B74" s="13" t="n">
        <v>191700.389128235</v>
      </c>
      <c r="C74" s="13" t="n">
        <v>197153.42401906</v>
      </c>
      <c r="D74" s="13" t="n">
        <v>5903</v>
      </c>
      <c r="E74" s="14" t="n">
        <v>32.4750786258233</v>
      </c>
      <c r="F74" s="14" t="n">
        <v>33.398852112326</v>
      </c>
      <c r="G74" s="13" t="n">
        <v>-5453.0348908254</v>
      </c>
      <c r="H74" s="15" t="n">
        <v>-0.0284456120074836</v>
      </c>
      <c r="I74" s="15" t="n">
        <v>-0.0284456120074837</v>
      </c>
      <c r="J74" s="16" t="n">
        <v>2014</v>
      </c>
      <c r="K74" s="16" t="n">
        <v>3</v>
      </c>
      <c r="L74" s="16" t="n">
        <v>11</v>
      </c>
      <c r="M74" s="16" t="s">
        <v>34</v>
      </c>
      <c r="N74" s="17" t="b">
        <f aca="false">FALSE()</f>
        <v>0</v>
      </c>
      <c r="O74" s="14" t="n">
        <v>32.0298284937535</v>
      </c>
      <c r="P74" s="13" t="n">
        <v>12325.3571428571</v>
      </c>
      <c r="Q74" s="15" t="n">
        <v>0.0139011088416088</v>
      </c>
      <c r="R74" s="15" t="n">
        <v>-0.521068644779925</v>
      </c>
      <c r="S74" s="17" t="b">
        <f aca="false">FALSE()</f>
        <v>0</v>
      </c>
    </row>
    <row r="75" customFormat="false" ht="15" hidden="false" customHeight="true" outlineLevel="0" collapsed="false">
      <c r="A75" s="12" t="n">
        <v>41711</v>
      </c>
      <c r="B75" s="13" t="n">
        <v>164663.967602802</v>
      </c>
      <c r="C75" s="13" t="n">
        <v>168975.174045441</v>
      </c>
      <c r="D75" s="13" t="n">
        <v>5056</v>
      </c>
      <c r="E75" s="14" t="n">
        <v>32.56803156701</v>
      </c>
      <c r="F75" s="14" t="n">
        <v>33.4207227146837</v>
      </c>
      <c r="G75" s="13" t="n">
        <v>-4311.20644263848</v>
      </c>
      <c r="H75" s="15" t="n">
        <v>-0.0261818447921639</v>
      </c>
      <c r="I75" s="15" t="n">
        <v>-0.026181844792164</v>
      </c>
      <c r="J75" s="16" t="n">
        <v>2014</v>
      </c>
      <c r="K75" s="16" t="n">
        <v>3</v>
      </c>
      <c r="L75" s="16" t="n">
        <v>11</v>
      </c>
      <c r="M75" s="16" t="s">
        <v>35</v>
      </c>
      <c r="N75" s="17" t="b">
        <f aca="false">FALSE()</f>
        <v>0</v>
      </c>
      <c r="O75" s="14" t="n">
        <v>32.0311738697829</v>
      </c>
      <c r="P75" s="13" t="n">
        <v>12251.7142857143</v>
      </c>
      <c r="Q75" s="15" t="n">
        <v>0.0167604752610555</v>
      </c>
      <c r="R75" s="15" t="n">
        <v>-0.587323056831697</v>
      </c>
      <c r="S75" s="17" t="b">
        <f aca="false">FALSE()</f>
        <v>0</v>
      </c>
    </row>
    <row r="76" customFormat="false" ht="15" hidden="false" customHeight="true" outlineLevel="0" collapsed="false">
      <c r="A76" s="12" t="n">
        <v>41712</v>
      </c>
      <c r="B76" s="13" t="n">
        <v>395941.345132162</v>
      </c>
      <c r="C76" s="13" t="n">
        <v>406765.913954023</v>
      </c>
      <c r="D76" s="13" t="n">
        <v>12167</v>
      </c>
      <c r="E76" s="14" t="n">
        <v>32.5422326894191</v>
      </c>
      <c r="F76" s="14" t="n">
        <v>33.4318989031005</v>
      </c>
      <c r="G76" s="13" t="n">
        <v>-10824.5688218612</v>
      </c>
      <c r="H76" s="15" t="n">
        <v>-0.0273388191330412</v>
      </c>
      <c r="I76" s="15" t="n">
        <v>-0.0273388191330413</v>
      </c>
      <c r="J76" s="16" t="n">
        <v>2014</v>
      </c>
      <c r="K76" s="16" t="n">
        <v>3</v>
      </c>
      <c r="L76" s="16" t="n">
        <v>11</v>
      </c>
      <c r="M76" s="16" t="s">
        <v>36</v>
      </c>
      <c r="N76" s="17" t="b">
        <f aca="false">FALSE()</f>
        <v>0</v>
      </c>
      <c r="O76" s="14" t="n">
        <v>32.1382925138162</v>
      </c>
      <c r="P76" s="13" t="n">
        <v>11821.2857142857</v>
      </c>
      <c r="Q76" s="15" t="n">
        <v>0.0125688125910637</v>
      </c>
      <c r="R76" s="15" t="n">
        <v>0.0292450664056364</v>
      </c>
      <c r="S76" s="17" t="b">
        <f aca="false">FALSE()</f>
        <v>0</v>
      </c>
    </row>
    <row r="77" customFormat="false" ht="15" hidden="false" customHeight="true" outlineLevel="0" collapsed="false">
      <c r="A77" s="12" t="n">
        <v>41713</v>
      </c>
      <c r="B77" s="13" t="n">
        <v>518183.210374914</v>
      </c>
      <c r="C77" s="13" t="n">
        <v>534383.143118609</v>
      </c>
      <c r="D77" s="13" t="n">
        <v>15971</v>
      </c>
      <c r="E77" s="14" t="n">
        <v>32.4452576779735</v>
      </c>
      <c r="F77" s="14" t="n">
        <v>33.4595919553321</v>
      </c>
      <c r="G77" s="13" t="n">
        <v>-16199.9327436941</v>
      </c>
      <c r="H77" s="15" t="n">
        <v>-0.0312629441080756</v>
      </c>
      <c r="I77" s="15" t="n">
        <v>-0.0312629441080755</v>
      </c>
      <c r="J77" s="16" t="n">
        <v>2014</v>
      </c>
      <c r="K77" s="16" t="n">
        <v>3</v>
      </c>
      <c r="L77" s="16" t="n">
        <v>11</v>
      </c>
      <c r="M77" s="16" t="s">
        <v>37</v>
      </c>
      <c r="N77" s="17" t="b">
        <f aca="false">TRUE()</f>
        <v>1</v>
      </c>
      <c r="O77" s="14" t="n">
        <v>32.1903564102137</v>
      </c>
      <c r="P77" s="13" t="n">
        <v>11204.2857142857</v>
      </c>
      <c r="Q77" s="15" t="n">
        <v>0.00791855997216894</v>
      </c>
      <c r="R77" s="15" t="n">
        <v>0.425436695142165</v>
      </c>
      <c r="S77" s="17" t="b">
        <f aca="false">FALSE()</f>
        <v>0</v>
      </c>
    </row>
    <row r="78" customFormat="false" ht="15" hidden="false" customHeight="true" outlineLevel="0" collapsed="false">
      <c r="A78" s="12" t="n">
        <v>41714</v>
      </c>
      <c r="B78" s="13" t="n">
        <v>226617.954940271</v>
      </c>
      <c r="C78" s="13" t="n">
        <v>233191.104566223</v>
      </c>
      <c r="D78" s="13" t="n">
        <v>6968</v>
      </c>
      <c r="E78" s="14" t="n">
        <v>32.5226686194418</v>
      </c>
      <c r="F78" s="14" t="n">
        <v>33.4660023774717</v>
      </c>
      <c r="G78" s="13" t="n">
        <v>-6573.14962595215</v>
      </c>
      <c r="H78" s="15" t="n">
        <v>-0.0290054229272549</v>
      </c>
      <c r="I78" s="15" t="n">
        <v>-0.0290054229272549</v>
      </c>
      <c r="J78" s="16" t="n">
        <v>2014</v>
      </c>
      <c r="K78" s="16" t="n">
        <v>3</v>
      </c>
      <c r="L78" s="16" t="n">
        <v>11</v>
      </c>
      <c r="M78" s="16" t="s">
        <v>38</v>
      </c>
      <c r="N78" s="17" t="b">
        <f aca="false">TRUE()</f>
        <v>1</v>
      </c>
      <c r="O78" s="14" t="n">
        <v>32.2179457084083</v>
      </c>
      <c r="P78" s="13" t="n">
        <v>10458.6428571429</v>
      </c>
      <c r="Q78" s="15" t="n">
        <v>0.00945817321164568</v>
      </c>
      <c r="R78" s="15" t="n">
        <v>-0.333756769862247</v>
      </c>
      <c r="S78" s="17" t="b">
        <f aca="false">FALSE()</f>
        <v>0</v>
      </c>
    </row>
    <row r="79" customFormat="false" ht="15" hidden="false" customHeight="true" outlineLevel="0" collapsed="false">
      <c r="A79" s="12" t="n">
        <v>41715</v>
      </c>
      <c r="B79" s="13" t="n">
        <v>243707.871947377</v>
      </c>
      <c r="C79" s="13" t="n">
        <v>250794.221264095</v>
      </c>
      <c r="D79" s="13" t="n">
        <v>7494</v>
      </c>
      <c r="E79" s="14" t="n">
        <v>32.5203992457135</v>
      </c>
      <c r="F79" s="14" t="n">
        <v>33.4660023037223</v>
      </c>
      <c r="G79" s="13" t="n">
        <v>-7086.34931671768</v>
      </c>
      <c r="H79" s="15" t="n">
        <v>-0.0290772278305717</v>
      </c>
      <c r="I79" s="15" t="n">
        <v>-0.0290772278305717</v>
      </c>
      <c r="J79" s="16" t="n">
        <v>2014</v>
      </c>
      <c r="K79" s="16" t="n">
        <v>3</v>
      </c>
      <c r="L79" s="16" t="n">
        <v>12</v>
      </c>
      <c r="M79" s="16" t="s">
        <v>32</v>
      </c>
      <c r="N79" s="17" t="b">
        <f aca="false">FALSE()</f>
        <v>0</v>
      </c>
      <c r="O79" s="14" t="n">
        <v>32.2611142686698</v>
      </c>
      <c r="P79" s="13" t="n">
        <v>9884.64285714286</v>
      </c>
      <c r="Q79" s="15" t="n">
        <v>0.00803707444462065</v>
      </c>
      <c r="R79" s="15" t="n">
        <v>-0.241854247208874</v>
      </c>
      <c r="S79" s="17" t="b">
        <f aca="false">FALSE()</f>
        <v>0</v>
      </c>
    </row>
    <row r="80" customFormat="false" ht="15" hidden="false" customHeight="true" outlineLevel="0" collapsed="false">
      <c r="A80" s="12" t="n">
        <v>41716</v>
      </c>
      <c r="B80" s="13" t="n">
        <v>94849.7437997705</v>
      </c>
      <c r="C80" s="13" t="n">
        <v>90571.5889229769</v>
      </c>
      <c r="D80" s="13" t="n">
        <v>2707</v>
      </c>
      <c r="E80" s="14" t="n">
        <v>35.0386936829592</v>
      </c>
      <c r="F80" s="14" t="n">
        <v>33.458289221639</v>
      </c>
      <c r="G80" s="13" t="n">
        <v>4278.15487679362</v>
      </c>
      <c r="H80" s="15" t="n">
        <v>0.0451045485776417</v>
      </c>
      <c r="I80" s="15" t="n">
        <v>0.0451045485776416</v>
      </c>
      <c r="J80" s="16" t="n">
        <v>2014</v>
      </c>
      <c r="K80" s="16" t="n">
        <v>3</v>
      </c>
      <c r="L80" s="16" t="n">
        <v>12</v>
      </c>
      <c r="M80" s="16" t="s">
        <v>33</v>
      </c>
      <c r="N80" s="17" t="b">
        <f aca="false">FALSE()</f>
        <v>0</v>
      </c>
      <c r="O80" s="14" t="n">
        <v>32.3044656187734</v>
      </c>
      <c r="P80" s="13" t="n">
        <v>9213.92857142857</v>
      </c>
      <c r="Q80" s="15" t="n">
        <v>0.0846393218960059</v>
      </c>
      <c r="R80" s="15" t="n">
        <v>-0.706205666886313</v>
      </c>
      <c r="S80" s="17" t="b">
        <f aca="false">FALSE()</f>
        <v>0</v>
      </c>
    </row>
    <row r="81" customFormat="false" ht="15" hidden="false" customHeight="true" outlineLevel="0" collapsed="false">
      <c r="A81" s="12" t="n">
        <v>41717</v>
      </c>
      <c r="B81" s="13" t="n">
        <v>92386.7830665756</v>
      </c>
      <c r="C81" s="13" t="n">
        <v>88255.8409917939</v>
      </c>
      <c r="D81" s="13" t="n">
        <v>2637</v>
      </c>
      <c r="E81" s="14" t="n">
        <v>35.0348058652164</v>
      </c>
      <c r="F81" s="14" t="n">
        <v>33.4682749305248</v>
      </c>
      <c r="G81" s="13" t="n">
        <v>4130.94207478172</v>
      </c>
      <c r="H81" s="15" t="n">
        <v>0.0447135611573886</v>
      </c>
      <c r="I81" s="15" t="n">
        <v>0.0447135611573887</v>
      </c>
      <c r="J81" s="16" t="n">
        <v>2014</v>
      </c>
      <c r="K81" s="16" t="n">
        <v>3</v>
      </c>
      <c r="L81" s="16" t="n">
        <v>12</v>
      </c>
      <c r="M81" s="16" t="s">
        <v>34</v>
      </c>
      <c r="N81" s="17" t="b">
        <f aca="false">FALSE()</f>
        <v>0</v>
      </c>
      <c r="O81" s="14" t="n">
        <v>32.5426896543158</v>
      </c>
      <c r="P81" s="13" t="n">
        <v>8708.07142857143</v>
      </c>
      <c r="Q81" s="15" t="n">
        <v>0.0765799089556854</v>
      </c>
      <c r="R81" s="15" t="n">
        <v>-0.697177495427067</v>
      </c>
      <c r="S81" s="17" t="b">
        <f aca="false">FALSE()</f>
        <v>0</v>
      </c>
    </row>
    <row r="82" customFormat="false" ht="15" hidden="false" customHeight="true" outlineLevel="0" collapsed="false">
      <c r="A82" s="12" t="n">
        <v>41718</v>
      </c>
      <c r="B82" s="13" t="n">
        <v>180394.82770444</v>
      </c>
      <c r="C82" s="13" t="n">
        <v>172344.304439481</v>
      </c>
      <c r="D82" s="13" t="n">
        <v>5149</v>
      </c>
      <c r="E82" s="14" t="n">
        <v>35.0349247823733</v>
      </c>
      <c r="F82" s="14" t="n">
        <v>33.4714127868481</v>
      </c>
      <c r="G82" s="13" t="n">
        <v>8050.52326495925</v>
      </c>
      <c r="H82" s="15" t="n">
        <v>0.0446272399680398</v>
      </c>
      <c r="I82" s="15" t="n">
        <v>0.04462723996804</v>
      </c>
      <c r="J82" s="16" t="n">
        <v>2014</v>
      </c>
      <c r="K82" s="16" t="n">
        <v>3</v>
      </c>
      <c r="L82" s="16" t="n">
        <v>12</v>
      </c>
      <c r="M82" s="16" t="s">
        <v>35</v>
      </c>
      <c r="N82" s="17" t="b">
        <f aca="false">FALSE()</f>
        <v>0</v>
      </c>
      <c r="O82" s="14" t="n">
        <v>32.7783595071495</v>
      </c>
      <c r="P82" s="13" t="n">
        <v>8319.35714285714</v>
      </c>
      <c r="Q82" s="15" t="n">
        <v>0.0688431425230914</v>
      </c>
      <c r="R82" s="15" t="n">
        <v>-0.381081986073787</v>
      </c>
      <c r="S82" s="17" t="b">
        <f aca="false">FALSE()</f>
        <v>0</v>
      </c>
    </row>
    <row r="83" customFormat="false" ht="15" hidden="false" customHeight="true" outlineLevel="0" collapsed="false">
      <c r="A83" s="12" t="n">
        <v>41719</v>
      </c>
      <c r="B83" s="13" t="n">
        <v>200939.692363944</v>
      </c>
      <c r="C83" s="13" t="n">
        <v>192019.144274927</v>
      </c>
      <c r="D83" s="13" t="n">
        <v>5735</v>
      </c>
      <c r="E83" s="14" t="n">
        <v>35.0374354601472</v>
      </c>
      <c r="F83" s="14" t="n">
        <v>33.481978077581</v>
      </c>
      <c r="G83" s="13" t="n">
        <v>8920.54808901693</v>
      </c>
      <c r="H83" s="15" t="n">
        <v>0.0443941561971735</v>
      </c>
      <c r="I83" s="15" t="n">
        <v>0.0443941561971736</v>
      </c>
      <c r="J83" s="16" t="n">
        <v>2014</v>
      </c>
      <c r="K83" s="16" t="n">
        <v>3</v>
      </c>
      <c r="L83" s="16" t="n">
        <v>12</v>
      </c>
      <c r="M83" s="16" t="s">
        <v>36</v>
      </c>
      <c r="N83" s="17" t="b">
        <f aca="false">FALSE()</f>
        <v>0</v>
      </c>
      <c r="O83" s="14" t="n">
        <v>32.9176885788048</v>
      </c>
      <c r="P83" s="13" t="n">
        <v>8324.85714285714</v>
      </c>
      <c r="Q83" s="15" t="n">
        <v>0.0643953744281788</v>
      </c>
      <c r="R83" s="15" t="n">
        <v>-0.311099289563099</v>
      </c>
      <c r="S83" s="17" t="b">
        <f aca="false">FALSE()</f>
        <v>0</v>
      </c>
    </row>
    <row r="84" customFormat="false" ht="15" hidden="false" customHeight="true" outlineLevel="0" collapsed="false">
      <c r="A84" s="12" t="n">
        <v>41720</v>
      </c>
      <c r="B84" s="13" t="n">
        <v>172953.92471044</v>
      </c>
      <c r="C84" s="13" t="n">
        <v>165201.30501851</v>
      </c>
      <c r="D84" s="13" t="n">
        <v>4936</v>
      </c>
      <c r="E84" s="14" t="n">
        <v>35.0392878262642</v>
      </c>
      <c r="F84" s="14" t="n">
        <v>33.4686598497791</v>
      </c>
      <c r="G84" s="13" t="n">
        <v>7752.6196919303</v>
      </c>
      <c r="H84" s="15" t="n">
        <v>0.0448247688215793</v>
      </c>
      <c r="I84" s="15" t="n">
        <v>0.0448247688215793</v>
      </c>
      <c r="J84" s="16" t="n">
        <v>2014</v>
      </c>
      <c r="K84" s="16" t="n">
        <v>3</v>
      </c>
      <c r="L84" s="16" t="n">
        <v>12</v>
      </c>
      <c r="M84" s="16" t="s">
        <v>37</v>
      </c>
      <c r="N84" s="17" t="b">
        <f aca="false">TRUE()</f>
        <v>1</v>
      </c>
      <c r="O84" s="14" t="n">
        <v>33.1361895255686</v>
      </c>
      <c r="P84" s="13" t="n">
        <v>7695.14285714286</v>
      </c>
      <c r="Q84" s="15" t="n">
        <v>0.0574326236040849</v>
      </c>
      <c r="R84" s="15" t="n">
        <v>-0.358556417777448</v>
      </c>
      <c r="S84" s="17" t="b">
        <f aca="false">FALSE()</f>
        <v>0</v>
      </c>
    </row>
    <row r="85" customFormat="false" ht="15" hidden="false" customHeight="true" outlineLevel="0" collapsed="false">
      <c r="A85" s="12" t="n">
        <v>41721</v>
      </c>
      <c r="B85" s="13" t="n">
        <v>70194.7995378612</v>
      </c>
      <c r="C85" s="13" t="n">
        <v>67061.6227094469</v>
      </c>
      <c r="D85" s="13" t="n">
        <v>2003</v>
      </c>
      <c r="E85" s="14" t="n">
        <v>35.0448325201504</v>
      </c>
      <c r="F85" s="14" t="n">
        <v>33.4805904690199</v>
      </c>
      <c r="G85" s="13" t="n">
        <v>3133.17682841433</v>
      </c>
      <c r="H85" s="15" t="n">
        <v>0.0446354551767668</v>
      </c>
      <c r="I85" s="15" t="n">
        <v>0.0446354551767668</v>
      </c>
      <c r="J85" s="16" t="n">
        <v>2014</v>
      </c>
      <c r="K85" s="16" t="n">
        <v>3</v>
      </c>
      <c r="L85" s="16" t="n">
        <v>12</v>
      </c>
      <c r="M85" s="16" t="s">
        <v>38</v>
      </c>
      <c r="N85" s="17" t="b">
        <f aca="false">TRUE()</f>
        <v>1</v>
      </c>
      <c r="O85" s="14" t="n">
        <v>33.3543236023432</v>
      </c>
      <c r="P85" s="13" t="n">
        <v>6886.14285714286</v>
      </c>
      <c r="Q85" s="15" t="n">
        <v>0.0506833518185454</v>
      </c>
      <c r="R85" s="15" t="n">
        <v>-0.709125988009045</v>
      </c>
      <c r="S85" s="17" t="b">
        <f aca="false">FALSE()</f>
        <v>0</v>
      </c>
    </row>
    <row r="86" customFormat="false" ht="15" hidden="false" customHeight="true" outlineLevel="0" collapsed="false">
      <c r="A86" s="12" t="n">
        <v>41722</v>
      </c>
      <c r="B86" s="13" t="n">
        <v>81378.214631671</v>
      </c>
      <c r="C86" s="13" t="n">
        <v>77703.6463336835</v>
      </c>
      <c r="D86" s="13" t="n">
        <v>2323</v>
      </c>
      <c r="E86" s="14" t="n">
        <v>35.0315172757947</v>
      </c>
      <c r="F86" s="14" t="n">
        <v>33.4496970872508</v>
      </c>
      <c r="G86" s="13" t="n">
        <v>3674.56829798747</v>
      </c>
      <c r="H86" s="15" t="n">
        <v>0.0451542014606621</v>
      </c>
      <c r="I86" s="15" t="n">
        <v>0.045154201460662</v>
      </c>
      <c r="J86" s="16" t="n">
        <v>2014</v>
      </c>
      <c r="K86" s="16" t="n">
        <v>3</v>
      </c>
      <c r="L86" s="16" t="n">
        <v>13</v>
      </c>
      <c r="M86" s="16" t="s">
        <v>32</v>
      </c>
      <c r="N86" s="17" t="b">
        <f aca="false">FALSE()</f>
        <v>0</v>
      </c>
      <c r="O86" s="14" t="n">
        <v>33.5692529525909</v>
      </c>
      <c r="P86" s="13" t="n">
        <v>6528.21428571429</v>
      </c>
      <c r="Q86" s="15" t="n">
        <v>0.0435596325384086</v>
      </c>
      <c r="R86" s="15" t="n">
        <v>-0.644159964987144</v>
      </c>
      <c r="S86" s="17" t="b">
        <f aca="false">FALSE()</f>
        <v>0</v>
      </c>
    </row>
    <row r="87" customFormat="false" ht="15" hidden="false" customHeight="true" outlineLevel="0" collapsed="false">
      <c r="A87" s="12" t="n">
        <v>41723</v>
      </c>
      <c r="B87" s="13" t="n">
        <v>130227.014714579</v>
      </c>
      <c r="C87" s="13" t="n">
        <v>127394.289242136</v>
      </c>
      <c r="D87" s="13" t="n">
        <v>3822</v>
      </c>
      <c r="E87" s="14" t="n">
        <v>34.0730022801096</v>
      </c>
      <c r="F87" s="14" t="n">
        <v>33.3318391528352</v>
      </c>
      <c r="G87" s="13" t="n">
        <v>2832.72547244263</v>
      </c>
      <c r="H87" s="15" t="n">
        <v>0.0217522107732499</v>
      </c>
      <c r="I87" s="15" t="n">
        <v>0.0217522107732499</v>
      </c>
      <c r="J87" s="16" t="n">
        <v>2014</v>
      </c>
      <c r="K87" s="16" t="n">
        <v>3</v>
      </c>
      <c r="L87" s="16" t="n">
        <v>13</v>
      </c>
      <c r="M87" s="16" t="s">
        <v>33</v>
      </c>
      <c r="N87" s="17" t="b">
        <f aca="false">FALSE()</f>
        <v>0</v>
      </c>
      <c r="O87" s="14" t="n">
        <v>33.7825377185293</v>
      </c>
      <c r="P87" s="13" t="n">
        <v>6056.14285714286</v>
      </c>
      <c r="Q87" s="15" t="n">
        <v>0.00859806814989505</v>
      </c>
      <c r="R87" s="15" t="n">
        <v>-0.368905243790248</v>
      </c>
      <c r="S87" s="17" t="b">
        <f aca="false">FALSE()</f>
        <v>0</v>
      </c>
    </row>
    <row r="88" customFormat="false" ht="15" hidden="false" customHeight="true" outlineLevel="0" collapsed="false">
      <c r="A88" s="12" t="n">
        <v>41724</v>
      </c>
      <c r="B88" s="13" t="n">
        <v>125310.036407854</v>
      </c>
      <c r="C88" s="13" t="n">
        <v>122275.102582178</v>
      </c>
      <c r="D88" s="13" t="n">
        <v>3666</v>
      </c>
      <c r="E88" s="14" t="n">
        <v>34.1816793256557</v>
      </c>
      <c r="F88" s="14" t="n">
        <v>33.3538195805176</v>
      </c>
      <c r="G88" s="13" t="n">
        <v>3034.93382567633</v>
      </c>
      <c r="H88" s="15" t="n">
        <v>0.0242193994405872</v>
      </c>
      <c r="I88" s="15" t="n">
        <v>0.0242193994405871</v>
      </c>
      <c r="J88" s="16" t="n">
        <v>2014</v>
      </c>
      <c r="K88" s="16" t="n">
        <v>3</v>
      </c>
      <c r="L88" s="16" t="n">
        <v>13</v>
      </c>
      <c r="M88" s="16" t="s">
        <v>34</v>
      </c>
      <c r="N88" s="17" t="b">
        <f aca="false">FALSE()</f>
        <v>0</v>
      </c>
      <c r="O88" s="14" t="n">
        <v>33.8862977227426</v>
      </c>
      <c r="P88" s="13" t="n">
        <v>5919.35714285714</v>
      </c>
      <c r="Q88" s="15" t="n">
        <v>0.0087168449421634</v>
      </c>
      <c r="R88" s="15" t="n">
        <v>-0.38067599039471</v>
      </c>
      <c r="S88" s="17" t="b">
        <f aca="false">FALSE()</f>
        <v>0</v>
      </c>
    </row>
    <row r="89" customFormat="false" ht="15" hidden="false" customHeight="true" outlineLevel="0" collapsed="false">
      <c r="A89" s="12" t="n">
        <v>41725</v>
      </c>
      <c r="B89" s="13" t="n">
        <v>119452.33963455</v>
      </c>
      <c r="C89" s="13" t="n">
        <v>118186.575041227</v>
      </c>
      <c r="D89" s="13" t="n">
        <v>3543</v>
      </c>
      <c r="E89" s="14" t="n">
        <v>33.7150267102879</v>
      </c>
      <c r="F89" s="14" t="n">
        <v>33.3577688516023</v>
      </c>
      <c r="G89" s="13" t="n">
        <v>1265.76459332281</v>
      </c>
      <c r="H89" s="15" t="n">
        <v>0.0105963985066786</v>
      </c>
      <c r="I89" s="15" t="n">
        <v>0.0105963985066785</v>
      </c>
      <c r="J89" s="16" t="n">
        <v>2014</v>
      </c>
      <c r="K89" s="16" t="n">
        <v>3</v>
      </c>
      <c r="L89" s="16" t="n">
        <v>13</v>
      </c>
      <c r="M89" s="16" t="s">
        <v>35</v>
      </c>
      <c r="N89" s="17" t="b">
        <f aca="false">FALSE()</f>
        <v>0</v>
      </c>
      <c r="O89" s="14" t="n">
        <v>34.0081977727306</v>
      </c>
      <c r="P89" s="13" t="n">
        <v>5759.57142857143</v>
      </c>
      <c r="Q89" s="15" t="n">
        <v>-0.00862059978602641</v>
      </c>
      <c r="R89" s="15" t="n">
        <v>-0.384850063248754</v>
      </c>
      <c r="S89" s="17" t="b">
        <f aca="false">FALSE()</f>
        <v>0</v>
      </c>
    </row>
    <row r="90" customFormat="false" ht="15" hidden="false" customHeight="true" outlineLevel="0" collapsed="false">
      <c r="A90" s="12" t="n">
        <v>41726</v>
      </c>
      <c r="B90" s="13" t="n">
        <v>276174.769320284</v>
      </c>
      <c r="C90" s="13" t="n">
        <v>271550.895580823</v>
      </c>
      <c r="D90" s="13" t="n">
        <v>8130</v>
      </c>
      <c r="E90" s="14" t="n">
        <v>33.9698363247581</v>
      </c>
      <c r="F90" s="14" t="n">
        <v>33.4010941673828</v>
      </c>
      <c r="G90" s="13" t="n">
        <v>4623.87373946112</v>
      </c>
      <c r="H90" s="15" t="n">
        <v>0.0167425639599204</v>
      </c>
      <c r="I90" s="15" t="n">
        <v>0.0167425639599206</v>
      </c>
      <c r="J90" s="16" t="n">
        <v>2014</v>
      </c>
      <c r="K90" s="16" t="n">
        <v>3</v>
      </c>
      <c r="L90" s="16" t="n">
        <v>13</v>
      </c>
      <c r="M90" s="16" t="s">
        <v>36</v>
      </c>
      <c r="N90" s="17" t="b">
        <f aca="false">FALSE()</f>
        <v>0</v>
      </c>
      <c r="O90" s="14" t="n">
        <v>34.0901259972505</v>
      </c>
      <c r="P90" s="13" t="n">
        <v>5651.5</v>
      </c>
      <c r="Q90" s="15" t="n">
        <v>-0.00352857811385074</v>
      </c>
      <c r="R90" s="15" t="n">
        <v>0.438556135539237</v>
      </c>
      <c r="S90" s="17" t="b">
        <f aca="false">FALSE()</f>
        <v>0</v>
      </c>
    </row>
    <row r="91" customFormat="false" ht="15" hidden="false" customHeight="true" outlineLevel="0" collapsed="false">
      <c r="A91" s="12" t="n">
        <v>41727</v>
      </c>
      <c r="B91" s="13" t="n">
        <v>357369.266940651</v>
      </c>
      <c r="C91" s="13" t="n">
        <v>352250.830074618</v>
      </c>
      <c r="D91" s="13" t="n">
        <v>10518</v>
      </c>
      <c r="E91" s="14" t="n">
        <v>33.9769221278429</v>
      </c>
      <c r="F91" s="14" t="n">
        <v>33.4902861831734</v>
      </c>
      <c r="G91" s="13" t="n">
        <v>5118.43686603347</v>
      </c>
      <c r="H91" s="15" t="n">
        <v>0.0143225434852055</v>
      </c>
      <c r="I91" s="15" t="n">
        <v>0.0143225434852054</v>
      </c>
      <c r="J91" s="16" t="n">
        <v>2014</v>
      </c>
      <c r="K91" s="16" t="n">
        <v>3</v>
      </c>
      <c r="L91" s="16" t="n">
        <v>13</v>
      </c>
      <c r="M91" s="16" t="s">
        <v>37</v>
      </c>
      <c r="N91" s="17" t="b">
        <f aca="false">TRUE()</f>
        <v>1</v>
      </c>
      <c r="O91" s="14" t="n">
        <v>34.192097685489</v>
      </c>
      <c r="P91" s="13" t="n">
        <v>5363.14285714286</v>
      </c>
      <c r="Q91" s="15" t="n">
        <v>-0.00629313707586333</v>
      </c>
      <c r="R91" s="15" t="n">
        <v>0.961163496883491</v>
      </c>
      <c r="S91" s="17" t="b">
        <f aca="false">FALSE()</f>
        <v>0</v>
      </c>
    </row>
    <row r="92" customFormat="false" ht="15" hidden="false" customHeight="true" outlineLevel="0" collapsed="false">
      <c r="A92" s="12" t="n">
        <v>41728</v>
      </c>
      <c r="B92" s="13" t="n">
        <v>163865.490272704</v>
      </c>
      <c r="C92" s="13" t="n">
        <v>160525.426877714</v>
      </c>
      <c r="D92" s="13" t="n">
        <v>4791</v>
      </c>
      <c r="E92" s="14" t="n">
        <v>34.2027740080784</v>
      </c>
      <c r="F92" s="14" t="n">
        <v>33.5056203042608</v>
      </c>
      <c r="G92" s="13" t="n">
        <v>3340.06339499028</v>
      </c>
      <c r="H92" s="15" t="n">
        <v>0.0203829579335574</v>
      </c>
      <c r="I92" s="15" t="n">
        <v>0.0203829579335574</v>
      </c>
      <c r="J92" s="16" t="n">
        <v>2014</v>
      </c>
      <c r="K92" s="16" t="n">
        <v>3</v>
      </c>
      <c r="L92" s="16" t="n">
        <v>13</v>
      </c>
      <c r="M92" s="16" t="s">
        <v>38</v>
      </c>
      <c r="N92" s="17" t="b">
        <f aca="false">TRUE()</f>
        <v>1</v>
      </c>
      <c r="O92" s="14" t="n">
        <v>34.3015022890511</v>
      </c>
      <c r="P92" s="13" t="n">
        <v>4973.64285714286</v>
      </c>
      <c r="Q92" s="15" t="n">
        <v>-0.00287824947550852</v>
      </c>
      <c r="R92" s="15" t="n">
        <v>-0.0367221496172681</v>
      </c>
      <c r="S92" s="17" t="b">
        <f aca="false">FALSE()</f>
        <v>0</v>
      </c>
    </row>
    <row r="93" customFormat="false" ht="15" hidden="false" customHeight="true" outlineLevel="0" collapsed="false">
      <c r="A93" s="12" t="n">
        <v>41729</v>
      </c>
      <c r="B93" s="13" t="n">
        <v>190719.6145286</v>
      </c>
      <c r="C93" s="13" t="n">
        <v>187072.595229938</v>
      </c>
      <c r="D93" s="13" t="n">
        <v>5583</v>
      </c>
      <c r="E93" s="14" t="n">
        <v>34.1607763798316</v>
      </c>
      <c r="F93" s="14" t="n">
        <v>33.507539894311</v>
      </c>
      <c r="G93" s="13" t="n">
        <v>3647.0192986617</v>
      </c>
      <c r="H93" s="15" t="n">
        <v>0.0191224133274179</v>
      </c>
      <c r="I93" s="15" t="n">
        <v>0.0191224133274177</v>
      </c>
      <c r="J93" s="16" t="n">
        <v>2014</v>
      </c>
      <c r="K93" s="16" t="n">
        <v>3</v>
      </c>
      <c r="L93" s="16" t="n">
        <v>14</v>
      </c>
      <c r="M93" s="16" t="s">
        <v>32</v>
      </c>
      <c r="N93" s="17" t="b">
        <f aca="false">FALSE()</f>
        <v>0</v>
      </c>
      <c r="O93" s="14" t="n">
        <v>34.4215098168108</v>
      </c>
      <c r="P93" s="13" t="n">
        <v>4818.14285714286</v>
      </c>
      <c r="Q93" s="15" t="n">
        <v>-0.00757472401317628</v>
      </c>
      <c r="R93" s="15" t="n">
        <v>0.158745218964035</v>
      </c>
      <c r="S93" s="17" t="b">
        <f aca="false">FALSE()</f>
        <v>0</v>
      </c>
    </row>
    <row r="94" customFormat="false" ht="15" hidden="false" customHeight="true" outlineLevel="0" collapsed="false">
      <c r="A94" s="12" t="n">
        <v>41730</v>
      </c>
      <c r="B94" s="13" t="n">
        <v>244535.205225464</v>
      </c>
      <c r="C94" s="13" t="n">
        <v>239700.684797599</v>
      </c>
      <c r="D94" s="13" t="n">
        <v>7155</v>
      </c>
      <c r="E94" s="14" t="n">
        <v>34.1768281237545</v>
      </c>
      <c r="F94" s="14" t="n">
        <v>33.5011439269879</v>
      </c>
      <c r="G94" s="13" t="n">
        <v>4834.52042786498</v>
      </c>
      <c r="H94" s="15" t="n">
        <v>0.0197702429938769</v>
      </c>
      <c r="I94" s="15" t="n">
        <v>0.019770242993877</v>
      </c>
      <c r="J94" s="16" t="n">
        <v>2014</v>
      </c>
      <c r="K94" s="16" t="n">
        <v>4</v>
      </c>
      <c r="L94" s="16" t="n">
        <v>14</v>
      </c>
      <c r="M94" s="16" t="s">
        <v>33</v>
      </c>
      <c r="N94" s="17" t="b">
        <f aca="false">FALSE()</f>
        <v>0</v>
      </c>
      <c r="O94" s="14" t="n">
        <v>34.538679612105</v>
      </c>
      <c r="P94" s="13" t="n">
        <v>4681.64285714286</v>
      </c>
      <c r="Q94" s="15" t="n">
        <v>-0.0104767030012234</v>
      </c>
      <c r="R94" s="15" t="n">
        <v>0.52830965930763</v>
      </c>
      <c r="S94" s="17" t="b">
        <f aca="false">FALSE()</f>
        <v>0</v>
      </c>
    </row>
    <row r="95" customFormat="false" ht="15" hidden="false" customHeight="true" outlineLevel="0" collapsed="false">
      <c r="A95" s="12" t="n">
        <v>41731</v>
      </c>
      <c r="B95" s="13" t="n">
        <v>155620.503788828</v>
      </c>
      <c r="C95" s="13" t="n">
        <v>153366.018810552</v>
      </c>
      <c r="D95" s="13" t="n">
        <v>4575</v>
      </c>
      <c r="E95" s="14" t="n">
        <v>34.0154106642246</v>
      </c>
      <c r="F95" s="14" t="n">
        <v>33.5226270624158</v>
      </c>
      <c r="G95" s="13" t="n">
        <v>2254.48497827523</v>
      </c>
      <c r="H95" s="15" t="n">
        <v>0.0144870690133127</v>
      </c>
      <c r="I95" s="15" t="n">
        <v>0.0144870690133128</v>
      </c>
      <c r="J95" s="16" t="n">
        <v>2014</v>
      </c>
      <c r="K95" s="16" t="n">
        <v>4</v>
      </c>
      <c r="L95" s="16" t="n">
        <v>14</v>
      </c>
      <c r="M95" s="16" t="s">
        <v>34</v>
      </c>
      <c r="N95" s="17" t="b">
        <f aca="false">FALSE()</f>
        <v>0</v>
      </c>
      <c r="O95" s="14" t="n">
        <v>34.4771177864475</v>
      </c>
      <c r="P95" s="13" t="n">
        <v>4999.35714285714</v>
      </c>
      <c r="Q95" s="15" t="n">
        <v>-0.0133916972144463</v>
      </c>
      <c r="R95" s="15" t="n">
        <v>-0.084882342015402</v>
      </c>
      <c r="S95" s="17" t="b">
        <f aca="false">FALSE()</f>
        <v>0</v>
      </c>
    </row>
    <row r="96" customFormat="false" ht="15" hidden="false" customHeight="true" outlineLevel="0" collapsed="false">
      <c r="A96" s="12" t="n">
        <v>41732</v>
      </c>
      <c r="B96" s="13" t="n">
        <v>136001.978160077</v>
      </c>
      <c r="C96" s="13" t="n">
        <v>134523.06863372</v>
      </c>
      <c r="D96" s="13" t="n">
        <v>3997</v>
      </c>
      <c r="E96" s="14" t="n">
        <v>34.0260140505573</v>
      </c>
      <c r="F96" s="14" t="n">
        <v>33.6560091653041</v>
      </c>
      <c r="G96" s="13" t="n">
        <v>1478.90952635708</v>
      </c>
      <c r="H96" s="15" t="n">
        <v>0.0108741765845227</v>
      </c>
      <c r="I96" s="15" t="n">
        <v>0.0108741765845227</v>
      </c>
      <c r="J96" s="16" t="n">
        <v>2014</v>
      </c>
      <c r="K96" s="16" t="n">
        <v>4</v>
      </c>
      <c r="L96" s="16" t="n">
        <v>14</v>
      </c>
      <c r="M96" s="16" t="s">
        <v>35</v>
      </c>
      <c r="N96" s="17" t="b">
        <f aca="false">FALSE()</f>
        <v>0</v>
      </c>
      <c r="O96" s="14" t="n">
        <v>34.4043038435195</v>
      </c>
      <c r="P96" s="13" t="n">
        <v>5137.78571428572</v>
      </c>
      <c r="Q96" s="15" t="n">
        <v>-0.0109954206509394</v>
      </c>
      <c r="R96" s="15" t="n">
        <v>-0.222038398976769</v>
      </c>
      <c r="S96" s="17" t="b">
        <f aca="false">FALSE()</f>
        <v>0</v>
      </c>
    </row>
    <row r="97" customFormat="false" ht="15" hidden="false" customHeight="true" outlineLevel="0" collapsed="false">
      <c r="A97" s="12" t="n">
        <v>41733</v>
      </c>
      <c r="B97" s="13" t="n">
        <v>190559.887512767</v>
      </c>
      <c r="C97" s="13" t="n">
        <v>187742.300011753</v>
      </c>
      <c r="D97" s="13" t="n">
        <v>5558</v>
      </c>
      <c r="E97" s="14" t="n">
        <v>34.2856940469175</v>
      </c>
      <c r="F97" s="14" t="n">
        <v>33.7787513515208</v>
      </c>
      <c r="G97" s="13" t="n">
        <v>2817.58750101485</v>
      </c>
      <c r="H97" s="15" t="n">
        <v>0.0147858373437908</v>
      </c>
      <c r="I97" s="15" t="n">
        <v>0.0147858373437907</v>
      </c>
      <c r="J97" s="16" t="n">
        <v>2014</v>
      </c>
      <c r="K97" s="16" t="n">
        <v>4</v>
      </c>
      <c r="L97" s="16" t="n">
        <v>14</v>
      </c>
      <c r="M97" s="16" t="s">
        <v>36</v>
      </c>
      <c r="N97" s="17" t="b">
        <f aca="false">FALSE()</f>
        <v>0</v>
      </c>
      <c r="O97" s="14" t="n">
        <v>34.3322387912469</v>
      </c>
      <c r="P97" s="13" t="n">
        <v>5055.5</v>
      </c>
      <c r="Q97" s="15" t="n">
        <v>-0.0013557153849607</v>
      </c>
      <c r="R97" s="15" t="n">
        <v>0.0993966966669963</v>
      </c>
      <c r="S97" s="17" t="b">
        <f aca="false">FALSE()</f>
        <v>0</v>
      </c>
    </row>
    <row r="98" customFormat="false" ht="15" hidden="false" customHeight="true" outlineLevel="0" collapsed="false">
      <c r="A98" s="12" t="n">
        <v>41734</v>
      </c>
      <c r="B98" s="13" t="n">
        <v>217110.502529121</v>
      </c>
      <c r="C98" s="13" t="n">
        <v>213540.734184194</v>
      </c>
      <c r="D98" s="13" t="n">
        <v>6320</v>
      </c>
      <c r="E98" s="14" t="n">
        <v>34.3529276153673</v>
      </c>
      <c r="F98" s="14" t="n">
        <v>33.7880908519294</v>
      </c>
      <c r="G98" s="13" t="n">
        <v>3569.76834492746</v>
      </c>
      <c r="H98" s="15" t="n">
        <v>0.0164421725496612</v>
      </c>
      <c r="I98" s="15" t="n">
        <v>0.0164421725496612</v>
      </c>
      <c r="J98" s="16" t="n">
        <v>2014</v>
      </c>
      <c r="K98" s="16" t="n">
        <v>4</v>
      </c>
      <c r="L98" s="16" t="n">
        <v>14</v>
      </c>
      <c r="M98" s="16" t="s">
        <v>37</v>
      </c>
      <c r="N98" s="17" t="b">
        <f aca="false">TRUE()</f>
        <v>1</v>
      </c>
      <c r="O98" s="14" t="n">
        <v>34.2785429760163</v>
      </c>
      <c r="P98" s="13" t="n">
        <v>5042.85714285714</v>
      </c>
      <c r="Q98" s="15" t="n">
        <v>0.00217000586644196</v>
      </c>
      <c r="R98" s="15" t="n">
        <v>0.253257790368272</v>
      </c>
      <c r="S98" s="17" t="b">
        <f aca="false">FALSE()</f>
        <v>0</v>
      </c>
    </row>
    <row r="99" customFormat="false" ht="15" hidden="false" customHeight="true" outlineLevel="0" collapsed="false">
      <c r="A99" s="12" t="n">
        <v>41735</v>
      </c>
      <c r="B99" s="13" t="n">
        <v>119190.099982556</v>
      </c>
      <c r="C99" s="13" t="n">
        <v>116856.314613416</v>
      </c>
      <c r="D99" s="13" t="n">
        <v>3447</v>
      </c>
      <c r="E99" s="14" t="n">
        <v>34.5779228263871</v>
      </c>
      <c r="F99" s="14" t="n">
        <v>33.9008745614785</v>
      </c>
      <c r="G99" s="13" t="n">
        <v>2333.78536914013</v>
      </c>
      <c r="H99" s="15" t="n">
        <v>0.0195803625425407</v>
      </c>
      <c r="I99" s="15" t="n">
        <v>0.0195803625425406</v>
      </c>
      <c r="J99" s="16" t="n">
        <v>2014</v>
      </c>
      <c r="K99" s="16" t="n">
        <v>4</v>
      </c>
      <c r="L99" s="16" t="n">
        <v>14</v>
      </c>
      <c r="M99" s="16" t="s">
        <v>38</v>
      </c>
      <c r="N99" s="17" t="b">
        <f aca="false">TRUE()</f>
        <v>1</v>
      </c>
      <c r="O99" s="14" t="n">
        <v>34.2295172466665</v>
      </c>
      <c r="P99" s="13" t="n">
        <v>5141.71428571429</v>
      </c>
      <c r="Q99" s="15" t="n">
        <v>0.0101785128084031</v>
      </c>
      <c r="R99" s="15" t="n">
        <v>-0.329601022449433</v>
      </c>
      <c r="S99" s="17" t="b">
        <f aca="false">FALSE()</f>
        <v>0</v>
      </c>
    </row>
    <row r="100" customFormat="false" ht="15" hidden="false" customHeight="true" outlineLevel="0" collapsed="false">
      <c r="A100" s="12" t="n">
        <v>41736</v>
      </c>
      <c r="B100" s="13" t="n">
        <v>131910.197451532</v>
      </c>
      <c r="C100" s="13" t="n">
        <v>130784.444709065</v>
      </c>
      <c r="D100" s="13" t="n">
        <v>3854</v>
      </c>
      <c r="E100" s="14" t="n">
        <v>34.2268286070401</v>
      </c>
      <c r="F100" s="14" t="n">
        <v>33.9347287776506</v>
      </c>
      <c r="G100" s="13" t="n">
        <v>1125.75274246722</v>
      </c>
      <c r="H100" s="15" t="n">
        <v>0.00853423589848578</v>
      </c>
      <c r="I100" s="15" t="n">
        <v>0.00853423589848577</v>
      </c>
      <c r="J100" s="16" t="n">
        <v>2014</v>
      </c>
      <c r="K100" s="16" t="n">
        <v>4</v>
      </c>
      <c r="L100" s="16" t="n">
        <v>15</v>
      </c>
      <c r="M100" s="16" t="s">
        <v>32</v>
      </c>
      <c r="N100" s="17" t="b">
        <f aca="false">FALSE()</f>
        <v>0</v>
      </c>
      <c r="O100" s="14" t="n">
        <v>34.1961665542548</v>
      </c>
      <c r="P100" s="13" t="n">
        <v>5244.85714285714</v>
      </c>
      <c r="Q100" s="15" t="n">
        <v>0.00089665175588087</v>
      </c>
      <c r="R100" s="15" t="n">
        <v>-0.265184943073487</v>
      </c>
      <c r="S100" s="17" t="b">
        <f aca="false">FALSE()</f>
        <v>0</v>
      </c>
    </row>
    <row r="101" customFormat="false" ht="15" hidden="false" customHeight="true" outlineLevel="0" collapsed="false">
      <c r="A101" s="12" t="n">
        <v>41737</v>
      </c>
      <c r="B101" s="13" t="n">
        <v>118921.307676259</v>
      </c>
      <c r="C101" s="13" t="n">
        <v>115305.805185446</v>
      </c>
      <c r="D101" s="13" t="n">
        <v>3394</v>
      </c>
      <c r="E101" s="14" t="n">
        <v>35.0386881780374</v>
      </c>
      <c r="F101" s="14" t="n">
        <v>33.97342521669</v>
      </c>
      <c r="G101" s="13" t="n">
        <v>3615.50249081304</v>
      </c>
      <c r="H101" s="15" t="n">
        <v>0.0304024784242667</v>
      </c>
      <c r="I101" s="15" t="n">
        <v>0.0304024784242666</v>
      </c>
      <c r="J101" s="16" t="n">
        <v>2014</v>
      </c>
      <c r="K101" s="16" t="n">
        <v>4</v>
      </c>
      <c r="L101" s="16" t="n">
        <v>15</v>
      </c>
      <c r="M101" s="16" t="s">
        <v>33</v>
      </c>
      <c r="N101" s="17" t="b">
        <f aca="false">FALSE()</f>
        <v>0</v>
      </c>
      <c r="O101" s="14" t="n">
        <v>34.1386887922009</v>
      </c>
      <c r="P101" s="13" t="n">
        <v>5354.21428571429</v>
      </c>
      <c r="Q101" s="15" t="n">
        <v>0.026363033194235</v>
      </c>
      <c r="R101" s="15" t="n">
        <v>-0.366106805053429</v>
      </c>
      <c r="S101" s="17" t="b">
        <f aca="false">FALSE()</f>
        <v>0</v>
      </c>
    </row>
    <row r="102" customFormat="false" ht="15" hidden="false" customHeight="true" outlineLevel="0" collapsed="false">
      <c r="A102" s="12" t="n">
        <v>41738</v>
      </c>
      <c r="B102" s="13" t="n">
        <v>124828.282836809</v>
      </c>
      <c r="C102" s="13" t="n">
        <v>121264.703118163</v>
      </c>
      <c r="D102" s="13" t="n">
        <v>3563</v>
      </c>
      <c r="E102" s="14" t="n">
        <v>35.0346008523179</v>
      </c>
      <c r="F102" s="14" t="n">
        <v>34.0344381471128</v>
      </c>
      <c r="G102" s="13" t="n">
        <v>3563.57971864598</v>
      </c>
      <c r="H102" s="15" t="n">
        <v>0.0285478550025778</v>
      </c>
      <c r="I102" s="15" t="n">
        <v>0.0285478550025777</v>
      </c>
      <c r="J102" s="16" t="n">
        <v>2014</v>
      </c>
      <c r="K102" s="16" t="n">
        <v>4</v>
      </c>
      <c r="L102" s="16" t="n">
        <v>15</v>
      </c>
      <c r="M102" s="16" t="s">
        <v>34</v>
      </c>
      <c r="N102" s="17" t="b">
        <f aca="false">FALSE()</f>
        <v>0</v>
      </c>
      <c r="O102" s="14" t="n">
        <v>34.2076663563386</v>
      </c>
      <c r="P102" s="13" t="n">
        <v>5323.64285714286</v>
      </c>
      <c r="Q102" s="15" t="n">
        <v>0.0241739523346967</v>
      </c>
      <c r="R102" s="15" t="n">
        <v>-0.330721444767949</v>
      </c>
      <c r="S102" s="17" t="b">
        <f aca="false">FALSE()</f>
        <v>0</v>
      </c>
    </row>
    <row r="103" customFormat="false" ht="15" hidden="false" customHeight="true" outlineLevel="0" collapsed="false">
      <c r="A103" s="12" t="n">
        <v>41739</v>
      </c>
      <c r="B103" s="13" t="n">
        <v>179326.490228096</v>
      </c>
      <c r="C103" s="13" t="n">
        <v>183278.502426986</v>
      </c>
      <c r="D103" s="13" t="n">
        <v>5380</v>
      </c>
      <c r="E103" s="14" t="n">
        <v>33.3320613806871</v>
      </c>
      <c r="F103" s="14" t="n">
        <v>34.0666361388451</v>
      </c>
      <c r="G103" s="13" t="n">
        <v>-3952.01219889007</v>
      </c>
      <c r="H103" s="15" t="n">
        <v>-0.0220380836867061</v>
      </c>
      <c r="I103" s="15" t="n">
        <v>-0.0220380836867061</v>
      </c>
      <c r="J103" s="16" t="n">
        <v>2014</v>
      </c>
      <c r="K103" s="16" t="n">
        <v>4</v>
      </c>
      <c r="L103" s="16" t="n">
        <v>15</v>
      </c>
      <c r="M103" s="16" t="s">
        <v>35</v>
      </c>
      <c r="N103" s="17" t="b">
        <f aca="false">FALSE()</f>
        <v>0</v>
      </c>
      <c r="O103" s="14" t="n">
        <v>34.2685893225288</v>
      </c>
      <c r="P103" s="13" t="n">
        <v>5316.28571428572</v>
      </c>
      <c r="Q103" s="15" t="n">
        <v>-0.0273290485647748</v>
      </c>
      <c r="R103" s="15" t="n">
        <v>0.0119847369269629</v>
      </c>
      <c r="S103" s="17" t="b">
        <f aca="false">FALSE()</f>
        <v>0</v>
      </c>
    </row>
    <row r="104" customFormat="false" ht="15" hidden="false" customHeight="true" outlineLevel="0" collapsed="false">
      <c r="A104" s="12" t="n">
        <v>41740</v>
      </c>
      <c r="B104" s="13" t="n">
        <v>318949.81705616</v>
      </c>
      <c r="C104" s="13" t="n">
        <v>326322.52601226</v>
      </c>
      <c r="D104" s="13" t="n">
        <v>9573</v>
      </c>
      <c r="E104" s="14" t="n">
        <v>33.3176451536781</v>
      </c>
      <c r="F104" s="14" t="n">
        <v>34.0878017353244</v>
      </c>
      <c r="G104" s="13" t="n">
        <v>-7372.70895610022</v>
      </c>
      <c r="H104" s="15" t="n">
        <v>-0.0231155766889876</v>
      </c>
      <c r="I104" s="15" t="n">
        <v>-0.0231155766889875</v>
      </c>
      <c r="J104" s="16" t="n">
        <v>2014</v>
      </c>
      <c r="K104" s="16" t="n">
        <v>4</v>
      </c>
      <c r="L104" s="16" t="n">
        <v>15</v>
      </c>
      <c r="M104" s="16" t="s">
        <v>36</v>
      </c>
      <c r="N104" s="17" t="b">
        <f aca="false">FALSE()</f>
        <v>0</v>
      </c>
      <c r="O104" s="14" t="n">
        <v>34.2412346561287</v>
      </c>
      <c r="P104" s="13" t="n">
        <v>5447.5</v>
      </c>
      <c r="Q104" s="15" t="n">
        <v>-0.0269730198611672</v>
      </c>
      <c r="R104" s="15" t="n">
        <v>0.757319871500688</v>
      </c>
      <c r="S104" s="17" t="b">
        <f aca="false">FALSE()</f>
        <v>0</v>
      </c>
    </row>
    <row r="105" customFormat="false" ht="15" hidden="false" customHeight="true" outlineLevel="0" collapsed="false">
      <c r="A105" s="12" t="n">
        <v>41741</v>
      </c>
      <c r="B105" s="13" t="n">
        <v>375031.109322689</v>
      </c>
      <c r="C105" s="13" t="n">
        <v>383727.194012924</v>
      </c>
      <c r="D105" s="13" t="n">
        <v>11250</v>
      </c>
      <c r="E105" s="14" t="n">
        <v>33.3360986064612</v>
      </c>
      <c r="F105" s="14" t="n">
        <v>34.1090839122599</v>
      </c>
      <c r="G105" s="13" t="n">
        <v>-8696.08469023526</v>
      </c>
      <c r="H105" s="15" t="n">
        <v>-0.0231876355695945</v>
      </c>
      <c r="I105" s="15" t="n">
        <v>-0.0231876355695945</v>
      </c>
      <c r="J105" s="16" t="n">
        <v>2014</v>
      </c>
      <c r="K105" s="16" t="n">
        <v>4</v>
      </c>
      <c r="L105" s="16" t="n">
        <v>15</v>
      </c>
      <c r="M105" s="16" t="s">
        <v>37</v>
      </c>
      <c r="N105" s="17" t="b">
        <f aca="false">TRUE()</f>
        <v>1</v>
      </c>
      <c r="O105" s="14" t="n">
        <v>34.1946495724801</v>
      </c>
      <c r="P105" s="13" t="n">
        <v>5550.57142857143</v>
      </c>
      <c r="Q105" s="15" t="n">
        <v>-0.0251077574051189</v>
      </c>
      <c r="R105" s="15" t="n">
        <v>1.02681834560148</v>
      </c>
      <c r="S105" s="17" t="b">
        <f aca="false">FALSE()</f>
        <v>0</v>
      </c>
    </row>
    <row r="106" customFormat="false" ht="15" hidden="false" customHeight="true" outlineLevel="0" collapsed="false">
      <c r="A106" s="12" t="n">
        <v>41742</v>
      </c>
      <c r="B106" s="13" t="n">
        <v>166393.540705273</v>
      </c>
      <c r="C106" s="13" t="n">
        <v>170061.864146523</v>
      </c>
      <c r="D106" s="13" t="n">
        <v>4990</v>
      </c>
      <c r="E106" s="14" t="n">
        <v>33.3453989389324</v>
      </c>
      <c r="F106" s="14" t="n">
        <v>34.0805338970987</v>
      </c>
      <c r="G106" s="13" t="n">
        <v>-3668.32344124996</v>
      </c>
      <c r="H106" s="15" t="n">
        <v>-0.0220460687698661</v>
      </c>
      <c r="I106" s="15" t="n">
        <v>-0.022046068769866</v>
      </c>
      <c r="J106" s="16" t="n">
        <v>2014</v>
      </c>
      <c r="K106" s="16" t="n">
        <v>4</v>
      </c>
      <c r="L106" s="16" t="n">
        <v>15</v>
      </c>
      <c r="M106" s="16" t="s">
        <v>38</v>
      </c>
      <c r="N106" s="17" t="b">
        <f aca="false">TRUE()</f>
        <v>1</v>
      </c>
      <c r="O106" s="14" t="n">
        <v>34.14887646381</v>
      </c>
      <c r="P106" s="13" t="n">
        <v>5602.85714285714</v>
      </c>
      <c r="Q106" s="15" t="n">
        <v>-0.0235286664768926</v>
      </c>
      <c r="R106" s="15" t="n">
        <v>-0.109382967873534</v>
      </c>
      <c r="S106" s="17" t="b">
        <f aca="false">FALSE()</f>
        <v>0</v>
      </c>
    </row>
    <row r="107" customFormat="false" ht="15" hidden="false" customHeight="true" outlineLevel="0" collapsed="false">
      <c r="A107" s="12" t="n">
        <v>41743</v>
      </c>
      <c r="B107" s="13" t="n">
        <v>193652.327767829</v>
      </c>
      <c r="C107" s="13" t="n">
        <v>198212.068729968</v>
      </c>
      <c r="D107" s="13" t="n">
        <v>5810</v>
      </c>
      <c r="E107" s="14" t="n">
        <v>33.3308653645145</v>
      </c>
      <c r="F107" s="14" t="n">
        <v>34.1156744802011</v>
      </c>
      <c r="G107" s="13" t="n">
        <v>-4559.74096213942</v>
      </c>
      <c r="H107" s="15" t="n">
        <v>-0.0235460167956572</v>
      </c>
      <c r="I107" s="15" t="n">
        <v>-0.0235460167956571</v>
      </c>
      <c r="J107" s="16" t="n">
        <v>2014</v>
      </c>
      <c r="K107" s="16" t="n">
        <v>4</v>
      </c>
      <c r="L107" s="16" t="n">
        <v>16</v>
      </c>
      <c r="M107" s="16" t="s">
        <v>32</v>
      </c>
      <c r="N107" s="17" t="b">
        <f aca="false">FALSE()</f>
        <v>0</v>
      </c>
      <c r="O107" s="14" t="n">
        <v>34.0876353874424</v>
      </c>
      <c r="P107" s="13" t="n">
        <v>5617.07142857143</v>
      </c>
      <c r="Q107" s="15" t="n">
        <v>-0.0222007192439863</v>
      </c>
      <c r="R107" s="15" t="n">
        <v>0.0343468253665484</v>
      </c>
      <c r="S107" s="17" t="b">
        <f aca="false">FALSE()</f>
        <v>0</v>
      </c>
    </row>
    <row r="108" customFormat="false" ht="15" hidden="false" customHeight="true" outlineLevel="0" collapsed="false">
      <c r="A108" s="12" t="n">
        <v>41744</v>
      </c>
      <c r="B108" s="13" t="n">
        <v>249805.517213491</v>
      </c>
      <c r="C108" s="13" t="n">
        <v>255956.654035289</v>
      </c>
      <c r="D108" s="13" t="n">
        <v>7497</v>
      </c>
      <c r="E108" s="14" t="n">
        <v>33.3207305873671</v>
      </c>
      <c r="F108" s="14" t="n">
        <v>34.141210355514</v>
      </c>
      <c r="G108" s="13" t="n">
        <v>-6151.13682179715</v>
      </c>
      <c r="H108" s="15" t="n">
        <v>-0.0246237028325527</v>
      </c>
      <c r="I108" s="15" t="n">
        <v>-0.0246237028325526</v>
      </c>
      <c r="J108" s="16" t="n">
        <v>2014</v>
      </c>
      <c r="K108" s="16" t="n">
        <v>4</v>
      </c>
      <c r="L108" s="16" t="n">
        <v>16</v>
      </c>
      <c r="M108" s="16" t="s">
        <v>33</v>
      </c>
      <c r="N108" s="17" t="b">
        <f aca="false">FALSE()</f>
        <v>0</v>
      </c>
      <c r="O108" s="14" t="n">
        <v>34.0283560292055</v>
      </c>
      <c r="P108" s="13" t="n">
        <v>5633.28571428572</v>
      </c>
      <c r="Q108" s="15" t="n">
        <v>-0.0207951698057651</v>
      </c>
      <c r="R108" s="15" t="n">
        <v>0.330839652068065</v>
      </c>
      <c r="S108" s="17" t="b">
        <f aca="false">FALSE()</f>
        <v>0</v>
      </c>
    </row>
    <row r="109" customFormat="false" ht="15" hidden="false" customHeight="true" outlineLevel="0" collapsed="false">
      <c r="A109" s="12" t="n">
        <v>41745</v>
      </c>
      <c r="B109" s="13" t="n">
        <v>294023.41088805</v>
      </c>
      <c r="C109" s="13" t="n">
        <v>301522.352254371</v>
      </c>
      <c r="D109" s="13" t="n">
        <v>8821</v>
      </c>
      <c r="E109" s="14" t="n">
        <v>33.3322084670729</v>
      </c>
      <c r="F109" s="14" t="n">
        <v>34.1823321907234</v>
      </c>
      <c r="G109" s="13" t="n">
        <v>-7498.94136632123</v>
      </c>
      <c r="H109" s="15" t="n">
        <v>-0.0255045723865045</v>
      </c>
      <c r="I109" s="15" t="n">
        <v>-0.0255045723865045</v>
      </c>
      <c r="J109" s="16" t="n">
        <v>2014</v>
      </c>
      <c r="K109" s="16" t="n">
        <v>4</v>
      </c>
      <c r="L109" s="16" t="n">
        <v>16</v>
      </c>
      <c r="M109" s="16" t="s">
        <v>34</v>
      </c>
      <c r="N109" s="17" t="b">
        <f aca="false">FALSE()</f>
        <v>0</v>
      </c>
      <c r="O109" s="14" t="n">
        <v>33.9672062051778</v>
      </c>
      <c r="P109" s="13" t="n">
        <v>5657.71428571429</v>
      </c>
      <c r="Q109" s="15" t="n">
        <v>-0.0186944352817604</v>
      </c>
      <c r="R109" s="15" t="n">
        <v>0.559110190889809</v>
      </c>
      <c r="S109" s="17" t="b">
        <f aca="false">FALSE()</f>
        <v>0</v>
      </c>
    </row>
    <row r="110" customFormat="false" ht="15" hidden="false" customHeight="true" outlineLevel="0" collapsed="false">
      <c r="A110" s="12" t="n">
        <v>41746</v>
      </c>
      <c r="B110" s="13" t="n">
        <v>612236.005797238</v>
      </c>
      <c r="C110" s="13" t="n">
        <v>627927.75867339</v>
      </c>
      <c r="D110" s="13" t="n">
        <v>18366</v>
      </c>
      <c r="E110" s="14" t="n">
        <v>33.3352937927278</v>
      </c>
      <c r="F110" s="14" t="n">
        <v>34.1896852158004</v>
      </c>
      <c r="G110" s="13" t="n">
        <v>-15691.7528761519</v>
      </c>
      <c r="H110" s="15" t="n">
        <v>-0.0256302352811128</v>
      </c>
      <c r="I110" s="15" t="n">
        <v>-0.0256302352811127</v>
      </c>
      <c r="J110" s="16" t="n">
        <v>2014</v>
      </c>
      <c r="K110" s="16" t="n">
        <v>4</v>
      </c>
      <c r="L110" s="16" t="n">
        <v>16</v>
      </c>
      <c r="M110" s="16" t="s">
        <v>35</v>
      </c>
      <c r="N110" s="17" t="b">
        <f aca="false">FALSE()</f>
        <v>0</v>
      </c>
      <c r="O110" s="14" t="n">
        <v>33.9184060482384</v>
      </c>
      <c r="P110" s="13" t="n">
        <v>5961</v>
      </c>
      <c r="Q110" s="15" t="n">
        <v>-0.0171916172794608</v>
      </c>
      <c r="R110" s="15" t="n">
        <v>2.08102667337695</v>
      </c>
      <c r="S110" s="17" t="b">
        <f aca="false">FALSE()</f>
        <v>0</v>
      </c>
    </row>
    <row r="111" customFormat="false" ht="15" hidden="false" customHeight="true" outlineLevel="0" collapsed="false">
      <c r="A111" s="12" t="n">
        <v>41747</v>
      </c>
      <c r="B111" s="13" t="n">
        <v>464815.517868547</v>
      </c>
      <c r="C111" s="13" t="n">
        <v>476692.543694409</v>
      </c>
      <c r="D111" s="13" t="n">
        <v>13940</v>
      </c>
      <c r="E111" s="14" t="n">
        <v>33.3440113248599</v>
      </c>
      <c r="F111" s="14" t="n">
        <v>34.1960217858256</v>
      </c>
      <c r="G111" s="13" t="n">
        <v>-11877.025825862</v>
      </c>
      <c r="H111" s="15" t="n">
        <v>-0.0255521284666337</v>
      </c>
      <c r="I111" s="15" t="n">
        <v>-0.0255521284666335</v>
      </c>
      <c r="J111" s="16" t="n">
        <v>2014</v>
      </c>
      <c r="K111" s="16" t="n">
        <v>4</v>
      </c>
      <c r="L111" s="16" t="n">
        <v>16</v>
      </c>
      <c r="M111" s="16" t="s">
        <v>36</v>
      </c>
      <c r="N111" s="17" t="b">
        <f aca="false">FALSE()</f>
        <v>0</v>
      </c>
      <c r="O111" s="14" t="n">
        <v>33.8690688869649</v>
      </c>
      <c r="P111" s="13" t="n">
        <v>6987.35714285714</v>
      </c>
      <c r="Q111" s="15" t="n">
        <v>-0.0155025685488229</v>
      </c>
      <c r="R111" s="15" t="n">
        <v>0.995031843227053</v>
      </c>
      <c r="S111" s="17" t="b">
        <f aca="false">FALSE()</f>
        <v>0</v>
      </c>
    </row>
    <row r="112" customFormat="false" ht="15" hidden="false" customHeight="true" outlineLevel="0" collapsed="false">
      <c r="A112" s="12" t="n">
        <v>41748</v>
      </c>
      <c r="B112" s="13" t="n">
        <v>360480.940449538</v>
      </c>
      <c r="C112" s="13" t="n">
        <v>369765.612763225</v>
      </c>
      <c r="D112" s="13" t="n">
        <v>10814</v>
      </c>
      <c r="E112" s="14" t="n">
        <v>33.3346532688679</v>
      </c>
      <c r="F112" s="14" t="n">
        <v>34.193232177106</v>
      </c>
      <c r="G112" s="13" t="n">
        <v>-9284.67231368693</v>
      </c>
      <c r="H112" s="15" t="n">
        <v>-0.0257563473456002</v>
      </c>
      <c r="I112" s="15" t="n">
        <v>-0.0257563473456004</v>
      </c>
      <c r="J112" s="16" t="n">
        <v>2014</v>
      </c>
      <c r="K112" s="16" t="n">
        <v>4</v>
      </c>
      <c r="L112" s="16" t="n">
        <v>16</v>
      </c>
      <c r="M112" s="16" t="s">
        <v>37</v>
      </c>
      <c r="N112" s="17" t="b">
        <f aca="false">TRUE()</f>
        <v>1</v>
      </c>
      <c r="O112" s="14" t="n">
        <v>33.8018058353893</v>
      </c>
      <c r="P112" s="13" t="n">
        <v>7586.07142857143</v>
      </c>
      <c r="Q112" s="15" t="n">
        <v>-0.0138203434691147</v>
      </c>
      <c r="R112" s="15" t="n">
        <v>0.425507273668848</v>
      </c>
      <c r="S112" s="17" t="b">
        <f aca="false">FALSE()</f>
        <v>0</v>
      </c>
    </row>
    <row r="113" customFormat="false" ht="15" hidden="false" customHeight="true" outlineLevel="0" collapsed="false">
      <c r="A113" s="12" t="n">
        <v>41749</v>
      </c>
      <c r="B113" s="13" t="n">
        <v>114279.57725377</v>
      </c>
      <c r="C113" s="13" t="n">
        <v>117190.826154167</v>
      </c>
      <c r="D113" s="13" t="n">
        <v>3429</v>
      </c>
      <c r="E113" s="14" t="n">
        <v>33.3273774435023</v>
      </c>
      <c r="F113" s="14" t="n">
        <v>34.1763855801011</v>
      </c>
      <c r="G113" s="13" t="n">
        <v>-2911.24890039717</v>
      </c>
      <c r="H113" s="15" t="n">
        <v>-0.0254747958502896</v>
      </c>
      <c r="I113" s="15" t="n">
        <v>-0.0254747958502896</v>
      </c>
      <c r="J113" s="16" t="n">
        <v>2014</v>
      </c>
      <c r="K113" s="16" t="n">
        <v>4</v>
      </c>
      <c r="L113" s="16" t="n">
        <v>16</v>
      </c>
      <c r="M113" s="16" t="s">
        <v>38</v>
      </c>
      <c r="N113" s="17" t="b">
        <f aca="false">TRUE()</f>
        <v>1</v>
      </c>
      <c r="O113" s="14" t="n">
        <v>33.7290719534965</v>
      </c>
      <c r="P113" s="13" t="n">
        <v>7907.07142857143</v>
      </c>
      <c r="Q113" s="15" t="n">
        <v>-0.0119094444859915</v>
      </c>
      <c r="R113" s="15" t="n">
        <v>-0.566337545957958</v>
      </c>
      <c r="S113" s="17" t="b">
        <f aca="false">FALSE()</f>
        <v>0</v>
      </c>
    </row>
    <row r="114" customFormat="false" ht="15" hidden="false" customHeight="true" outlineLevel="0" collapsed="false">
      <c r="A114" s="12" t="n">
        <v>41750</v>
      </c>
      <c r="B114" s="13" t="n">
        <v>161170.82040273</v>
      </c>
      <c r="C114" s="13" t="n">
        <v>165415.083845504</v>
      </c>
      <c r="D114" s="13" t="n">
        <v>4834</v>
      </c>
      <c r="E114" s="14" t="n">
        <v>33.3410882090877</v>
      </c>
      <c r="F114" s="14" t="n">
        <v>34.2190905762316</v>
      </c>
      <c r="G114" s="13" t="n">
        <v>-4244.26344277358</v>
      </c>
      <c r="H114" s="15" t="n">
        <v>-0.0263339445202804</v>
      </c>
      <c r="I114" s="15" t="n">
        <v>-0.0263339445202804</v>
      </c>
      <c r="J114" s="16" t="n">
        <v>2014</v>
      </c>
      <c r="K114" s="16" t="n">
        <v>4</v>
      </c>
      <c r="L114" s="16" t="n">
        <v>17</v>
      </c>
      <c r="M114" s="16" t="s">
        <v>32</v>
      </c>
      <c r="N114" s="17" t="b">
        <f aca="false">FALSE()</f>
        <v>0</v>
      </c>
      <c r="O114" s="14" t="n">
        <v>33.6397472832905</v>
      </c>
      <c r="P114" s="13" t="n">
        <v>7905.78571428572</v>
      </c>
      <c r="Q114" s="15" t="n">
        <v>-0.00887816045963759</v>
      </c>
      <c r="R114" s="15" t="n">
        <v>-0.388549073463377</v>
      </c>
      <c r="S114" s="17" t="b">
        <f aca="false">FALSE()</f>
        <v>0</v>
      </c>
    </row>
    <row r="115" customFormat="false" ht="15" hidden="false" customHeight="true" outlineLevel="0" collapsed="false">
      <c r="A115" s="12" t="n">
        <v>41751</v>
      </c>
      <c r="B115" s="13" t="n">
        <v>182483.146495305</v>
      </c>
      <c r="C115" s="13" t="n">
        <v>187344.737171658</v>
      </c>
      <c r="D115" s="13" t="n">
        <v>5475</v>
      </c>
      <c r="E115" s="14" t="n">
        <v>33.3302550676357</v>
      </c>
      <c r="F115" s="14" t="n">
        <v>34.2182168350061</v>
      </c>
      <c r="G115" s="13" t="n">
        <v>-4861.59067635305</v>
      </c>
      <c r="H115" s="15" t="n">
        <v>-0.0266413132923381</v>
      </c>
      <c r="I115" s="15" t="n">
        <v>-0.0266413132923381</v>
      </c>
      <c r="J115" s="16" t="n">
        <v>2014</v>
      </c>
      <c r="K115" s="16" t="n">
        <v>4</v>
      </c>
      <c r="L115" s="16" t="n">
        <v>17</v>
      </c>
      <c r="M115" s="16" t="s">
        <v>33</v>
      </c>
      <c r="N115" s="17" t="b">
        <f aca="false">FALSE()</f>
        <v>0</v>
      </c>
      <c r="O115" s="14" t="n">
        <v>33.5764801120082</v>
      </c>
      <c r="P115" s="13" t="n">
        <v>7975.78571428572</v>
      </c>
      <c r="Q115" s="15" t="n">
        <v>-0.00733325957786868</v>
      </c>
      <c r="R115" s="15" t="n">
        <v>-0.313547254636803</v>
      </c>
      <c r="S115" s="17" t="b">
        <f aca="false">FALSE()</f>
        <v>0</v>
      </c>
    </row>
    <row r="116" customFormat="false" ht="15" hidden="false" customHeight="true" outlineLevel="0" collapsed="false">
      <c r="A116" s="12" t="n">
        <v>41752</v>
      </c>
      <c r="B116" s="13" t="n">
        <v>109358.41252902</v>
      </c>
      <c r="C116" s="13" t="n">
        <v>106849.898795566</v>
      </c>
      <c r="D116" s="13" t="n">
        <v>3121</v>
      </c>
      <c r="E116" s="14" t="n">
        <v>35.0395426238448</v>
      </c>
      <c r="F116" s="14" t="n">
        <v>34.2357894250452</v>
      </c>
      <c r="G116" s="13" t="n">
        <v>2508.51373345357</v>
      </c>
      <c r="H116" s="15" t="n">
        <v>0.0229384614813049</v>
      </c>
      <c r="I116" s="15" t="n">
        <v>0.0229384614813049</v>
      </c>
      <c r="J116" s="16" t="n">
        <v>2014</v>
      </c>
      <c r="K116" s="16" t="n">
        <v>4</v>
      </c>
      <c r="L116" s="16" t="n">
        <v>17</v>
      </c>
      <c r="M116" s="16" t="s">
        <v>34</v>
      </c>
      <c r="N116" s="17" t="b">
        <f aca="false">FALSE()</f>
        <v>0</v>
      </c>
      <c r="O116" s="14" t="n">
        <v>33.4544491755509</v>
      </c>
      <c r="P116" s="13" t="n">
        <v>8124.42857142857</v>
      </c>
      <c r="Q116" s="15" t="n">
        <v>0.0473806470396855</v>
      </c>
      <c r="R116" s="15" t="n">
        <v>-0.61584990592745</v>
      </c>
      <c r="S116" s="17" t="b">
        <f aca="false">FALSE()</f>
        <v>0</v>
      </c>
    </row>
    <row r="117" customFormat="false" ht="15" hidden="false" customHeight="true" outlineLevel="0" collapsed="false">
      <c r="A117" s="12" t="n">
        <v>41753</v>
      </c>
      <c r="B117" s="13" t="n">
        <v>98430.1141092905</v>
      </c>
      <c r="C117" s="13" t="n">
        <v>96197.4822314308</v>
      </c>
      <c r="D117" s="13" t="n">
        <v>2809</v>
      </c>
      <c r="E117" s="14" t="n">
        <v>35.0409804589856</v>
      </c>
      <c r="F117" s="14" t="n">
        <v>34.2461666897226</v>
      </c>
      <c r="G117" s="13" t="n">
        <v>2232.63187785969</v>
      </c>
      <c r="H117" s="15" t="n">
        <v>0.0226824066807514</v>
      </c>
      <c r="I117" s="15" t="n">
        <v>0.0226824066807514</v>
      </c>
      <c r="J117" s="16" t="n">
        <v>2014</v>
      </c>
      <c r="K117" s="16" t="n">
        <v>4</v>
      </c>
      <c r="L117" s="16" t="n">
        <v>17</v>
      </c>
      <c r="M117" s="16" t="s">
        <v>35</v>
      </c>
      <c r="N117" s="17" t="b">
        <f aca="false">FALSE()</f>
        <v>0</v>
      </c>
      <c r="O117" s="14" t="n">
        <v>33.4548021592314</v>
      </c>
      <c r="P117" s="13" t="n">
        <v>8092.85714285714</v>
      </c>
      <c r="Q117" s="15" t="n">
        <v>0.0474125744999066</v>
      </c>
      <c r="R117" s="15" t="n">
        <v>-0.652903795233892</v>
      </c>
      <c r="S117" s="17" t="b">
        <f aca="false">FALSE()</f>
        <v>0</v>
      </c>
    </row>
    <row r="118" customFormat="false" ht="15" hidden="false" customHeight="true" outlineLevel="0" collapsed="false">
      <c r="A118" s="12" t="n">
        <v>41754</v>
      </c>
      <c r="B118" s="13" t="n">
        <v>295741.346961883</v>
      </c>
      <c r="C118" s="13" t="n">
        <v>292327.028255684</v>
      </c>
      <c r="D118" s="13" t="n">
        <v>8537</v>
      </c>
      <c r="E118" s="14" t="n">
        <v>34.6423037322107</v>
      </c>
      <c r="F118" s="14" t="n">
        <v>34.2423601096034</v>
      </c>
      <c r="G118" s="13" t="n">
        <v>3414.31870619865</v>
      </c>
      <c r="H118" s="15" t="n">
        <v>0.0115449487914814</v>
      </c>
      <c r="I118" s="15" t="n">
        <v>0.0115449487914814</v>
      </c>
      <c r="J118" s="16" t="n">
        <v>2014</v>
      </c>
      <c r="K118" s="16" t="n">
        <v>4</v>
      </c>
      <c r="L118" s="16" t="n">
        <v>17</v>
      </c>
      <c r="M118" s="16" t="s">
        <v>36</v>
      </c>
      <c r="N118" s="17" t="b">
        <f aca="false">FALSE()</f>
        <v>0</v>
      </c>
      <c r="O118" s="14" t="n">
        <v>33.5768678076813</v>
      </c>
      <c r="P118" s="13" t="n">
        <v>7909.21428571429</v>
      </c>
      <c r="Q118" s="15" t="n">
        <v>0.0317312481507186</v>
      </c>
      <c r="R118" s="15" t="n">
        <v>0.0793739670727633</v>
      </c>
      <c r="S118" s="17" t="b">
        <f aca="false">FALSE()</f>
        <v>0</v>
      </c>
    </row>
    <row r="119" customFormat="false" ht="15" hidden="false" customHeight="true" outlineLevel="0" collapsed="false">
      <c r="A119" s="12" t="n">
        <v>41755</v>
      </c>
      <c r="B119" s="13" t="n">
        <v>285053.979933128</v>
      </c>
      <c r="C119" s="13" t="n">
        <v>281159.581123413</v>
      </c>
      <c r="D119" s="13" t="n">
        <v>8209</v>
      </c>
      <c r="E119" s="14" t="n">
        <v>34.7245681487547</v>
      </c>
      <c r="F119" s="14" t="n">
        <v>34.2501621541495</v>
      </c>
      <c r="G119" s="13" t="n">
        <v>3894.39880971459</v>
      </c>
      <c r="H119" s="15" t="n">
        <v>0.0136619696052944</v>
      </c>
      <c r="I119" s="15" t="n">
        <v>0.0136619696052945</v>
      </c>
      <c r="J119" s="16" t="n">
        <v>2014</v>
      </c>
      <c r="K119" s="16" t="n">
        <v>4</v>
      </c>
      <c r="L119" s="16" t="n">
        <v>17</v>
      </c>
      <c r="M119" s="16" t="s">
        <v>37</v>
      </c>
      <c r="N119" s="17" t="b">
        <f aca="false">TRUE()</f>
        <v>1</v>
      </c>
      <c r="O119" s="14" t="n">
        <v>33.6714862775765</v>
      </c>
      <c r="P119" s="13" t="n">
        <v>7835.21428571429</v>
      </c>
      <c r="Q119" s="15" t="n">
        <v>0.0312751822861936</v>
      </c>
      <c r="R119" s="15" t="n">
        <v>0.0477058700190532</v>
      </c>
      <c r="S119" s="17" t="b">
        <f aca="false">FALSE()</f>
        <v>0</v>
      </c>
    </row>
    <row r="120" customFormat="false" ht="15" hidden="false" customHeight="true" outlineLevel="0" collapsed="false">
      <c r="A120" s="12" t="n">
        <v>41756</v>
      </c>
      <c r="B120" s="13" t="n">
        <v>124964.796468059</v>
      </c>
      <c r="C120" s="13" t="n">
        <v>123042.158952898</v>
      </c>
      <c r="D120" s="13" t="n">
        <v>3592</v>
      </c>
      <c r="E120" s="14" t="n">
        <v>34.789754027856</v>
      </c>
      <c r="F120" s="14" t="n">
        <v>34.2544985949047</v>
      </c>
      <c r="G120" s="13" t="n">
        <v>1922.63751516125</v>
      </c>
      <c r="H120" s="15" t="n">
        <v>0.0153854330939728</v>
      </c>
      <c r="I120" s="15" t="n">
        <v>0.0153854330939727</v>
      </c>
      <c r="J120" s="16" t="n">
        <v>2014</v>
      </c>
      <c r="K120" s="16" t="n">
        <v>4</v>
      </c>
      <c r="L120" s="16" t="n">
        <v>17</v>
      </c>
      <c r="M120" s="16" t="s">
        <v>38</v>
      </c>
      <c r="N120" s="17" t="b">
        <f aca="false">TRUE()</f>
        <v>1</v>
      </c>
      <c r="O120" s="14" t="n">
        <v>33.7706626734546</v>
      </c>
      <c r="P120" s="13" t="n">
        <v>7618</v>
      </c>
      <c r="Q120" s="15" t="n">
        <v>0.0301768243121417</v>
      </c>
      <c r="R120" s="15" t="n">
        <v>-0.528485166710423</v>
      </c>
      <c r="S120" s="17" t="b">
        <f aca="false">FALSE()</f>
        <v>0</v>
      </c>
    </row>
    <row r="121" customFormat="false" ht="15" hidden="false" customHeight="true" outlineLevel="0" collapsed="false">
      <c r="A121" s="12" t="n">
        <v>41757</v>
      </c>
      <c r="B121" s="13" t="n">
        <v>124175.808352159</v>
      </c>
      <c r="C121" s="13" t="n">
        <v>122516.065704203</v>
      </c>
      <c r="D121" s="13" t="n">
        <v>3576</v>
      </c>
      <c r="E121" s="14" t="n">
        <v>34.7247786219683</v>
      </c>
      <c r="F121" s="14" t="n">
        <v>34.2606447718687</v>
      </c>
      <c r="G121" s="13" t="n">
        <v>1659.74264795627</v>
      </c>
      <c r="H121" s="15" t="n">
        <v>0.0133660708150922</v>
      </c>
      <c r="I121" s="15" t="n">
        <v>0.0133660708150922</v>
      </c>
      <c r="J121" s="16" t="n">
        <v>2014</v>
      </c>
      <c r="K121" s="16" t="n">
        <v>4</v>
      </c>
      <c r="L121" s="16" t="n">
        <v>18</v>
      </c>
      <c r="M121" s="16" t="s">
        <v>32</v>
      </c>
      <c r="N121" s="17" t="b">
        <f aca="false">FALSE()</f>
        <v>0</v>
      </c>
      <c r="O121" s="14" t="n">
        <v>33.873830894092</v>
      </c>
      <c r="P121" s="13" t="n">
        <v>7518.14285714286</v>
      </c>
      <c r="Q121" s="15" t="n">
        <v>0.0251210951172573</v>
      </c>
      <c r="R121" s="15" t="n">
        <v>-0.52435061850381</v>
      </c>
      <c r="S121" s="17" t="b">
        <f aca="false">FALSE()</f>
        <v>0</v>
      </c>
    </row>
    <row r="122" customFormat="false" ht="15" hidden="false" customHeight="true" outlineLevel="0" collapsed="false">
      <c r="A122" s="12" t="n">
        <v>41758</v>
      </c>
      <c r="B122" s="13" t="n">
        <v>131842.571632244</v>
      </c>
      <c r="C122" s="13" t="n">
        <v>130405.263858171</v>
      </c>
      <c r="D122" s="13" t="n">
        <v>3807</v>
      </c>
      <c r="E122" s="14" t="n">
        <v>34.6316185007207</v>
      </c>
      <c r="F122" s="14" t="n">
        <v>34.2540750875154</v>
      </c>
      <c r="G122" s="13" t="n">
        <v>1437.30777407266</v>
      </c>
      <c r="H122" s="15" t="n">
        <v>0.0109016970488245</v>
      </c>
      <c r="I122" s="15" t="n">
        <v>0.0109016970488245</v>
      </c>
      <c r="J122" s="16" t="n">
        <v>2014</v>
      </c>
      <c r="K122" s="16" t="n">
        <v>4</v>
      </c>
      <c r="L122" s="16" t="n">
        <v>18</v>
      </c>
      <c r="M122" s="16" t="s">
        <v>33</v>
      </c>
      <c r="N122" s="17" t="b">
        <f aca="false">FALSE()</f>
        <v>0</v>
      </c>
      <c r="O122" s="14" t="n">
        <v>33.9733961267672</v>
      </c>
      <c r="P122" s="13" t="n">
        <v>7358.57142857143</v>
      </c>
      <c r="Q122" s="15" t="n">
        <v>0.0193746416018407</v>
      </c>
      <c r="R122" s="15" t="n">
        <v>-0.482644146767618</v>
      </c>
      <c r="S122" s="17" t="b">
        <f aca="false">FALSE()</f>
        <v>0</v>
      </c>
    </row>
    <row r="123" customFormat="false" ht="15" hidden="false" customHeight="true" outlineLevel="0" collapsed="false">
      <c r="A123" s="12" t="n">
        <v>41759</v>
      </c>
      <c r="B123" s="13" t="n">
        <v>154850.057257681</v>
      </c>
      <c r="C123" s="13" t="n">
        <v>150644.348240667</v>
      </c>
      <c r="D123" s="13" t="n">
        <v>4398</v>
      </c>
      <c r="E123" s="14" t="n">
        <v>35.2091990126606</v>
      </c>
      <c r="F123" s="14" t="n">
        <v>34.2529213825983</v>
      </c>
      <c r="G123" s="13" t="n">
        <v>4205.70901701413</v>
      </c>
      <c r="H123" s="15" t="n">
        <v>0.0271598802835154</v>
      </c>
      <c r="I123" s="15" t="n">
        <v>0.0271598802835154</v>
      </c>
      <c r="J123" s="16" t="n">
        <v>2014</v>
      </c>
      <c r="K123" s="16" t="n">
        <v>4</v>
      </c>
      <c r="L123" s="16" t="n">
        <v>18</v>
      </c>
      <c r="M123" s="16" t="s">
        <v>34</v>
      </c>
      <c r="N123" s="17" t="b">
        <f aca="false">FALSE()</f>
        <v>0</v>
      </c>
      <c r="O123" s="14" t="n">
        <v>34.0670309777211</v>
      </c>
      <c r="P123" s="13" t="n">
        <v>7095</v>
      </c>
      <c r="Q123" s="15" t="n">
        <v>0.0335270788841706</v>
      </c>
      <c r="R123" s="15" t="n">
        <v>-0.380126849894292</v>
      </c>
      <c r="S123" s="17" t="b">
        <f aca="false">FALSE()</f>
        <v>0</v>
      </c>
    </row>
    <row r="124" customFormat="false" ht="15" hidden="false" customHeight="true" outlineLevel="0" collapsed="false">
      <c r="A124" s="12" t="n">
        <v>41760</v>
      </c>
      <c r="B124" s="13" t="n">
        <v>180294.268730028</v>
      </c>
      <c r="C124" s="13" t="n">
        <v>175656.650393213</v>
      </c>
      <c r="D124" s="13" t="n">
        <v>5124</v>
      </c>
      <c r="E124" s="14" t="n">
        <v>35.1862351151498</v>
      </c>
      <c r="F124" s="14" t="n">
        <v>34.2811573757247</v>
      </c>
      <c r="G124" s="13" t="n">
        <v>4637.61833681431</v>
      </c>
      <c r="H124" s="15" t="n">
        <v>0.0257224945056832</v>
      </c>
      <c r="I124" s="15" t="n">
        <v>0.0257224945056832</v>
      </c>
      <c r="J124" s="16" t="n">
        <v>2014</v>
      </c>
      <c r="K124" s="16" t="n">
        <v>5</v>
      </c>
      <c r="L124" s="16" t="n">
        <v>18</v>
      </c>
      <c r="M124" s="16" t="s">
        <v>35</v>
      </c>
      <c r="N124" s="17" t="b">
        <f aca="false">FALSE()</f>
        <v>0</v>
      </c>
      <c r="O124" s="14" t="n">
        <v>34.2011017309773</v>
      </c>
      <c r="P124" s="13" t="n">
        <v>6779.07142857143</v>
      </c>
      <c r="Q124" s="15" t="n">
        <v>0.0288041418057649</v>
      </c>
      <c r="R124" s="15" t="n">
        <v>-0.244144267546124</v>
      </c>
      <c r="S124" s="17" t="b">
        <f aca="false">FALSE()</f>
        <v>0</v>
      </c>
    </row>
    <row r="125" customFormat="false" ht="15" hidden="false" customHeight="true" outlineLevel="0" collapsed="false">
      <c r="A125" s="12" t="n">
        <v>41761</v>
      </c>
      <c r="B125" s="13" t="n">
        <v>163849.035829681</v>
      </c>
      <c r="C125" s="13" t="n">
        <v>157300.625596072</v>
      </c>
      <c r="D125" s="13" t="n">
        <v>4581</v>
      </c>
      <c r="E125" s="14" t="n">
        <v>35.7670892446368</v>
      </c>
      <c r="F125" s="14" t="n">
        <v>34.3376174625785</v>
      </c>
      <c r="G125" s="13" t="n">
        <v>6548.41023360938</v>
      </c>
      <c r="H125" s="15" t="n">
        <v>0.0399661200351301</v>
      </c>
      <c r="I125" s="15" t="n">
        <v>0.03996612003513</v>
      </c>
      <c r="J125" s="16" t="n">
        <v>2014</v>
      </c>
      <c r="K125" s="16" t="n">
        <v>5</v>
      </c>
      <c r="L125" s="16" t="n">
        <v>18</v>
      </c>
      <c r="M125" s="16" t="s">
        <v>36</v>
      </c>
      <c r="N125" s="17" t="b">
        <f aca="false">FALSE()</f>
        <v>0</v>
      </c>
      <c r="O125" s="14" t="n">
        <v>34.3333118254361</v>
      </c>
      <c r="P125" s="13" t="n">
        <v>5833.21428571429</v>
      </c>
      <c r="Q125" s="15" t="n">
        <v>0.0417605335159821</v>
      </c>
      <c r="R125" s="15" t="n">
        <v>-0.214669687136472</v>
      </c>
      <c r="S125" s="17" t="b">
        <f aca="false">FALSE()</f>
        <v>0</v>
      </c>
    </row>
    <row r="126" customFormat="false" ht="15" hidden="false" customHeight="true" outlineLevel="0" collapsed="false">
      <c r="A126" s="12" t="n">
        <v>41762</v>
      </c>
      <c r="B126" s="13" t="n">
        <v>131436.792447441</v>
      </c>
      <c r="C126" s="13" t="n">
        <v>127601.94472594</v>
      </c>
      <c r="D126" s="13" t="n">
        <v>3697</v>
      </c>
      <c r="E126" s="14" t="n">
        <v>35.5522835941145</v>
      </c>
      <c r="F126" s="14" t="n">
        <v>34.5149972209737</v>
      </c>
      <c r="G126" s="13" t="n">
        <v>3834.84772150156</v>
      </c>
      <c r="H126" s="15" t="n">
        <v>0.0291763641678568</v>
      </c>
      <c r="I126" s="15" t="n">
        <v>0.0291763641678569</v>
      </c>
      <c r="J126" s="16" t="n">
        <v>2014</v>
      </c>
      <c r="K126" s="16" t="n">
        <v>5</v>
      </c>
      <c r="L126" s="16" t="n">
        <v>18</v>
      </c>
      <c r="M126" s="16" t="s">
        <v>37</v>
      </c>
      <c r="N126" s="17" t="b">
        <f aca="false">TRUE()</f>
        <v>1</v>
      </c>
      <c r="O126" s="14" t="n">
        <v>34.5063888197058</v>
      </c>
      <c r="P126" s="13" t="n">
        <v>5164.71428571429</v>
      </c>
      <c r="Q126" s="15" t="n">
        <v>0.0303101776274947</v>
      </c>
      <c r="R126" s="15" t="n">
        <v>-0.284181119132575</v>
      </c>
      <c r="S126" s="17" t="b">
        <f aca="false">FALSE()</f>
        <v>0</v>
      </c>
    </row>
    <row r="127" customFormat="false" ht="15" hidden="false" customHeight="true" outlineLevel="0" collapsed="false">
      <c r="A127" s="12" t="n">
        <v>41763</v>
      </c>
      <c r="B127" s="13" t="n">
        <v>93082.0439568928</v>
      </c>
      <c r="C127" s="13" t="n">
        <v>91601.506543395</v>
      </c>
      <c r="D127" s="13" t="n">
        <v>2642</v>
      </c>
      <c r="E127" s="14" t="n">
        <v>35.2316593326619</v>
      </c>
      <c r="F127" s="14" t="n">
        <v>34.6712742404977</v>
      </c>
      <c r="G127" s="13" t="n">
        <v>1480.53741349779</v>
      </c>
      <c r="H127" s="15" t="n">
        <v>0.0159057252135916</v>
      </c>
      <c r="I127" s="15" t="n">
        <v>0.0159057252135916</v>
      </c>
      <c r="J127" s="16" t="n">
        <v>2014</v>
      </c>
      <c r="K127" s="16" t="n">
        <v>5</v>
      </c>
      <c r="L127" s="16" t="n">
        <v>18</v>
      </c>
      <c r="M127" s="16" t="s">
        <v>38</v>
      </c>
      <c r="N127" s="17" t="b">
        <f aca="false">TRUE()</f>
        <v>1</v>
      </c>
      <c r="O127" s="14" t="n">
        <v>34.6647909857949</v>
      </c>
      <c r="P127" s="13" t="n">
        <v>4656.35714285714</v>
      </c>
      <c r="Q127" s="15" t="n">
        <v>0.0163528563348136</v>
      </c>
      <c r="R127" s="15" t="n">
        <v>-0.432603660126709</v>
      </c>
      <c r="S127" s="17" t="b">
        <f aca="false">FALSE()</f>
        <v>0</v>
      </c>
    </row>
    <row r="128" customFormat="false" ht="15" hidden="false" customHeight="true" outlineLevel="0" collapsed="false">
      <c r="A128" s="12" t="n">
        <v>41764</v>
      </c>
      <c r="B128" s="13" t="n">
        <v>110887.013297212</v>
      </c>
      <c r="C128" s="13" t="n">
        <v>109460.153222671</v>
      </c>
      <c r="D128" s="13" t="n">
        <v>3154</v>
      </c>
      <c r="E128" s="14" t="n">
        <v>35.1575818951212</v>
      </c>
      <c r="F128" s="14" t="n">
        <v>34.7051849152412</v>
      </c>
      <c r="G128" s="13" t="n">
        <v>1426.86007454162</v>
      </c>
      <c r="H128" s="15" t="n">
        <v>0.0128676932682566</v>
      </c>
      <c r="I128" s="15" t="n">
        <v>0.0128676932682567</v>
      </c>
      <c r="J128" s="16" t="n">
        <v>2014</v>
      </c>
      <c r="K128" s="16" t="n">
        <v>5</v>
      </c>
      <c r="L128" s="16" t="n">
        <v>19</v>
      </c>
      <c r="M128" s="16" t="s">
        <v>32</v>
      </c>
      <c r="N128" s="17" t="b">
        <f aca="false">FALSE()</f>
        <v>0</v>
      </c>
      <c r="O128" s="14" t="n">
        <v>34.8008111207349</v>
      </c>
      <c r="P128" s="13" t="n">
        <v>4600.14285714286</v>
      </c>
      <c r="Q128" s="15" t="n">
        <v>0.010251794797213</v>
      </c>
      <c r="R128" s="15" t="n">
        <v>-0.314369118971461</v>
      </c>
      <c r="S128" s="17" t="b">
        <f aca="false">FALSE()</f>
        <v>0</v>
      </c>
    </row>
    <row r="129" customFormat="false" ht="15" hidden="false" customHeight="true" outlineLevel="0" collapsed="false">
      <c r="A129" s="12" t="n">
        <v>41765</v>
      </c>
      <c r="B129" s="13" t="n">
        <v>119385.575367957</v>
      </c>
      <c r="C129" s="13" t="n">
        <v>115693.106641848</v>
      </c>
      <c r="D129" s="13" t="n">
        <v>3324</v>
      </c>
      <c r="E129" s="14" t="n">
        <v>35.9162380770027</v>
      </c>
      <c r="F129" s="14" t="n">
        <v>34.8053870763682</v>
      </c>
      <c r="G129" s="13" t="n">
        <v>3692.46872610903</v>
      </c>
      <c r="H129" s="15" t="n">
        <v>0.0309289352145644</v>
      </c>
      <c r="I129" s="15" t="n">
        <v>0.0309289352145645</v>
      </c>
      <c r="J129" s="16" t="n">
        <v>2014</v>
      </c>
      <c r="K129" s="16" t="n">
        <v>5</v>
      </c>
      <c r="L129" s="16" t="n">
        <v>19</v>
      </c>
      <c r="M129" s="16" t="s">
        <v>33</v>
      </c>
      <c r="N129" s="17" t="b">
        <f aca="false">FALSE()</f>
        <v>0</v>
      </c>
      <c r="O129" s="14" t="n">
        <v>34.9305606697372</v>
      </c>
      <c r="P129" s="13" t="n">
        <v>4480.14285714286</v>
      </c>
      <c r="Q129" s="15" t="n">
        <v>0.0282181959970482</v>
      </c>
      <c r="R129" s="15" t="n">
        <v>-0.258059373106725</v>
      </c>
      <c r="S129" s="17" t="b">
        <f aca="false">FALSE()</f>
        <v>0</v>
      </c>
    </row>
    <row r="130" customFormat="false" ht="15" hidden="false" customHeight="true" outlineLevel="0" collapsed="false">
      <c r="A130" s="12" t="n">
        <v>41766</v>
      </c>
      <c r="B130" s="13" t="n">
        <v>91719.5893788375</v>
      </c>
      <c r="C130" s="13" t="n">
        <v>93157.1705825259</v>
      </c>
      <c r="D130" s="13" t="n">
        <v>2677</v>
      </c>
      <c r="E130" s="14" t="n">
        <v>34.2620804552998</v>
      </c>
      <c r="F130" s="14" t="n">
        <v>34.7990924850676</v>
      </c>
      <c r="G130" s="13" t="n">
        <v>-1437.58120368845</v>
      </c>
      <c r="H130" s="15" t="n">
        <v>-0.0156736550329579</v>
      </c>
      <c r="I130" s="15" t="n">
        <v>-0.0156736550329578</v>
      </c>
      <c r="J130" s="16" t="n">
        <v>2014</v>
      </c>
      <c r="K130" s="16" t="n">
        <v>5</v>
      </c>
      <c r="L130" s="16" t="n">
        <v>19</v>
      </c>
      <c r="M130" s="16" t="s">
        <v>34</v>
      </c>
      <c r="N130" s="17" t="b">
        <f aca="false">FALSE()</f>
        <v>0</v>
      </c>
      <c r="O130" s="14" t="n">
        <v>35.1152737418349</v>
      </c>
      <c r="P130" s="13" t="n">
        <v>4326.5</v>
      </c>
      <c r="Q130" s="15" t="n">
        <v>-0.0242969282485947</v>
      </c>
      <c r="R130" s="15" t="n">
        <v>-0.381255056049925</v>
      </c>
      <c r="S130" s="17" t="b">
        <f aca="false">FALSE()</f>
        <v>0</v>
      </c>
    </row>
    <row r="131" customFormat="false" ht="15" hidden="false" customHeight="true" outlineLevel="0" collapsed="false">
      <c r="A131" s="12" t="n">
        <v>41767</v>
      </c>
      <c r="B131" s="13" t="n">
        <v>96335.4489513875</v>
      </c>
      <c r="C131" s="13" t="n">
        <v>93696.2161372138</v>
      </c>
      <c r="D131" s="13" t="n">
        <v>2683</v>
      </c>
      <c r="E131" s="14" t="n">
        <v>35.9058699036107</v>
      </c>
      <c r="F131" s="14" t="n">
        <v>34.9221826825247</v>
      </c>
      <c r="G131" s="13" t="n">
        <v>2639.23281417367</v>
      </c>
      <c r="H131" s="15" t="n">
        <v>0.0273962787624052</v>
      </c>
      <c r="I131" s="15" t="n">
        <v>0.0273962787624052</v>
      </c>
      <c r="J131" s="16" t="n">
        <v>2014</v>
      </c>
      <c r="K131" s="16" t="n">
        <v>5</v>
      </c>
      <c r="L131" s="16" t="n">
        <v>19</v>
      </c>
      <c r="M131" s="16" t="s">
        <v>35</v>
      </c>
      <c r="N131" s="17" t="b">
        <f aca="false">FALSE()</f>
        <v>0</v>
      </c>
      <c r="O131" s="14" t="n">
        <v>35.059740729796</v>
      </c>
      <c r="P131" s="13" t="n">
        <v>4294.78571428572</v>
      </c>
      <c r="Q131" s="15" t="n">
        <v>0.0241339255853545</v>
      </c>
      <c r="R131" s="15" t="n">
        <v>-0.375288971676618</v>
      </c>
      <c r="S131" s="17" t="b">
        <f aca="false">FALSE()</f>
        <v>0</v>
      </c>
    </row>
    <row r="132" customFormat="false" ht="15" hidden="false" customHeight="true" outlineLevel="0" collapsed="false">
      <c r="A132" s="12" t="n">
        <v>41768</v>
      </c>
      <c r="B132" s="13" t="n">
        <v>303226.298354255</v>
      </c>
      <c r="C132" s="13" t="n">
        <v>325836.940113892</v>
      </c>
      <c r="D132" s="13" t="n">
        <v>9328</v>
      </c>
      <c r="E132" s="14" t="n">
        <v>32.5071074565024</v>
      </c>
      <c r="F132" s="14" t="n">
        <v>34.9310613329645</v>
      </c>
      <c r="G132" s="13" t="n">
        <v>-22610.6417596379</v>
      </c>
      <c r="H132" s="15" t="n">
        <v>-0.0745668890935781</v>
      </c>
      <c r="I132" s="15" t="n">
        <v>-0.074566889093578</v>
      </c>
      <c r="J132" s="16" t="n">
        <v>2014</v>
      </c>
      <c r="K132" s="16" t="n">
        <v>5</v>
      </c>
      <c r="L132" s="16" t="n">
        <v>19</v>
      </c>
      <c r="M132" s="16" t="s">
        <v>36</v>
      </c>
      <c r="N132" s="17" t="b">
        <f aca="false">FALSE()</f>
        <v>0</v>
      </c>
      <c r="O132" s="14" t="n">
        <v>35.1215185472692</v>
      </c>
      <c r="P132" s="13" t="n">
        <v>4285.78571428572</v>
      </c>
      <c r="Q132" s="15" t="n">
        <v>-0.0744390105811655</v>
      </c>
      <c r="R132" s="15" t="n">
        <v>1.17649705838236</v>
      </c>
      <c r="S132" s="17" t="b">
        <f aca="false">TRUE()</f>
        <v>1</v>
      </c>
    </row>
    <row r="133" customFormat="false" ht="15" hidden="false" customHeight="true" outlineLevel="0" collapsed="false">
      <c r="A133" s="12" t="n">
        <v>41769</v>
      </c>
      <c r="B133" s="13" t="n">
        <v>431695.70916738</v>
      </c>
      <c r="C133" s="13" t="n">
        <v>465253.815715588</v>
      </c>
      <c r="D133" s="13" t="n">
        <v>13306</v>
      </c>
      <c r="E133" s="14" t="n">
        <v>32.4436877474358</v>
      </c>
      <c r="F133" s="14" t="n">
        <v>34.9657158962564</v>
      </c>
      <c r="G133" s="13" t="n">
        <v>-33558.1065482079</v>
      </c>
      <c r="H133" s="15" t="n">
        <v>-0.0777355573279431</v>
      </c>
      <c r="I133" s="15" t="n">
        <v>-0.0777355573279432</v>
      </c>
      <c r="J133" s="16" t="n">
        <v>2014</v>
      </c>
      <c r="K133" s="16" t="n">
        <v>5</v>
      </c>
      <c r="L133" s="16" t="n">
        <v>19</v>
      </c>
      <c r="M133" s="16" t="s">
        <v>37</v>
      </c>
      <c r="N133" s="17" t="b">
        <f aca="false">TRUE()</f>
        <v>1</v>
      </c>
      <c r="O133" s="14" t="n">
        <v>34.9690045275757</v>
      </c>
      <c r="P133" s="13" t="n">
        <v>4342.28571428572</v>
      </c>
      <c r="Q133" s="15" t="n">
        <v>-0.0722158612821987</v>
      </c>
      <c r="R133" s="15" t="n">
        <v>2.06428477431241</v>
      </c>
      <c r="S133" s="17" t="b">
        <f aca="false">TRUE()</f>
        <v>1</v>
      </c>
    </row>
    <row r="134" customFormat="false" ht="15" hidden="false" customHeight="true" outlineLevel="0" collapsed="false">
      <c r="A134" s="12" t="n">
        <v>41770</v>
      </c>
      <c r="B134" s="13" t="n">
        <v>200407.277067542</v>
      </c>
      <c r="C134" s="13" t="n">
        <v>215907.824912829</v>
      </c>
      <c r="D134" s="13" t="n">
        <v>6173</v>
      </c>
      <c r="E134" s="14" t="n">
        <v>32.4651347914373</v>
      </c>
      <c r="F134" s="14" t="n">
        <v>34.9761582557637</v>
      </c>
      <c r="G134" s="13" t="n">
        <v>-15500.5478452869</v>
      </c>
      <c r="H134" s="15" t="n">
        <v>-0.0773452345249063</v>
      </c>
      <c r="I134" s="15" t="n">
        <v>-0.0773452345249064</v>
      </c>
      <c r="J134" s="16" t="n">
        <v>2014</v>
      </c>
      <c r="K134" s="16" t="n">
        <v>5</v>
      </c>
      <c r="L134" s="16" t="n">
        <v>19</v>
      </c>
      <c r="M134" s="16" t="s">
        <v>38</v>
      </c>
      <c r="N134" s="17" t="b">
        <f aca="false">TRUE()</f>
        <v>1</v>
      </c>
      <c r="O134" s="14" t="n">
        <v>34.8060844989101</v>
      </c>
      <c r="P134" s="13" t="n">
        <v>4706.35714285714</v>
      </c>
      <c r="Q134" s="15" t="n">
        <v>-0.0672569104274324</v>
      </c>
      <c r="R134" s="15" t="n">
        <v>0.311630165885049</v>
      </c>
      <c r="S134" s="17" t="b">
        <f aca="false">TRUE()</f>
        <v>1</v>
      </c>
    </row>
    <row r="135" customFormat="false" ht="15" hidden="false" customHeight="true" outlineLevel="0" collapsed="false">
      <c r="A135" s="12" t="n">
        <v>41771</v>
      </c>
      <c r="B135" s="13" t="n">
        <v>183413.708347736</v>
      </c>
      <c r="C135" s="13" t="n">
        <v>197835.495083798</v>
      </c>
      <c r="D135" s="13" t="n">
        <v>5653</v>
      </c>
      <c r="E135" s="14" t="n">
        <v>32.4453756143174</v>
      </c>
      <c r="F135" s="14" t="n">
        <v>34.9965496344946</v>
      </c>
      <c r="G135" s="13" t="n">
        <v>-14421.7867360619</v>
      </c>
      <c r="H135" s="15" t="n">
        <v>-0.0786298192538556</v>
      </c>
      <c r="I135" s="15" t="n">
        <v>-0.0786298192538554</v>
      </c>
      <c r="J135" s="16" t="n">
        <v>2014</v>
      </c>
      <c r="K135" s="16" t="n">
        <v>5</v>
      </c>
      <c r="L135" s="16" t="n">
        <v>20</v>
      </c>
      <c r="M135" s="16" t="s">
        <v>32</v>
      </c>
      <c r="N135" s="17" t="b">
        <f aca="false">FALSE()</f>
        <v>0</v>
      </c>
      <c r="O135" s="14" t="n">
        <v>34.6400402677373</v>
      </c>
      <c r="P135" s="13" t="n">
        <v>4890.71428571429</v>
      </c>
      <c r="Q135" s="15" t="n">
        <v>-0.0633562962530391</v>
      </c>
      <c r="R135" s="15" t="n">
        <v>0.155863881992113</v>
      </c>
      <c r="S135" s="17" t="b">
        <f aca="false">TRUE()</f>
        <v>1</v>
      </c>
    </row>
    <row r="136" customFormat="false" ht="15" hidden="false" customHeight="true" outlineLevel="0" collapsed="false">
      <c r="A136" s="12" t="n">
        <v>41772</v>
      </c>
      <c r="B136" s="13" t="n">
        <v>146166.601124782</v>
      </c>
      <c r="C136" s="13" t="n">
        <v>157693.189300527</v>
      </c>
      <c r="D136" s="13" t="n">
        <v>4503</v>
      </c>
      <c r="E136" s="14" t="n">
        <v>32.4598270319303</v>
      </c>
      <c r="F136" s="14" t="n">
        <v>35.019584565962</v>
      </c>
      <c r="G136" s="13" t="n">
        <v>-11526.5881757447</v>
      </c>
      <c r="H136" s="15" t="n">
        <v>-0.0788592475096582</v>
      </c>
      <c r="I136" s="15" t="n">
        <v>-0.0788592475096582</v>
      </c>
      <c r="J136" s="16" t="n">
        <v>2014</v>
      </c>
      <c r="K136" s="16" t="n">
        <v>5</v>
      </c>
      <c r="L136" s="16" t="n">
        <v>20</v>
      </c>
      <c r="M136" s="16" t="s">
        <v>33</v>
      </c>
      <c r="N136" s="17" t="b">
        <f aca="false">FALSE()</f>
        <v>0</v>
      </c>
      <c r="O136" s="14" t="n">
        <v>34.4772257671908</v>
      </c>
      <c r="P136" s="13" t="n">
        <v>5039.07142857143</v>
      </c>
      <c r="Q136" s="15" t="n">
        <v>-0.0585139520471594</v>
      </c>
      <c r="R136" s="15" t="n">
        <v>-0.106382978723404</v>
      </c>
      <c r="S136" s="17" t="b">
        <f aca="false">FALSE()</f>
        <v>0</v>
      </c>
    </row>
    <row r="137" customFormat="false" ht="15" hidden="false" customHeight="true" outlineLevel="0" collapsed="false">
      <c r="A137" s="12" t="n">
        <v>41773</v>
      </c>
      <c r="B137" s="13" t="n">
        <v>201120.727640815</v>
      </c>
      <c r="C137" s="13" t="n">
        <v>218098.761888011</v>
      </c>
      <c r="D137" s="13" t="n">
        <v>6253</v>
      </c>
      <c r="E137" s="14" t="n">
        <v>32.163877761205</v>
      </c>
      <c r="F137" s="14" t="n">
        <v>34.8790599533042</v>
      </c>
      <c r="G137" s="13" t="n">
        <v>-16978.0342471963</v>
      </c>
      <c r="H137" s="15" t="n">
        <v>-0.0844171281913703</v>
      </c>
      <c r="I137" s="15" t="n">
        <v>-0.0844171281913703</v>
      </c>
      <c r="J137" s="16" t="n">
        <v>2014</v>
      </c>
      <c r="K137" s="16" t="n">
        <v>5</v>
      </c>
      <c r="L137" s="16" t="n">
        <v>20</v>
      </c>
      <c r="M137" s="16" t="s">
        <v>34</v>
      </c>
      <c r="N137" s="17" t="b">
        <f aca="false">FALSE()</f>
        <v>0</v>
      </c>
      <c r="O137" s="14" t="n">
        <v>34.3220978051344</v>
      </c>
      <c r="P137" s="13" t="n">
        <v>5088.78571428572</v>
      </c>
      <c r="Q137" s="15" t="n">
        <v>-0.0628813558012335</v>
      </c>
      <c r="R137" s="15" t="n">
        <v>0.22878037140491</v>
      </c>
      <c r="S137" s="17" t="b">
        <f aca="false">TRUE()</f>
        <v>1</v>
      </c>
    </row>
    <row r="138" customFormat="false" ht="15" hidden="false" customHeight="true" outlineLevel="0" collapsed="false">
      <c r="A138" s="12" t="n">
        <v>41774</v>
      </c>
      <c r="B138" s="13" t="n">
        <v>270123.550823328</v>
      </c>
      <c r="C138" s="13" t="n">
        <v>289864.798474272</v>
      </c>
      <c r="D138" s="13" t="n">
        <v>8408</v>
      </c>
      <c r="E138" s="14" t="n">
        <v>32.1269684613854</v>
      </c>
      <c r="F138" s="14" t="n">
        <v>34.4748808841903</v>
      </c>
      <c r="G138" s="13" t="n">
        <v>-19741.2476509439</v>
      </c>
      <c r="H138" s="15" t="n">
        <v>-0.0730822899031689</v>
      </c>
      <c r="I138" s="15" t="n">
        <v>-0.0730822899031689</v>
      </c>
      <c r="J138" s="16" t="n">
        <v>2014</v>
      </c>
      <c r="K138" s="16" t="n">
        <v>5</v>
      </c>
      <c r="L138" s="16" t="n">
        <v>20</v>
      </c>
      <c r="M138" s="16" t="s">
        <v>35</v>
      </c>
      <c r="N138" s="17" t="b">
        <f aca="false">FALSE()</f>
        <v>0</v>
      </c>
      <c r="O138" s="14" t="n">
        <v>34.1045748586018</v>
      </c>
      <c r="P138" s="13" t="n">
        <v>5221.28571428572</v>
      </c>
      <c r="Q138" s="15" t="n">
        <v>-0.0579865430199795</v>
      </c>
      <c r="R138" s="15" t="n">
        <v>0.610331336014665</v>
      </c>
      <c r="S138" s="17" t="b">
        <f aca="false">TRUE()</f>
        <v>1</v>
      </c>
    </row>
    <row r="139" customFormat="false" ht="15" hidden="false" customHeight="true" outlineLevel="0" collapsed="false">
      <c r="A139" s="12" t="n">
        <v>41775</v>
      </c>
      <c r="B139" s="13" t="n">
        <v>415315.383948247</v>
      </c>
      <c r="C139" s="13" t="n">
        <v>441790.767227227</v>
      </c>
      <c r="D139" s="13" t="n">
        <v>12949</v>
      </c>
      <c r="E139" s="14" t="n">
        <v>32.0731627112709</v>
      </c>
      <c r="F139" s="14" t="n">
        <v>34.1177517358273</v>
      </c>
      <c r="G139" s="13" t="n">
        <v>-26475.38327898</v>
      </c>
      <c r="H139" s="15" t="n">
        <v>-0.0637476585319052</v>
      </c>
      <c r="I139" s="15" t="n">
        <v>-0.0637476585319051</v>
      </c>
      <c r="J139" s="16" t="n">
        <v>2014</v>
      </c>
      <c r="K139" s="16" t="n">
        <v>5</v>
      </c>
      <c r="L139" s="16" t="n">
        <v>20</v>
      </c>
      <c r="M139" s="16" t="s">
        <v>36</v>
      </c>
      <c r="N139" s="17" t="b">
        <f aca="false">FALSE()</f>
        <v>0</v>
      </c>
      <c r="O139" s="14" t="n">
        <v>33.8860558119044</v>
      </c>
      <c r="P139" s="13" t="n">
        <v>5455.85714285714</v>
      </c>
      <c r="Q139" s="15" t="n">
        <v>-0.0534996787674692</v>
      </c>
      <c r="R139" s="15" t="n">
        <v>1.37341258411668</v>
      </c>
      <c r="S139" s="17" t="b">
        <f aca="false">TRUE()</f>
        <v>1</v>
      </c>
    </row>
    <row r="140" customFormat="false" ht="15" hidden="false" customHeight="true" outlineLevel="0" collapsed="false">
      <c r="A140" s="12" t="n">
        <v>41776</v>
      </c>
      <c r="B140" s="13" t="n">
        <v>498716.997555014</v>
      </c>
      <c r="C140" s="13" t="n">
        <v>526707.376961645</v>
      </c>
      <c r="D140" s="13" t="n">
        <v>15508</v>
      </c>
      <c r="E140" s="14" t="n">
        <v>32.1586921301918</v>
      </c>
      <c r="F140" s="14" t="n">
        <v>33.9635914986875</v>
      </c>
      <c r="G140" s="13" t="n">
        <v>-27990.3794066311</v>
      </c>
      <c r="H140" s="15" t="n">
        <v>-0.0561247752610306</v>
      </c>
      <c r="I140" s="15" t="n">
        <v>-0.0561247752610305</v>
      </c>
      <c r="J140" s="16" t="n">
        <v>2014</v>
      </c>
      <c r="K140" s="16" t="n">
        <v>5</v>
      </c>
      <c r="L140" s="16" t="n">
        <v>20</v>
      </c>
      <c r="M140" s="16" t="s">
        <v>37</v>
      </c>
      <c r="N140" s="17" t="b">
        <f aca="false">TRUE()</f>
        <v>1</v>
      </c>
      <c r="O140" s="14" t="n">
        <v>33.6222039166639</v>
      </c>
      <c r="P140" s="13" t="n">
        <v>6053.57142857143</v>
      </c>
      <c r="Q140" s="15" t="n">
        <v>-0.0435281336732007</v>
      </c>
      <c r="R140" s="15" t="n">
        <v>1.56179351032448</v>
      </c>
      <c r="S140" s="17" t="b">
        <f aca="false">FALSE()</f>
        <v>0</v>
      </c>
    </row>
    <row r="141" customFormat="false" ht="15" hidden="false" customHeight="true" outlineLevel="0" collapsed="false">
      <c r="A141" s="12" t="n">
        <v>41777</v>
      </c>
      <c r="B141" s="13" t="n">
        <v>166433.17212926</v>
      </c>
      <c r="C141" s="13" t="n">
        <v>174376.632474618</v>
      </c>
      <c r="D141" s="13" t="n">
        <v>5141</v>
      </c>
      <c r="E141" s="14" t="n">
        <v>32.3736961932036</v>
      </c>
      <c r="F141" s="14" t="n">
        <v>33.9188158869128</v>
      </c>
      <c r="G141" s="13" t="n">
        <v>-7943.4603453587</v>
      </c>
      <c r="H141" s="15" t="n">
        <v>-0.0477276269131579</v>
      </c>
      <c r="I141" s="15" t="n">
        <v>-0.0477276269131578</v>
      </c>
      <c r="J141" s="16" t="n">
        <v>2014</v>
      </c>
      <c r="K141" s="16" t="n">
        <v>5</v>
      </c>
      <c r="L141" s="16" t="n">
        <v>20</v>
      </c>
      <c r="M141" s="16" t="s">
        <v>38</v>
      </c>
      <c r="N141" s="17" t="b">
        <f aca="false">TRUE()</f>
        <v>1</v>
      </c>
      <c r="O141" s="14" t="n">
        <v>33.3798045263837</v>
      </c>
      <c r="P141" s="13" t="n">
        <v>6897.21428571429</v>
      </c>
      <c r="Q141" s="15" t="n">
        <v>-0.0301412290292141</v>
      </c>
      <c r="R141" s="15" t="n">
        <v>-0.254626609086484</v>
      </c>
      <c r="S141" s="17" t="b">
        <f aca="false">FALSE()</f>
        <v>0</v>
      </c>
    </row>
    <row r="142" customFormat="false" ht="15" hidden="false" customHeight="true" outlineLevel="0" collapsed="false">
      <c r="A142" s="12" t="n">
        <v>41778</v>
      </c>
      <c r="B142" s="13" t="n">
        <v>168520.629367429</v>
      </c>
      <c r="C142" s="13" t="n">
        <v>175540.115518245</v>
      </c>
      <c r="D142" s="13" t="n">
        <v>5194</v>
      </c>
      <c r="E142" s="14" t="n">
        <v>32.4452501670059</v>
      </c>
      <c r="F142" s="14" t="n">
        <v>33.796710727425</v>
      </c>
      <c r="G142" s="13" t="n">
        <v>-7019.48615081672</v>
      </c>
      <c r="H142" s="15" t="n">
        <v>-0.0416535718930411</v>
      </c>
      <c r="I142" s="15" t="n">
        <v>-0.0416535718930412</v>
      </c>
      <c r="J142" s="16" t="n">
        <v>2014</v>
      </c>
      <c r="K142" s="16" t="n">
        <v>5</v>
      </c>
      <c r="L142" s="16" t="n">
        <v>21</v>
      </c>
      <c r="M142" s="16" t="s">
        <v>32</v>
      </c>
      <c r="N142" s="17" t="b">
        <f aca="false">FALSE()</f>
        <v>0</v>
      </c>
      <c r="O142" s="14" t="n">
        <v>33.1756643021367</v>
      </c>
      <c r="P142" s="13" t="n">
        <v>7075.71428571429</v>
      </c>
      <c r="Q142" s="15" t="n">
        <v>-0.0220165639632362</v>
      </c>
      <c r="R142" s="15" t="n">
        <v>-0.265939834443771</v>
      </c>
      <c r="S142" s="17" t="b">
        <f aca="false">FALSE()</f>
        <v>0</v>
      </c>
    </row>
    <row r="143" customFormat="false" ht="15" hidden="false" customHeight="true" outlineLevel="0" collapsed="false">
      <c r="A143" s="12" t="n">
        <v>41779</v>
      </c>
      <c r="B143" s="13" t="n">
        <v>178123.532109535</v>
      </c>
      <c r="C143" s="13" t="n">
        <v>187748.172202197</v>
      </c>
      <c r="D143" s="13" t="n">
        <v>5550</v>
      </c>
      <c r="E143" s="14" t="n">
        <v>32.0943301098261</v>
      </c>
      <c r="F143" s="14" t="n">
        <v>33.8284994958914</v>
      </c>
      <c r="G143" s="13" t="n">
        <v>-9624.64009266268</v>
      </c>
      <c r="H143" s="15" t="n">
        <v>-0.0540335124656305</v>
      </c>
      <c r="I143" s="15" t="n">
        <v>-0.0540335124656305</v>
      </c>
      <c r="J143" s="16" t="n">
        <v>2014</v>
      </c>
      <c r="K143" s="16" t="n">
        <v>5</v>
      </c>
      <c r="L143" s="16" t="n">
        <v>21</v>
      </c>
      <c r="M143" s="16" t="s">
        <v>33</v>
      </c>
      <c r="N143" s="17" t="b">
        <f aca="false">FALSE()</f>
        <v>0</v>
      </c>
      <c r="O143" s="14" t="n">
        <v>32.9819263215571</v>
      </c>
      <c r="P143" s="13" t="n">
        <v>7221.42857142857</v>
      </c>
      <c r="Q143" s="15" t="n">
        <v>-0.026911594037212</v>
      </c>
      <c r="R143" s="15" t="n">
        <v>-0.231454005934718</v>
      </c>
      <c r="S143" s="17" t="b">
        <f aca="false">FALSE()</f>
        <v>0</v>
      </c>
    </row>
    <row r="144" customFormat="false" ht="15" hidden="false" customHeight="true" outlineLevel="0" collapsed="false">
      <c r="A144" s="12" t="n">
        <v>41780</v>
      </c>
      <c r="B144" s="13" t="n">
        <v>194878.802634631</v>
      </c>
      <c r="C144" s="13" t="n">
        <v>204460.665377443</v>
      </c>
      <c r="D144" s="13" t="n">
        <v>6070</v>
      </c>
      <c r="E144" s="14" t="n">
        <v>32.1052393137778</v>
      </c>
      <c r="F144" s="14" t="n">
        <v>33.683799897437</v>
      </c>
      <c r="G144" s="13" t="n">
        <v>-9581.86274281188</v>
      </c>
      <c r="H144" s="15" t="n">
        <v>-0.0491683169912351</v>
      </c>
      <c r="I144" s="15" t="n">
        <v>-0.0491683169912349</v>
      </c>
      <c r="J144" s="16" t="n">
        <v>2014</v>
      </c>
      <c r="K144" s="16" t="n">
        <v>5</v>
      </c>
      <c r="L144" s="16" t="n">
        <v>21</v>
      </c>
      <c r="M144" s="16" t="s">
        <v>34</v>
      </c>
      <c r="N144" s="17" t="b">
        <f aca="false">FALSE()</f>
        <v>0</v>
      </c>
      <c r="O144" s="14" t="n">
        <v>32.7089328953302</v>
      </c>
      <c r="P144" s="13" t="n">
        <v>7380.42857142857</v>
      </c>
      <c r="Q144" s="15" t="n">
        <v>-0.0184565355123094</v>
      </c>
      <c r="R144" s="15" t="n">
        <v>-0.17755453612837</v>
      </c>
      <c r="S144" s="17" t="b">
        <f aca="false">FALSE()</f>
        <v>0</v>
      </c>
    </row>
    <row r="145" customFormat="false" ht="15" hidden="false" customHeight="true" outlineLevel="0" collapsed="false">
      <c r="A145" s="12" t="n">
        <v>41781</v>
      </c>
      <c r="B145" s="13" t="n">
        <v>115475.09689626</v>
      </c>
      <c r="C145" s="13" t="n">
        <v>115011.322608832</v>
      </c>
      <c r="D145" s="13" t="n">
        <v>3421</v>
      </c>
      <c r="E145" s="14" t="n">
        <v>33.7547783970359</v>
      </c>
      <c r="F145" s="14" t="n">
        <v>33.6192115196819</v>
      </c>
      <c r="G145" s="13" t="n">
        <v>463.774287428067</v>
      </c>
      <c r="H145" s="15" t="n">
        <v>0.00401622773994908</v>
      </c>
      <c r="I145" s="15" t="n">
        <v>0.00401622773994906</v>
      </c>
      <c r="J145" s="16" t="n">
        <v>2014</v>
      </c>
      <c r="K145" s="16" t="n">
        <v>5</v>
      </c>
      <c r="L145" s="16" t="n">
        <v>21</v>
      </c>
      <c r="M145" s="16" t="s">
        <v>35</v>
      </c>
      <c r="N145" s="17" t="b">
        <f aca="false">FALSE()</f>
        <v>0</v>
      </c>
      <c r="O145" s="14" t="n">
        <v>32.5548728137929</v>
      </c>
      <c r="P145" s="13" t="n">
        <v>7622.78571428572</v>
      </c>
      <c r="Q145" s="15" t="n">
        <v>0.0368579410555903</v>
      </c>
      <c r="R145" s="15" t="n">
        <v>-0.551213935662815</v>
      </c>
      <c r="S145" s="17" t="b">
        <f aca="false">FALSE()</f>
        <v>0</v>
      </c>
    </row>
    <row r="146" customFormat="false" ht="15" hidden="false" customHeight="true" outlineLevel="0" collapsed="false">
      <c r="A146" s="12" t="n">
        <v>41782</v>
      </c>
      <c r="B146" s="13" t="n">
        <v>430521.024538655</v>
      </c>
      <c r="C146" s="13" t="n">
        <v>449274.186258366</v>
      </c>
      <c r="D146" s="13" t="n">
        <v>13384</v>
      </c>
      <c r="E146" s="14" t="n">
        <v>32.1668428376162</v>
      </c>
      <c r="F146" s="14" t="n">
        <v>33.5680055482939</v>
      </c>
      <c r="G146" s="13" t="n">
        <v>-18753.1617197105</v>
      </c>
      <c r="H146" s="15" t="n">
        <v>-0.0435592239422135</v>
      </c>
      <c r="I146" s="15" t="n">
        <v>-0.0435592239422135</v>
      </c>
      <c r="J146" s="16" t="n">
        <v>2014</v>
      </c>
      <c r="K146" s="16" t="n">
        <v>5</v>
      </c>
      <c r="L146" s="16" t="n">
        <v>21</v>
      </c>
      <c r="M146" s="16" t="s">
        <v>36</v>
      </c>
      <c r="N146" s="17" t="b">
        <f aca="false">FALSE()</f>
        <v>0</v>
      </c>
      <c r="O146" s="14" t="n">
        <v>32.4012234204661</v>
      </c>
      <c r="P146" s="13" t="n">
        <v>7675.5</v>
      </c>
      <c r="Q146" s="15" t="n">
        <v>-0.00723369546292719</v>
      </c>
      <c r="R146" s="15" t="n">
        <v>0.743730050159599</v>
      </c>
      <c r="S146" s="17" t="b">
        <f aca="false">FALSE()</f>
        <v>0</v>
      </c>
    </row>
    <row r="147" customFormat="false" ht="15" hidden="false" customHeight="true" outlineLevel="0" collapsed="false">
      <c r="A147" s="12" t="n">
        <v>41783</v>
      </c>
      <c r="B147" s="13" t="n">
        <v>590642.825660644</v>
      </c>
      <c r="C147" s="13" t="n">
        <v>614245.794149527</v>
      </c>
      <c r="D147" s="13" t="n">
        <v>18356</v>
      </c>
      <c r="E147" s="14" t="n">
        <v>32.1770988047856</v>
      </c>
      <c r="F147" s="14" t="n">
        <v>33.4629436777908</v>
      </c>
      <c r="G147" s="13" t="n">
        <v>-23602.9684888837</v>
      </c>
      <c r="H147" s="15" t="n">
        <v>-0.0399614918923012</v>
      </c>
      <c r="I147" s="15" t="n">
        <v>-0.0399614918923014</v>
      </c>
      <c r="J147" s="16" t="n">
        <v>2014</v>
      </c>
      <c r="K147" s="16" t="n">
        <v>5</v>
      </c>
      <c r="L147" s="16" t="n">
        <v>21</v>
      </c>
      <c r="M147" s="16" t="s">
        <v>37</v>
      </c>
      <c r="N147" s="17" t="b">
        <f aca="false">TRUE()</f>
        <v>1</v>
      </c>
      <c r="O147" s="14" t="n">
        <v>32.3769188048314</v>
      </c>
      <c r="P147" s="13" t="n">
        <v>7965.21428571429</v>
      </c>
      <c r="Q147" s="15" t="n">
        <v>-0.00617168054966347</v>
      </c>
      <c r="R147" s="15" t="n">
        <v>1.30452054917364</v>
      </c>
      <c r="S147" s="17" t="b">
        <f aca="false">FALSE()</f>
        <v>0</v>
      </c>
    </row>
    <row r="148" customFormat="false" ht="15" hidden="false" customHeight="true" outlineLevel="0" collapsed="false">
      <c r="A148" s="12" t="n">
        <v>41784</v>
      </c>
      <c r="B148" s="13" t="n">
        <v>210764.717952291</v>
      </c>
      <c r="C148" s="13" t="n">
        <v>217364.463011392</v>
      </c>
      <c r="D148" s="13" t="n">
        <v>6500</v>
      </c>
      <c r="E148" s="14" t="n">
        <v>32.4253412234294</v>
      </c>
      <c r="F148" s="14" t="n">
        <v>33.4406866171373</v>
      </c>
      <c r="G148" s="13" t="n">
        <v>-6599.74505910123</v>
      </c>
      <c r="H148" s="15" t="n">
        <v>-0.0313133294947172</v>
      </c>
      <c r="I148" s="15" t="n">
        <v>-0.0313133294947173</v>
      </c>
      <c r="J148" s="16" t="n">
        <v>2014</v>
      </c>
      <c r="K148" s="16" t="n">
        <v>5</v>
      </c>
      <c r="L148" s="16" t="n">
        <v>21</v>
      </c>
      <c r="M148" s="16" t="s">
        <v>38</v>
      </c>
      <c r="N148" s="17" t="b">
        <f aca="false">TRUE()</f>
        <v>1</v>
      </c>
      <c r="O148" s="14" t="n">
        <v>32.3578767374992</v>
      </c>
      <c r="P148" s="13" t="n">
        <v>8325.92857142857</v>
      </c>
      <c r="Q148" s="15" t="n">
        <v>0.00208494786223049</v>
      </c>
      <c r="R148" s="15" t="n">
        <v>-0.219306297881832</v>
      </c>
      <c r="S148" s="17" t="b">
        <f aca="false">FALSE()</f>
        <v>0</v>
      </c>
    </row>
    <row r="149" customFormat="false" ht="15" hidden="false" customHeight="true" outlineLevel="0" collapsed="false">
      <c r="A149" s="12" t="n">
        <v>41785</v>
      </c>
      <c r="B149" s="13" t="n">
        <v>218189.348521447</v>
      </c>
      <c r="C149" s="13" t="n">
        <v>225607.595185272</v>
      </c>
      <c r="D149" s="13" t="n">
        <v>6752</v>
      </c>
      <c r="E149" s="14" t="n">
        <v>32.314773181494</v>
      </c>
      <c r="F149" s="14" t="n">
        <v>33.4134471542168</v>
      </c>
      <c r="G149" s="13" t="n">
        <v>-7418.24666382495</v>
      </c>
      <c r="H149" s="15" t="n">
        <v>-0.0339991237615147</v>
      </c>
      <c r="I149" s="15" t="n">
        <v>-0.0339991237615146</v>
      </c>
      <c r="J149" s="16" t="n">
        <v>2014</v>
      </c>
      <c r="K149" s="16" t="n">
        <v>5</v>
      </c>
      <c r="L149" s="16" t="n">
        <v>22</v>
      </c>
      <c r="M149" s="16" t="s">
        <v>32</v>
      </c>
      <c r="N149" s="17" t="b">
        <f aca="false">FALSE()</f>
        <v>0</v>
      </c>
      <c r="O149" s="14" t="n">
        <v>32.3550343397844</v>
      </c>
      <c r="P149" s="13" t="n">
        <v>8349.28571428571</v>
      </c>
      <c r="Q149" s="15" t="n">
        <v>-0.00124435529468439</v>
      </c>
      <c r="R149" s="15" t="n">
        <v>-0.191308067413808</v>
      </c>
      <c r="S149" s="17" t="b">
        <f aca="false">FALSE()</f>
        <v>0</v>
      </c>
    </row>
    <row r="150" customFormat="false" ht="15" hidden="false" customHeight="true" outlineLevel="0" collapsed="false">
      <c r="A150" s="12" t="n">
        <v>41786</v>
      </c>
      <c r="B150" s="13" t="n">
        <v>226132.463929362</v>
      </c>
      <c r="C150" s="13" t="n">
        <v>234496.512831656</v>
      </c>
      <c r="D150" s="13" t="n">
        <v>7023</v>
      </c>
      <c r="E150" s="14" t="n">
        <v>32.1988415106596</v>
      </c>
      <c r="F150" s="14" t="n">
        <v>33.3897925148308</v>
      </c>
      <c r="G150" s="13" t="n">
        <v>-8364.04890229428</v>
      </c>
      <c r="H150" s="15" t="n">
        <v>-0.0369873867597666</v>
      </c>
      <c r="I150" s="15" t="n">
        <v>-0.0369873867597665</v>
      </c>
      <c r="J150" s="16" t="n">
        <v>2014</v>
      </c>
      <c r="K150" s="16" t="n">
        <v>5</v>
      </c>
      <c r="L150" s="16" t="n">
        <v>22</v>
      </c>
      <c r="M150" s="16" t="s">
        <v>33</v>
      </c>
      <c r="N150" s="17" t="b">
        <f aca="false">FALSE()</f>
        <v>0</v>
      </c>
      <c r="O150" s="14" t="n">
        <v>32.3457055945827</v>
      </c>
      <c r="P150" s="13" t="n">
        <v>8427.78571428571</v>
      </c>
      <c r="Q150" s="15" t="n">
        <v>-0.00454045077154591</v>
      </c>
      <c r="R150" s="15" t="n">
        <v>-0.16668502996042</v>
      </c>
      <c r="S150" s="17" t="b">
        <f aca="false">FALSE()</f>
        <v>0</v>
      </c>
    </row>
    <row r="151" customFormat="false" ht="15" hidden="false" customHeight="true" outlineLevel="0" collapsed="false">
      <c r="A151" s="12" t="n">
        <v>41787</v>
      </c>
      <c r="B151" s="13" t="n">
        <v>243720.868045067</v>
      </c>
      <c r="C151" s="13" t="n">
        <v>252929.294692381</v>
      </c>
      <c r="D151" s="13" t="n">
        <v>7579</v>
      </c>
      <c r="E151" s="14" t="n">
        <v>32.1573912185073</v>
      </c>
      <c r="F151" s="14" t="n">
        <v>33.3723835192481</v>
      </c>
      <c r="G151" s="13" t="n">
        <v>-9208.42664731387</v>
      </c>
      <c r="H151" s="15" t="n">
        <v>-0.0377826762278358</v>
      </c>
      <c r="I151" s="15" t="n">
        <v>-0.0377826762278357</v>
      </c>
      <c r="J151" s="16" t="n">
        <v>2014</v>
      </c>
      <c r="K151" s="16" t="n">
        <v>5</v>
      </c>
      <c r="L151" s="16" t="n">
        <v>22</v>
      </c>
      <c r="M151" s="16" t="s">
        <v>34</v>
      </c>
      <c r="N151" s="17" t="b">
        <f aca="false">FALSE()</f>
        <v>0</v>
      </c>
      <c r="O151" s="14" t="n">
        <v>32.3270637716348</v>
      </c>
      <c r="P151" s="13" t="n">
        <v>8607.78571428571</v>
      </c>
      <c r="Q151" s="15" t="n">
        <v>-0.00524862246463325</v>
      </c>
      <c r="R151" s="15" t="n">
        <v>-0.119518044295447</v>
      </c>
      <c r="S151" s="17" t="b">
        <f aca="false">FALSE()</f>
        <v>0</v>
      </c>
    </row>
    <row r="152" customFormat="false" ht="15" hidden="false" customHeight="true" outlineLevel="0" collapsed="false">
      <c r="A152" s="12" t="n">
        <v>41788</v>
      </c>
      <c r="B152" s="13" t="n">
        <v>207429.429048136</v>
      </c>
      <c r="C152" s="13" t="n">
        <v>215118.846495117</v>
      </c>
      <c r="D152" s="13" t="n">
        <v>6448</v>
      </c>
      <c r="E152" s="14" t="n">
        <v>32.1695764652816</v>
      </c>
      <c r="F152" s="14" t="n">
        <v>33.3621039849748</v>
      </c>
      <c r="G152" s="13" t="n">
        <v>-7689.4174469813</v>
      </c>
      <c r="H152" s="15" t="n">
        <v>-0.0370700410364476</v>
      </c>
      <c r="I152" s="15" t="n">
        <v>-0.0370700410364476</v>
      </c>
      <c r="J152" s="16" t="n">
        <v>2014</v>
      </c>
      <c r="K152" s="16" t="n">
        <v>5</v>
      </c>
      <c r="L152" s="16" t="n">
        <v>22</v>
      </c>
      <c r="M152" s="16" t="s">
        <v>35</v>
      </c>
      <c r="N152" s="17" t="b">
        <f aca="false">FALSE()</f>
        <v>0</v>
      </c>
      <c r="O152" s="14" t="n">
        <v>32.3266004471564</v>
      </c>
      <c r="P152" s="13" t="n">
        <v>8702.5</v>
      </c>
      <c r="Q152" s="15" t="n">
        <v>-0.00485742328926383</v>
      </c>
      <c r="R152" s="15" t="n">
        <v>-0.259063487503591</v>
      </c>
      <c r="S152" s="17" t="b">
        <f aca="false">FALSE()</f>
        <v>0</v>
      </c>
    </row>
    <row r="153" customFormat="false" ht="15" hidden="false" customHeight="true" outlineLevel="0" collapsed="false">
      <c r="A153" s="12" t="n">
        <v>41789</v>
      </c>
      <c r="B153" s="13" t="n">
        <v>503149.431345348</v>
      </c>
      <c r="C153" s="13" t="n">
        <v>521651.086125573</v>
      </c>
      <c r="D153" s="13" t="n">
        <v>15637</v>
      </c>
      <c r="E153" s="14" t="n">
        <v>32.1768517839322</v>
      </c>
      <c r="F153" s="14" t="n">
        <v>33.360048994409</v>
      </c>
      <c r="G153" s="13" t="n">
        <v>-18501.6547802252</v>
      </c>
      <c r="H153" s="15" t="n">
        <v>-0.0367716897358991</v>
      </c>
      <c r="I153" s="15" t="n">
        <v>-0.036771689735899</v>
      </c>
      <c r="J153" s="16" t="n">
        <v>2014</v>
      </c>
      <c r="K153" s="16" t="n">
        <v>5</v>
      </c>
      <c r="L153" s="16" t="n">
        <v>22</v>
      </c>
      <c r="M153" s="16" t="s">
        <v>36</v>
      </c>
      <c r="N153" s="17" t="b">
        <f aca="false">FALSE()</f>
        <v>0</v>
      </c>
      <c r="O153" s="14" t="n">
        <v>32.3296438760061</v>
      </c>
      <c r="P153" s="13" t="n">
        <v>8562.5</v>
      </c>
      <c r="Q153" s="15" t="n">
        <v>-0.00472606789793001</v>
      </c>
      <c r="R153" s="15" t="n">
        <v>0.82621897810219</v>
      </c>
      <c r="S153" s="17" t="b">
        <f aca="false">FALSE()</f>
        <v>0</v>
      </c>
    </row>
    <row r="154" customFormat="false" ht="15" hidden="false" customHeight="true" outlineLevel="0" collapsed="false">
      <c r="A154" s="12" t="n">
        <v>41790</v>
      </c>
      <c r="B154" s="13" t="n">
        <v>603748.789526076</v>
      </c>
      <c r="C154" s="13" t="n">
        <v>626259.386848816</v>
      </c>
      <c r="D154" s="13" t="n">
        <v>18775</v>
      </c>
      <c r="E154" s="14" t="n">
        <v>32.1570593622411</v>
      </c>
      <c r="F154" s="14" t="n">
        <v>33.3560259306959</v>
      </c>
      <c r="G154" s="13" t="n">
        <v>-22510.5973227398</v>
      </c>
      <c r="H154" s="15" t="n">
        <v>-0.0372847079998452</v>
      </c>
      <c r="I154" s="15" t="n">
        <v>-0.0372847079998453</v>
      </c>
      <c r="J154" s="16" t="n">
        <v>2014</v>
      </c>
      <c r="K154" s="16" t="n">
        <v>5</v>
      </c>
      <c r="L154" s="16" t="n">
        <v>22</v>
      </c>
      <c r="M154" s="16" t="s">
        <v>37</v>
      </c>
      <c r="N154" s="17" t="b">
        <f aca="false">TRUE()</f>
        <v>1</v>
      </c>
      <c r="O154" s="14" t="n">
        <v>32.3370502383391</v>
      </c>
      <c r="P154" s="13" t="n">
        <v>8754.5</v>
      </c>
      <c r="Q154" s="15" t="n">
        <v>-0.00556608827247255</v>
      </c>
      <c r="R154" s="15" t="n">
        <v>1.14461134273802</v>
      </c>
      <c r="S154" s="17" t="b">
        <f aca="false">FALSE()</f>
        <v>0</v>
      </c>
    </row>
    <row r="155" customFormat="false" ht="15" hidden="false" customHeight="true" outlineLevel="0" collapsed="false">
      <c r="A155" s="12" t="n">
        <v>41791</v>
      </c>
      <c r="B155" s="13" t="n">
        <v>456017.463092676</v>
      </c>
      <c r="C155" s="13" t="n">
        <v>473223.980731577</v>
      </c>
      <c r="D155" s="13" t="n">
        <v>14188</v>
      </c>
      <c r="E155" s="14" t="n">
        <v>32.1410673169352</v>
      </c>
      <c r="F155" s="14" t="n">
        <v>33.3538187716082</v>
      </c>
      <c r="G155" s="13" t="n">
        <v>-17206.5176389002</v>
      </c>
      <c r="H155" s="15" t="n">
        <v>-0.0377321463134479</v>
      </c>
      <c r="I155" s="15" t="n">
        <v>-0.0377321463134479</v>
      </c>
      <c r="J155" s="16" t="n">
        <v>2014</v>
      </c>
      <c r="K155" s="16" t="n">
        <v>6</v>
      </c>
      <c r="L155" s="16" t="n">
        <v>22</v>
      </c>
      <c r="M155" s="16" t="s">
        <v>38</v>
      </c>
      <c r="N155" s="17" t="b">
        <f aca="false">TRUE()</f>
        <v>1</v>
      </c>
      <c r="O155" s="14" t="n">
        <v>32.3369336120569</v>
      </c>
      <c r="P155" s="13" t="n">
        <v>8987.85714285714</v>
      </c>
      <c r="Q155" s="15" t="n">
        <v>-0.00605704602271399</v>
      </c>
      <c r="R155" s="15" t="n">
        <v>0.578574266867997</v>
      </c>
      <c r="S155" s="17" t="b">
        <f aca="false">FALSE()</f>
        <v>0</v>
      </c>
    </row>
    <row r="156" customFormat="false" ht="15" hidden="false" customHeight="true" outlineLevel="0" collapsed="false">
      <c r="A156" s="12" t="n">
        <v>41792</v>
      </c>
      <c r="B156" s="13" t="n">
        <v>425845.196044721</v>
      </c>
      <c r="C156" s="13" t="n">
        <v>442155.991161187</v>
      </c>
      <c r="D156" s="13" t="n">
        <v>13256</v>
      </c>
      <c r="E156" s="14" t="n">
        <v>32.1247130389802</v>
      </c>
      <c r="F156" s="14" t="n">
        <v>33.3551592608017</v>
      </c>
      <c r="G156" s="13" t="n">
        <v>-16310.7951164661</v>
      </c>
      <c r="H156" s="15" t="n">
        <v>-0.0383021700560718</v>
      </c>
      <c r="I156" s="15" t="n">
        <v>-0.0383021700560717</v>
      </c>
      <c r="J156" s="16" t="n">
        <v>2014</v>
      </c>
      <c r="K156" s="16" t="n">
        <v>6</v>
      </c>
      <c r="L156" s="16" t="n">
        <v>23</v>
      </c>
      <c r="M156" s="16" t="s">
        <v>32</v>
      </c>
      <c r="N156" s="17" t="b">
        <f aca="false">FALSE()</f>
        <v>0</v>
      </c>
      <c r="O156" s="14" t="n">
        <v>32.320317263752</v>
      </c>
      <c r="P156" s="13" t="n">
        <v>9634.07142857143</v>
      </c>
      <c r="Q156" s="15" t="n">
        <v>-0.00605205150604056</v>
      </c>
      <c r="R156" s="15" t="n">
        <v>0.375949939574575</v>
      </c>
      <c r="S156" s="17" t="b">
        <f aca="false">FALSE()</f>
        <v>0</v>
      </c>
    </row>
    <row r="157" customFormat="false" ht="15" hidden="false" customHeight="true" outlineLevel="0" collapsed="false">
      <c r="A157" s="12" t="n">
        <v>41793</v>
      </c>
      <c r="B157" s="13" t="n">
        <v>328217.769952647</v>
      </c>
      <c r="C157" s="13" t="n">
        <v>340913.591725203</v>
      </c>
      <c r="D157" s="13" t="n">
        <v>10223</v>
      </c>
      <c r="E157" s="14" t="n">
        <v>32.1058172701406</v>
      </c>
      <c r="F157" s="14" t="n">
        <v>33.3477053433633</v>
      </c>
      <c r="G157" s="13" t="n">
        <v>-12695.821772556</v>
      </c>
      <c r="H157" s="15" t="n">
        <v>-0.0386810920517425</v>
      </c>
      <c r="I157" s="15" t="n">
        <v>-0.0386810920517425</v>
      </c>
      <c r="J157" s="16" t="n">
        <v>2014</v>
      </c>
      <c r="K157" s="16" t="n">
        <v>6</v>
      </c>
      <c r="L157" s="16" t="n">
        <v>23</v>
      </c>
      <c r="M157" s="16" t="s">
        <v>33</v>
      </c>
      <c r="N157" s="17" t="b">
        <f aca="false">FALSE()</f>
        <v>0</v>
      </c>
      <c r="O157" s="14" t="n">
        <v>32.2974217546073</v>
      </c>
      <c r="P157" s="13" t="n">
        <v>10209.9285714286</v>
      </c>
      <c r="Q157" s="15" t="n">
        <v>-0.00593250092600295</v>
      </c>
      <c r="R157" s="15" t="n">
        <v>0.00128026640734867</v>
      </c>
      <c r="S157" s="17" t="b">
        <f aca="false">FALSE()</f>
        <v>0</v>
      </c>
    </row>
    <row r="158" customFormat="false" ht="15" hidden="false" customHeight="true" outlineLevel="0" collapsed="false">
      <c r="A158" s="12" t="n">
        <v>41794</v>
      </c>
      <c r="B158" s="13" t="n">
        <v>286405.998802503</v>
      </c>
      <c r="C158" s="13" t="n">
        <v>296902.672530802</v>
      </c>
      <c r="D158" s="13" t="n">
        <v>8904</v>
      </c>
      <c r="E158" s="14" t="n">
        <v>32.1659926777295</v>
      </c>
      <c r="F158" s="14" t="n">
        <v>33.3448643902518</v>
      </c>
      <c r="G158" s="13" t="n">
        <v>-10496.673728299</v>
      </c>
      <c r="H158" s="15" t="n">
        <v>-0.0366496294497561</v>
      </c>
      <c r="I158" s="15" t="n">
        <v>-0.0366496294497563</v>
      </c>
      <c r="J158" s="16" t="n">
        <v>2014</v>
      </c>
      <c r="K158" s="16" t="n">
        <v>6</v>
      </c>
      <c r="L158" s="16" t="n">
        <v>23</v>
      </c>
      <c r="M158" s="16" t="s">
        <v>34</v>
      </c>
      <c r="N158" s="17" t="b">
        <f aca="false">FALSE()</f>
        <v>0</v>
      </c>
      <c r="O158" s="14" t="n">
        <v>32.2982422660583</v>
      </c>
      <c r="P158" s="13" t="n">
        <v>10543.7142857143</v>
      </c>
      <c r="Q158" s="15" t="n">
        <v>-0.00409463732544435</v>
      </c>
      <c r="R158" s="15" t="n">
        <v>-0.155515811722624</v>
      </c>
      <c r="S158" s="17" t="b">
        <f aca="false">FALSE()</f>
        <v>0</v>
      </c>
    </row>
    <row r="159" customFormat="false" ht="15" hidden="false" customHeight="true" outlineLevel="0" collapsed="false">
      <c r="A159" s="12" t="n">
        <v>41795</v>
      </c>
      <c r="B159" s="13" t="n">
        <v>184989.888666876</v>
      </c>
      <c r="C159" s="13" t="n">
        <v>192824.890128464</v>
      </c>
      <c r="D159" s="13" t="n">
        <v>5783</v>
      </c>
      <c r="E159" s="14" t="n">
        <v>31.9885679866637</v>
      </c>
      <c r="F159" s="14" t="n">
        <v>33.343401370995</v>
      </c>
      <c r="G159" s="13" t="n">
        <v>-7835.00146158811</v>
      </c>
      <c r="H159" s="15" t="n">
        <v>-0.0423536741280878</v>
      </c>
      <c r="I159" s="15" t="n">
        <v>-0.0423536741280877</v>
      </c>
      <c r="J159" s="16" t="n">
        <v>2014</v>
      </c>
      <c r="K159" s="16" t="n">
        <v>6</v>
      </c>
      <c r="L159" s="16" t="n">
        <v>23</v>
      </c>
      <c r="M159" s="16" t="s">
        <v>35</v>
      </c>
      <c r="N159" s="17" t="b">
        <f aca="false">FALSE()</f>
        <v>0</v>
      </c>
      <c r="O159" s="14" t="n">
        <v>32.3025817920549</v>
      </c>
      <c r="P159" s="13" t="n">
        <v>10746.1428571429</v>
      </c>
      <c r="Q159" s="15" t="n">
        <v>-0.00972101262408848</v>
      </c>
      <c r="R159" s="15" t="n">
        <v>-0.461853422490462</v>
      </c>
      <c r="S159" s="17" t="b">
        <f aca="false">FALSE()</f>
        <v>0</v>
      </c>
    </row>
    <row r="160" customFormat="false" ht="15" hidden="false" customHeight="true" outlineLevel="0" collapsed="false">
      <c r="A160" s="12" t="n">
        <v>41796</v>
      </c>
      <c r="B160" s="13" t="n">
        <v>288118.304447456</v>
      </c>
      <c r="C160" s="13" t="n">
        <v>300213.559406662</v>
      </c>
      <c r="D160" s="13" t="n">
        <v>9005</v>
      </c>
      <c r="E160" s="14" t="n">
        <v>31.9953697331989</v>
      </c>
      <c r="F160" s="14" t="n">
        <v>33.3385407447709</v>
      </c>
      <c r="G160" s="13" t="n">
        <v>-12095.2549592062</v>
      </c>
      <c r="H160" s="15" t="n">
        <v>-0.0419801684672623</v>
      </c>
      <c r="I160" s="15" t="n">
        <v>-0.0419801684672623</v>
      </c>
      <c r="J160" s="16" t="n">
        <v>2014</v>
      </c>
      <c r="K160" s="16" t="n">
        <v>6</v>
      </c>
      <c r="L160" s="16" t="n">
        <v>23</v>
      </c>
      <c r="M160" s="16" t="s">
        <v>36</v>
      </c>
      <c r="N160" s="17" t="b">
        <f aca="false">FALSE()</f>
        <v>0</v>
      </c>
      <c r="O160" s="14" t="n">
        <v>32.1764239055997</v>
      </c>
      <c r="P160" s="13" t="n">
        <v>10914.8571428571</v>
      </c>
      <c r="Q160" s="15" t="n">
        <v>-0.00562692028586041</v>
      </c>
      <c r="R160" s="15" t="n">
        <v>-0.174977749856029</v>
      </c>
      <c r="S160" s="17" t="b">
        <f aca="false">FALSE()</f>
        <v>0</v>
      </c>
    </row>
    <row r="161" customFormat="false" ht="15" hidden="false" customHeight="true" outlineLevel="0" collapsed="false">
      <c r="A161" s="12" t="n">
        <v>41797</v>
      </c>
      <c r="B161" s="13" t="n">
        <v>391930.878009661</v>
      </c>
      <c r="C161" s="13" t="n">
        <v>407438.919600541</v>
      </c>
      <c r="D161" s="13" t="n">
        <v>12222</v>
      </c>
      <c r="E161" s="14" t="n">
        <v>32.0676548854247</v>
      </c>
      <c r="F161" s="14" t="n">
        <v>33.3365177221847</v>
      </c>
      <c r="G161" s="13" t="n">
        <v>-15508.04159088</v>
      </c>
      <c r="H161" s="15" t="n">
        <v>-0.0395683077323081</v>
      </c>
      <c r="I161" s="15" t="n">
        <v>-0.039568307732308</v>
      </c>
      <c r="J161" s="16" t="n">
        <v>2014</v>
      </c>
      <c r="K161" s="16" t="n">
        <v>6</v>
      </c>
      <c r="L161" s="16" t="n">
        <v>23</v>
      </c>
      <c r="M161" s="16" t="s">
        <v>37</v>
      </c>
      <c r="N161" s="17" t="b">
        <f aca="false">TRUE()</f>
        <v>1</v>
      </c>
      <c r="O161" s="14" t="n">
        <v>32.1641758267128</v>
      </c>
      <c r="P161" s="13" t="n">
        <v>10602.0714285714</v>
      </c>
      <c r="Q161" s="15" t="n">
        <v>-0.00300088339922182</v>
      </c>
      <c r="R161" s="15" t="n">
        <v>0.152793591548821</v>
      </c>
      <c r="S161" s="17" t="b">
        <f aca="false">FALSE()</f>
        <v>0</v>
      </c>
    </row>
    <row r="162" customFormat="false" ht="15" hidden="false" customHeight="true" outlineLevel="0" collapsed="false">
      <c r="A162" s="12" t="n">
        <v>41798</v>
      </c>
      <c r="B162" s="13" t="n">
        <v>193772.581108797</v>
      </c>
      <c r="C162" s="13" t="n">
        <v>201254.712511546</v>
      </c>
      <c r="D162" s="13" t="n">
        <v>6037</v>
      </c>
      <c r="E162" s="14" t="n">
        <v>32.0974956284242</v>
      </c>
      <c r="F162" s="14" t="n">
        <v>33.3368746913279</v>
      </c>
      <c r="G162" s="13" t="n">
        <v>-7482.13140274919</v>
      </c>
      <c r="H162" s="15" t="n">
        <v>-0.0386129521521325</v>
      </c>
      <c r="I162" s="15" t="n">
        <v>-0.0386129521521324</v>
      </c>
      <c r="J162" s="16" t="n">
        <v>2014</v>
      </c>
      <c r="K162" s="16" t="n">
        <v>6</v>
      </c>
      <c r="L162" s="16" t="n">
        <v>23</v>
      </c>
      <c r="M162" s="16" t="s">
        <v>38</v>
      </c>
      <c r="N162" s="17" t="b">
        <f aca="false">TRUE()</f>
        <v>1</v>
      </c>
      <c r="O162" s="14" t="n">
        <v>32.1563584039013</v>
      </c>
      <c r="P162" s="13" t="n">
        <v>10163.9285714286</v>
      </c>
      <c r="Q162" s="15" t="n">
        <v>-0.00183051745902577</v>
      </c>
      <c r="R162" s="15" t="n">
        <v>-0.406036754629467</v>
      </c>
      <c r="S162" s="17" t="b">
        <f aca="false">FALSE()</f>
        <v>0</v>
      </c>
    </row>
    <row r="163" customFormat="false" ht="15" hidden="false" customHeight="true" outlineLevel="0" collapsed="false">
      <c r="A163" s="12" t="n">
        <v>41799</v>
      </c>
      <c r="B163" s="13" t="n">
        <v>214177.983442618</v>
      </c>
      <c r="C163" s="13" t="n">
        <v>220255.219178828</v>
      </c>
      <c r="D163" s="13" t="n">
        <v>6607</v>
      </c>
      <c r="E163" s="14" t="n">
        <v>32.4168281281396</v>
      </c>
      <c r="F163" s="14" t="n">
        <v>33.3366458572466</v>
      </c>
      <c r="G163" s="13" t="n">
        <v>-6077.23573621005</v>
      </c>
      <c r="H163" s="15" t="n">
        <v>-0.0283746986432816</v>
      </c>
      <c r="I163" s="15" t="n">
        <v>-0.0283746986432814</v>
      </c>
      <c r="J163" s="16" t="n">
        <v>2014</v>
      </c>
      <c r="K163" s="16" t="n">
        <v>6</v>
      </c>
      <c r="L163" s="16" t="n">
        <v>24</v>
      </c>
      <c r="M163" s="16" t="s">
        <v>32</v>
      </c>
      <c r="N163" s="17" t="b">
        <f aca="false">FALSE()</f>
        <v>0</v>
      </c>
      <c r="O163" s="14" t="n">
        <v>32.1329408614009</v>
      </c>
      <c r="P163" s="13" t="n">
        <v>10130.8571428571</v>
      </c>
      <c r="Q163" s="15" t="n">
        <v>0.00883477388400875</v>
      </c>
      <c r="R163" s="15" t="n">
        <v>-0.347834057194427</v>
      </c>
      <c r="S163" s="17" t="b">
        <f aca="false">FALSE()</f>
        <v>0</v>
      </c>
    </row>
    <row r="164" customFormat="false" ht="15" hidden="false" customHeight="true" outlineLevel="0" collapsed="false">
      <c r="A164" s="12" t="n">
        <v>41800</v>
      </c>
      <c r="B164" s="13" t="n">
        <v>188334.52117068</v>
      </c>
      <c r="C164" s="13" t="n">
        <v>195254.781003702</v>
      </c>
      <c r="D164" s="13" t="n">
        <v>5857</v>
      </c>
      <c r="E164" s="14" t="n">
        <v>32.1554586256923</v>
      </c>
      <c r="F164" s="14" t="n">
        <v>33.3369952200276</v>
      </c>
      <c r="G164" s="13" t="n">
        <v>-6920.25983302211</v>
      </c>
      <c r="H164" s="15" t="n">
        <v>-0.0367445107248849</v>
      </c>
      <c r="I164" s="15" t="n">
        <v>-0.0367445107248849</v>
      </c>
      <c r="J164" s="16" t="n">
        <v>2014</v>
      </c>
      <c r="K164" s="16" t="n">
        <v>6</v>
      </c>
      <c r="L164" s="16" t="n">
        <v>24</v>
      </c>
      <c r="M164" s="16" t="s">
        <v>33</v>
      </c>
      <c r="N164" s="17" t="b">
        <f aca="false">FALSE()</f>
        <v>0</v>
      </c>
      <c r="O164" s="14" t="n">
        <v>32.140230500447</v>
      </c>
      <c r="P164" s="13" t="n">
        <v>10120.5</v>
      </c>
      <c r="Q164" s="15" t="n">
        <v>0.000473802614609546</v>
      </c>
      <c r="R164" s="15" t="n">
        <v>-0.421273652487525</v>
      </c>
      <c r="S164" s="17" t="b">
        <f aca="false">FALSE()</f>
        <v>0</v>
      </c>
    </row>
    <row r="165" customFormat="false" ht="15" hidden="false" customHeight="true" outlineLevel="0" collapsed="false">
      <c r="A165" s="12" t="n">
        <v>41801</v>
      </c>
      <c r="B165" s="13" t="n">
        <v>174324.99481546</v>
      </c>
      <c r="C165" s="13" t="n">
        <v>180978.601038229</v>
      </c>
      <c r="D165" s="13" t="n">
        <v>5429</v>
      </c>
      <c r="E165" s="14" t="n">
        <v>32.1099640477914</v>
      </c>
      <c r="F165" s="14" t="n">
        <v>33.3355315966531</v>
      </c>
      <c r="G165" s="13" t="n">
        <v>-6653.60622276965</v>
      </c>
      <c r="H165" s="15" t="n">
        <v>-0.0381678268788314</v>
      </c>
      <c r="I165" s="15" t="n">
        <v>-0.0381678268788314</v>
      </c>
      <c r="J165" s="16" t="n">
        <v>2014</v>
      </c>
      <c r="K165" s="16" t="n">
        <v>6</v>
      </c>
      <c r="L165" s="16" t="n">
        <v>24</v>
      </c>
      <c r="M165" s="16" t="s">
        <v>34</v>
      </c>
      <c r="N165" s="17" t="b">
        <f aca="false">FALSE()</f>
        <v>0</v>
      </c>
      <c r="O165" s="14" t="n">
        <v>32.1371317229494</v>
      </c>
      <c r="P165" s="13" t="n">
        <v>10037.2142857143</v>
      </c>
      <c r="Q165" s="15" t="n">
        <v>-0.000845367140792828</v>
      </c>
      <c r="R165" s="15" t="n">
        <v>-0.459112872809046</v>
      </c>
      <c r="S165" s="17" t="b">
        <f aca="false">FALSE()</f>
        <v>0</v>
      </c>
    </row>
    <row r="166" customFormat="false" ht="15" hidden="false" customHeight="true" outlineLevel="0" collapsed="false">
      <c r="A166" s="12" t="n">
        <v>41802</v>
      </c>
      <c r="B166" s="13" t="n">
        <v>200271.56431626</v>
      </c>
      <c r="C166" s="13" t="n">
        <v>207757.702973216</v>
      </c>
      <c r="D166" s="13" t="n">
        <v>6232</v>
      </c>
      <c r="E166" s="14" t="n">
        <v>32.1360019762933</v>
      </c>
      <c r="F166" s="14" t="n">
        <v>33.337243737679</v>
      </c>
      <c r="G166" s="13" t="n">
        <v>-7486.13865695606</v>
      </c>
      <c r="H166" s="15" t="n">
        <v>-0.0373799379982586</v>
      </c>
      <c r="I166" s="15" t="n">
        <v>-0.0373799379982586</v>
      </c>
      <c r="J166" s="16" t="n">
        <v>2014</v>
      </c>
      <c r="K166" s="16" t="n">
        <v>6</v>
      </c>
      <c r="L166" s="16" t="n">
        <v>24</v>
      </c>
      <c r="M166" s="16" t="s">
        <v>35</v>
      </c>
      <c r="N166" s="17" t="b">
        <f aca="false">FALSE()</f>
        <v>0</v>
      </c>
      <c r="O166" s="14" t="n">
        <v>32.1337440678982</v>
      </c>
      <c r="P166" s="13" t="n">
        <v>9883.64285714286</v>
      </c>
      <c r="Q166" s="15" t="n">
        <v>7.02659606138913E-005</v>
      </c>
      <c r="R166" s="15" t="n">
        <v>-0.369463254583692</v>
      </c>
      <c r="S166" s="17" t="b">
        <f aca="false">FALSE()</f>
        <v>0</v>
      </c>
    </row>
    <row r="167" customFormat="false" ht="15" hidden="false" customHeight="true" outlineLevel="0" collapsed="false">
      <c r="A167" s="12" t="n">
        <v>41803</v>
      </c>
      <c r="B167" s="13" t="n">
        <v>468701.630173914</v>
      </c>
      <c r="C167" s="13" t="n">
        <v>486180.54436188</v>
      </c>
      <c r="D167" s="13" t="n">
        <v>14585</v>
      </c>
      <c r="E167" s="14" t="n">
        <v>32.1358676841902</v>
      </c>
      <c r="F167" s="14" t="n">
        <v>33.334284837976</v>
      </c>
      <c r="G167" s="13" t="n">
        <v>-17478.9141879662</v>
      </c>
      <c r="H167" s="15" t="n">
        <v>-0.0372921984109178</v>
      </c>
      <c r="I167" s="15" t="n">
        <v>-0.0372921984109177</v>
      </c>
      <c r="J167" s="16" t="n">
        <v>2014</v>
      </c>
      <c r="K167" s="16" t="n">
        <v>6</v>
      </c>
      <c r="L167" s="16" t="n">
        <v>24</v>
      </c>
      <c r="M167" s="16" t="s">
        <v>36</v>
      </c>
      <c r="N167" s="17" t="b">
        <f aca="false">FALSE()</f>
        <v>0</v>
      </c>
      <c r="O167" s="14" t="n">
        <v>32.1313458901133</v>
      </c>
      <c r="P167" s="13" t="n">
        <v>9868.21428571429</v>
      </c>
      <c r="Q167" s="15" t="n">
        <v>0.000140728436720357</v>
      </c>
      <c r="R167" s="15" t="n">
        <v>0.477977633817089</v>
      </c>
      <c r="S167" s="17" t="b">
        <f aca="false">FALSE()</f>
        <v>0</v>
      </c>
    </row>
    <row r="168" customFormat="false" ht="15" hidden="false" customHeight="true" outlineLevel="0" collapsed="false">
      <c r="A168" s="12" t="n">
        <v>41804</v>
      </c>
      <c r="B168" s="13" t="n">
        <v>473425.754156949</v>
      </c>
      <c r="C168" s="13" t="n">
        <v>492135.292294435</v>
      </c>
      <c r="D168" s="13" t="n">
        <v>14745</v>
      </c>
      <c r="E168" s="14" t="n">
        <v>32.1075452124075</v>
      </c>
      <c r="F168" s="14" t="n">
        <v>33.3764186025388</v>
      </c>
      <c r="G168" s="13" t="n">
        <v>-18709.538137486</v>
      </c>
      <c r="H168" s="15" t="n">
        <v>-0.0395194768624341</v>
      </c>
      <c r="I168" s="15" t="n">
        <v>-0.0395194768624342</v>
      </c>
      <c r="J168" s="16" t="n">
        <v>2014</v>
      </c>
      <c r="K168" s="16" t="n">
        <v>6</v>
      </c>
      <c r="L168" s="16" t="n">
        <v>24</v>
      </c>
      <c r="M168" s="16" t="s">
        <v>37</v>
      </c>
      <c r="N168" s="17" t="b">
        <f aca="false">TRUE()</f>
        <v>1</v>
      </c>
      <c r="O168" s="14" t="n">
        <v>32.1284184544175</v>
      </c>
      <c r="P168" s="13" t="n">
        <v>9793.07142857143</v>
      </c>
      <c r="Q168" s="15" t="n">
        <v>-0.000649681590756901</v>
      </c>
      <c r="R168" s="15" t="n">
        <v>0.505656331371305</v>
      </c>
      <c r="S168" s="17" t="b">
        <f aca="false">FALSE()</f>
        <v>0</v>
      </c>
    </row>
    <row r="169" customFormat="false" ht="15" hidden="false" customHeight="true" outlineLevel="0" collapsed="false">
      <c r="A169" s="12" t="n">
        <v>41805</v>
      </c>
      <c r="B169" s="13" t="n">
        <v>224232.121375095</v>
      </c>
      <c r="C169" s="13" t="n">
        <v>233554.032246434</v>
      </c>
      <c r="D169" s="13" t="n">
        <v>6991</v>
      </c>
      <c r="E169" s="14" t="n">
        <v>32.074398709068</v>
      </c>
      <c r="F169" s="14" t="n">
        <v>33.4078146540457</v>
      </c>
      <c r="G169" s="13" t="n">
        <v>-9321.91087133921</v>
      </c>
      <c r="H169" s="15" t="n">
        <v>-0.0415725936773597</v>
      </c>
      <c r="I169" s="15" t="n">
        <v>-0.0415725936773597</v>
      </c>
      <c r="J169" s="16" t="n">
        <v>2014</v>
      </c>
      <c r="K169" s="16" t="n">
        <v>6</v>
      </c>
      <c r="L169" s="16" t="n">
        <v>24</v>
      </c>
      <c r="M169" s="16" t="s">
        <v>38</v>
      </c>
      <c r="N169" s="17" t="b">
        <f aca="false">TRUE()</f>
        <v>1</v>
      </c>
      <c r="O169" s="14" t="n">
        <v>32.1248817294294</v>
      </c>
      <c r="P169" s="13" t="n">
        <v>9505.21428571429</v>
      </c>
      <c r="Q169" s="15" t="n">
        <v>-0.00157146167218707</v>
      </c>
      <c r="R169" s="15" t="n">
        <v>-0.264508953732162</v>
      </c>
      <c r="S169" s="17" t="b">
        <f aca="false">FALSE()</f>
        <v>0</v>
      </c>
    </row>
    <row r="170" customFormat="false" ht="15" hidden="false" customHeight="true" outlineLevel="0" collapsed="false">
      <c r="A170" s="12" t="n">
        <v>41806</v>
      </c>
      <c r="B170" s="13" t="n">
        <v>185606.275014695</v>
      </c>
      <c r="C170" s="13" t="n">
        <v>193340.315365212</v>
      </c>
      <c r="D170" s="13" t="n">
        <v>5788</v>
      </c>
      <c r="E170" s="14" t="n">
        <v>32.0674283024697</v>
      </c>
      <c r="F170" s="14" t="n">
        <v>33.4036481280602</v>
      </c>
      <c r="G170" s="13" t="n">
        <v>-7734.04035051772</v>
      </c>
      <c r="H170" s="15" t="n">
        <v>-0.0416690672225678</v>
      </c>
      <c r="I170" s="15" t="n">
        <v>-0.041669067222568</v>
      </c>
      <c r="J170" s="16" t="n">
        <v>2014</v>
      </c>
      <c r="K170" s="16" t="n">
        <v>6</v>
      </c>
      <c r="L170" s="16" t="n">
        <v>25</v>
      </c>
      <c r="M170" s="16" t="s">
        <v>32</v>
      </c>
      <c r="N170" s="17" t="b">
        <f aca="false">FALSE()</f>
        <v>0</v>
      </c>
      <c r="O170" s="14" t="n">
        <v>32.1201196860103</v>
      </c>
      <c r="P170" s="13" t="n">
        <v>8991.14285714286</v>
      </c>
      <c r="Q170" s="15" t="n">
        <v>-0.00164044792035834</v>
      </c>
      <c r="R170" s="15" t="n">
        <v>-0.35625536242016</v>
      </c>
      <c r="S170" s="17" t="b">
        <f aca="false">FALSE()</f>
        <v>0</v>
      </c>
    </row>
    <row r="171" customFormat="false" ht="15" hidden="false" customHeight="true" outlineLevel="0" collapsed="false">
      <c r="A171" s="12" t="n">
        <v>41807</v>
      </c>
      <c r="B171" s="13" t="n">
        <v>212687.509414812</v>
      </c>
      <c r="C171" s="13" t="n">
        <v>221403.64501724</v>
      </c>
      <c r="D171" s="13" t="n">
        <v>6632</v>
      </c>
      <c r="E171" s="14" t="n">
        <v>32.0698898393866</v>
      </c>
      <c r="F171" s="14" t="n">
        <v>33.3841443029614</v>
      </c>
      <c r="G171" s="13" t="n">
        <v>-8716.13560242782</v>
      </c>
      <c r="H171" s="15" t="n">
        <v>-0.0409809472423151</v>
      </c>
      <c r="I171" s="15" t="n">
        <v>-0.0409809472423152</v>
      </c>
      <c r="J171" s="16" t="n">
        <v>2014</v>
      </c>
      <c r="K171" s="16" t="n">
        <v>6</v>
      </c>
      <c r="L171" s="16" t="n">
        <v>25</v>
      </c>
      <c r="M171" s="16" t="s">
        <v>33</v>
      </c>
      <c r="N171" s="17" t="b">
        <f aca="false">FALSE()</f>
        <v>0</v>
      </c>
      <c r="O171" s="14" t="n">
        <v>32.1160279191167</v>
      </c>
      <c r="P171" s="13" t="n">
        <v>8457.71428571429</v>
      </c>
      <c r="Q171" s="15" t="n">
        <v>-0.00143660604126534</v>
      </c>
      <c r="R171" s="15" t="n">
        <v>-0.21586379298696</v>
      </c>
      <c r="S171" s="17" t="b">
        <f aca="false">FALSE()</f>
        <v>0</v>
      </c>
    </row>
    <row r="172" customFormat="false" ht="15" hidden="false" customHeight="true" outlineLevel="0" collapsed="false">
      <c r="A172" s="12" t="n">
        <v>41808</v>
      </c>
      <c r="B172" s="13" t="n">
        <v>184259.6924215</v>
      </c>
      <c r="C172" s="13" t="n">
        <v>192057.510847078</v>
      </c>
      <c r="D172" s="13" t="n">
        <v>5752</v>
      </c>
      <c r="E172" s="14" t="n">
        <v>32.0340216309979</v>
      </c>
      <c r="F172" s="14" t="n">
        <v>33.3896924282124</v>
      </c>
      <c r="G172" s="13" t="n">
        <v>-7797.81842557807</v>
      </c>
      <c r="H172" s="15" t="n">
        <v>-0.0423197191046011</v>
      </c>
      <c r="I172" s="15" t="n">
        <v>-0.0423197191046013</v>
      </c>
      <c r="J172" s="16" t="n">
        <v>2014</v>
      </c>
      <c r="K172" s="16" t="n">
        <v>6</v>
      </c>
      <c r="L172" s="16" t="n">
        <v>25</v>
      </c>
      <c r="M172" s="16" t="s">
        <v>34</v>
      </c>
      <c r="N172" s="17" t="b">
        <f aca="false">FALSE()</f>
        <v>0</v>
      </c>
      <c r="O172" s="14" t="n">
        <v>32.1134616740628</v>
      </c>
      <c r="P172" s="13" t="n">
        <v>8201.21428571429</v>
      </c>
      <c r="Q172" s="15" t="n">
        <v>-0.0024737302963861</v>
      </c>
      <c r="R172" s="15" t="n">
        <v>-0.298640445230236</v>
      </c>
      <c r="S172" s="17" t="b">
        <f aca="false">FALSE()</f>
        <v>0</v>
      </c>
    </row>
    <row r="173" customFormat="false" ht="15" hidden="false" customHeight="true" outlineLevel="0" collapsed="false">
      <c r="A173" s="12" t="n">
        <v>41809</v>
      </c>
      <c r="B173" s="13" t="n">
        <v>113735.81615778</v>
      </c>
      <c r="C173" s="13" t="n">
        <v>119544.01976408</v>
      </c>
      <c r="D173" s="13" t="n">
        <v>3578</v>
      </c>
      <c r="E173" s="14" t="n">
        <v>31.7875394515873</v>
      </c>
      <c r="F173" s="14" t="n">
        <v>33.4108495707324</v>
      </c>
      <c r="G173" s="13" t="n">
        <v>-5808.2036063009</v>
      </c>
      <c r="H173" s="15" t="n">
        <v>-0.0510674983704649</v>
      </c>
      <c r="I173" s="15" t="n">
        <v>-0.051067498370465</v>
      </c>
      <c r="J173" s="16" t="n">
        <v>2014</v>
      </c>
      <c r="K173" s="16" t="n">
        <v>6</v>
      </c>
      <c r="L173" s="16" t="n">
        <v>25</v>
      </c>
      <c r="M173" s="16" t="s">
        <v>35</v>
      </c>
      <c r="N173" s="17" t="b">
        <f aca="false">FALSE()</f>
        <v>0</v>
      </c>
      <c r="O173" s="14" t="n">
        <v>32.1040351707249</v>
      </c>
      <c r="P173" s="13" t="n">
        <v>7976.07142857143</v>
      </c>
      <c r="Q173" s="15" t="n">
        <v>-0.00985844045629892</v>
      </c>
      <c r="R173" s="15" t="n">
        <v>-0.551408229973582</v>
      </c>
      <c r="S173" s="17" t="b">
        <f aca="false">FALSE()</f>
        <v>0</v>
      </c>
    </row>
    <row r="174" customFormat="false" ht="15" hidden="false" customHeight="true" outlineLevel="0" collapsed="false">
      <c r="A174" s="12" t="n">
        <v>41810</v>
      </c>
      <c r="B174" s="13" t="n">
        <v>203165.08297514</v>
      </c>
      <c r="C174" s="13" t="n">
        <v>205350.643078722</v>
      </c>
      <c r="D174" s="13" t="n">
        <v>6119</v>
      </c>
      <c r="E174" s="14" t="n">
        <v>33.2023342008727</v>
      </c>
      <c r="F174" s="14" t="n">
        <v>33.5595102269525</v>
      </c>
      <c r="G174" s="13" t="n">
        <v>-2185.56010358257</v>
      </c>
      <c r="H174" s="15" t="n">
        <v>-0.0107575577041947</v>
      </c>
      <c r="I174" s="15" t="n">
        <v>-0.0107575577041948</v>
      </c>
      <c r="J174" s="16" t="n">
        <v>2014</v>
      </c>
      <c r="K174" s="16" t="n">
        <v>6</v>
      </c>
      <c r="L174" s="16" t="n">
        <v>25</v>
      </c>
      <c r="M174" s="16" t="s">
        <v>36</v>
      </c>
      <c r="N174" s="17" t="b">
        <f aca="false">FALSE()</f>
        <v>0</v>
      </c>
      <c r="O174" s="14" t="n">
        <v>32.089675989648</v>
      </c>
      <c r="P174" s="13" t="n">
        <v>7818.57142857143</v>
      </c>
      <c r="Q174" s="15" t="n">
        <v>0.0346734012391906</v>
      </c>
      <c r="R174" s="15" t="n">
        <v>-0.217376210487849</v>
      </c>
      <c r="S174" s="17" t="b">
        <f aca="false">FALSE()</f>
        <v>0</v>
      </c>
    </row>
    <row r="175" customFormat="false" ht="15" hidden="false" customHeight="true" outlineLevel="0" collapsed="false">
      <c r="A175" s="12" t="n">
        <v>41811</v>
      </c>
      <c r="B175" s="13" t="n">
        <v>203345.244564755</v>
      </c>
      <c r="C175" s="13" t="n">
        <v>206918.912593866</v>
      </c>
      <c r="D175" s="13" t="n">
        <v>6161</v>
      </c>
      <c r="E175" s="14" t="n">
        <v>33.0052336576457</v>
      </c>
      <c r="F175" s="14" t="n">
        <v>33.5852804080289</v>
      </c>
      <c r="G175" s="13" t="n">
        <v>-3573.66802911094</v>
      </c>
      <c r="H175" s="15" t="n">
        <v>-0.0175743870320651</v>
      </c>
      <c r="I175" s="15" t="n">
        <v>-0.017574387032065</v>
      </c>
      <c r="J175" s="16" t="n">
        <v>2014</v>
      </c>
      <c r="K175" s="16" t="n">
        <v>6</v>
      </c>
      <c r="L175" s="16" t="n">
        <v>25</v>
      </c>
      <c r="M175" s="16" t="s">
        <v>37</v>
      </c>
      <c r="N175" s="17" t="b">
        <f aca="false">TRUE()</f>
        <v>1</v>
      </c>
      <c r="O175" s="14" t="n">
        <v>32.175887737339</v>
      </c>
      <c r="P175" s="13" t="n">
        <v>7612.42857142857</v>
      </c>
      <c r="Q175" s="15" t="n">
        <v>0.0257753858130313</v>
      </c>
      <c r="R175" s="15" t="n">
        <v>-0.190665640775424</v>
      </c>
      <c r="S175" s="17" t="b">
        <f aca="false">FALSE()</f>
        <v>0</v>
      </c>
    </row>
    <row r="176" customFormat="false" ht="15" hidden="false" customHeight="true" outlineLevel="0" collapsed="false">
      <c r="A176" s="12" t="n">
        <v>41812</v>
      </c>
      <c r="B176" s="13" t="n">
        <v>134944.488966956</v>
      </c>
      <c r="C176" s="13" t="n">
        <v>135372.527025031</v>
      </c>
      <c r="D176" s="13" t="n">
        <v>4015</v>
      </c>
      <c r="E176" s="14" t="n">
        <v>33.6100844251448</v>
      </c>
      <c r="F176" s="14" t="n">
        <v>33.7166941531834</v>
      </c>
      <c r="G176" s="13" t="n">
        <v>-428.03805807489</v>
      </c>
      <c r="H176" s="15" t="n">
        <v>-0.00317195656785734</v>
      </c>
      <c r="I176" s="15" t="n">
        <v>-0.00317195656785734</v>
      </c>
      <c r="J176" s="16" t="n">
        <v>2014</v>
      </c>
      <c r="K176" s="16" t="n">
        <v>6</v>
      </c>
      <c r="L176" s="16" t="n">
        <v>25</v>
      </c>
      <c r="M176" s="16" t="s">
        <v>38</v>
      </c>
      <c r="N176" s="17" t="b">
        <f aca="false">TRUE()</f>
        <v>1</v>
      </c>
      <c r="O176" s="14" t="n">
        <v>32.2428576496405</v>
      </c>
      <c r="P176" s="13" t="n">
        <v>7179.5</v>
      </c>
      <c r="Q176" s="15" t="n">
        <v>0.0424040198409521</v>
      </c>
      <c r="R176" s="15" t="n">
        <v>-0.4407688557699</v>
      </c>
      <c r="S176" s="17" t="b">
        <f aca="false">FALSE()</f>
        <v>0</v>
      </c>
    </row>
    <row r="177" customFormat="false" ht="15" hidden="false" customHeight="true" outlineLevel="0" collapsed="false">
      <c r="A177" s="12" t="n">
        <v>41813</v>
      </c>
      <c r="B177" s="13" t="n">
        <v>138298.210244966</v>
      </c>
      <c r="C177" s="13" t="n">
        <v>139206.026890081</v>
      </c>
      <c r="D177" s="13" t="n">
        <v>4133</v>
      </c>
      <c r="E177" s="14" t="n">
        <v>33.4619429578917</v>
      </c>
      <c r="F177" s="14" t="n">
        <v>33.6815937309656</v>
      </c>
      <c r="G177" s="13" t="n">
        <v>-907.816645114275</v>
      </c>
      <c r="H177" s="15" t="n">
        <v>-0.00656419662630679</v>
      </c>
      <c r="I177" s="15" t="n">
        <v>-0.00656419662630688</v>
      </c>
      <c r="J177" s="16" t="n">
        <v>2014</v>
      </c>
      <c r="K177" s="16" t="n">
        <v>6</v>
      </c>
      <c r="L177" s="16" t="n">
        <v>26</v>
      </c>
      <c r="M177" s="16" t="s">
        <v>32</v>
      </c>
      <c r="N177" s="17" t="b">
        <f aca="false">FALSE()</f>
        <v>0</v>
      </c>
      <c r="O177" s="14" t="n">
        <v>32.3508997065491</v>
      </c>
      <c r="P177" s="13" t="n">
        <v>7035.07142857143</v>
      </c>
      <c r="Q177" s="15" t="n">
        <v>0.0343435039340715</v>
      </c>
      <c r="R177" s="15" t="n">
        <v>-0.412514849072504</v>
      </c>
      <c r="S177" s="17" t="b">
        <f aca="false">FALSE()</f>
        <v>0</v>
      </c>
    </row>
    <row r="178" customFormat="false" ht="15" hidden="false" customHeight="true" outlineLevel="0" collapsed="false">
      <c r="A178" s="12" t="n">
        <v>41814</v>
      </c>
      <c r="B178" s="13" t="n">
        <v>36692.6798619005</v>
      </c>
      <c r="C178" s="13" t="n">
        <v>35299.0642352032</v>
      </c>
      <c r="D178" s="13" t="n">
        <v>1047</v>
      </c>
      <c r="E178" s="14" t="n">
        <v>35.0455395051581</v>
      </c>
      <c r="F178" s="14" t="n">
        <v>33.7144835102228</v>
      </c>
      <c r="G178" s="13" t="n">
        <v>1393.61562669728</v>
      </c>
      <c r="H178" s="15" t="n">
        <v>0.0379807534348104</v>
      </c>
      <c r="I178" s="15" t="n">
        <v>0.0379807534348103</v>
      </c>
      <c r="J178" s="16" t="n">
        <v>2014</v>
      </c>
      <c r="K178" s="16" t="n">
        <v>6</v>
      </c>
      <c r="L178" s="16" t="n">
        <v>26</v>
      </c>
      <c r="M178" s="16" t="s">
        <v>33</v>
      </c>
      <c r="N178" s="17" t="b">
        <f aca="false">FALSE()</f>
        <v>0</v>
      </c>
      <c r="O178" s="14" t="n">
        <v>32.4255507658171</v>
      </c>
      <c r="P178" s="13" t="n">
        <v>6858.35714285714</v>
      </c>
      <c r="Q178" s="15" t="n">
        <v>0.0808001306828369</v>
      </c>
      <c r="R178" s="15" t="n">
        <v>-0.847339533624254</v>
      </c>
      <c r="S178" s="17" t="b">
        <f aca="false">FALSE()</f>
        <v>0</v>
      </c>
    </row>
    <row r="179" customFormat="false" ht="15" hidden="false" customHeight="true" outlineLevel="0" collapsed="false">
      <c r="A179" s="12" t="n">
        <v>41815</v>
      </c>
      <c r="B179" s="13" t="n">
        <v>56077.5426921307</v>
      </c>
      <c r="C179" s="13" t="n">
        <v>53925.2576310377</v>
      </c>
      <c r="D179" s="13" t="n">
        <v>1601</v>
      </c>
      <c r="E179" s="14" t="n">
        <v>35.0265725747225</v>
      </c>
      <c r="F179" s="14" t="n">
        <v>33.6822346227593</v>
      </c>
      <c r="G179" s="13" t="n">
        <v>2152.28506109307</v>
      </c>
      <c r="H179" s="15" t="n">
        <v>0.038380516651902</v>
      </c>
      <c r="I179" s="15" t="n">
        <v>0.038380516651902</v>
      </c>
      <c r="J179" s="16" t="n">
        <v>2014</v>
      </c>
      <c r="K179" s="16" t="n">
        <v>6</v>
      </c>
      <c r="L179" s="16" t="n">
        <v>26</v>
      </c>
      <c r="M179" s="16" t="s">
        <v>34</v>
      </c>
      <c r="N179" s="17" t="b">
        <f aca="false">FALSE()</f>
        <v>0</v>
      </c>
      <c r="O179" s="14" t="n">
        <v>32.6319851143503</v>
      </c>
      <c r="P179" s="13" t="n">
        <v>6514.78571428572</v>
      </c>
      <c r="Q179" s="15" t="n">
        <v>0.0733816055621794</v>
      </c>
      <c r="R179" s="15" t="n">
        <v>-0.754251318429507</v>
      </c>
      <c r="S179" s="17" t="b">
        <f aca="false">FALSE()</f>
        <v>0</v>
      </c>
    </row>
    <row r="180" customFormat="false" ht="15" hidden="false" customHeight="true" outlineLevel="0" collapsed="false">
      <c r="A180" s="12" t="n">
        <v>41816</v>
      </c>
      <c r="B180" s="13" t="n">
        <v>55780.7074523407</v>
      </c>
      <c r="C180" s="13" t="n">
        <v>53688.2411950507</v>
      </c>
      <c r="D180" s="13" t="n">
        <v>1592</v>
      </c>
      <c r="E180" s="14" t="n">
        <v>35.0381328218221</v>
      </c>
      <c r="F180" s="14" t="n">
        <v>33.7237695948811</v>
      </c>
      <c r="G180" s="13" t="n">
        <v>2092.46625729009</v>
      </c>
      <c r="H180" s="15" t="n">
        <v>0.0375123649888789</v>
      </c>
      <c r="I180" s="15" t="n">
        <v>0.0375123649888789</v>
      </c>
      <c r="J180" s="16" t="n">
        <v>2014</v>
      </c>
      <c r="K180" s="16" t="n">
        <v>6</v>
      </c>
      <c r="L180" s="16" t="n">
        <v>26</v>
      </c>
      <c r="M180" s="16" t="s">
        <v>35</v>
      </c>
      <c r="N180" s="17" t="b">
        <f aca="false">FALSE()</f>
        <v>0</v>
      </c>
      <c r="O180" s="14" t="n">
        <v>32.8403142948454</v>
      </c>
      <c r="P180" s="13" t="n">
        <v>6241.35714285714</v>
      </c>
      <c r="Q180" s="15" t="n">
        <v>0.0669244059981976</v>
      </c>
      <c r="R180" s="15" t="n">
        <v>-0.744927270854553</v>
      </c>
      <c r="S180" s="17" t="b">
        <f aca="false">FALSE()</f>
        <v>0</v>
      </c>
    </row>
    <row r="181" customFormat="false" ht="15" hidden="false" customHeight="true" outlineLevel="0" collapsed="false">
      <c r="A181" s="12" t="n">
        <v>41817</v>
      </c>
      <c r="B181" s="13" t="n">
        <v>131721.238316789</v>
      </c>
      <c r="C181" s="13" t="n">
        <v>127302.427134721</v>
      </c>
      <c r="D181" s="13" t="n">
        <v>3759</v>
      </c>
      <c r="E181" s="14" t="n">
        <v>35.0415637980284</v>
      </c>
      <c r="F181" s="14" t="n">
        <v>33.8660354175902</v>
      </c>
      <c r="G181" s="13" t="n">
        <v>4418.81118206742</v>
      </c>
      <c r="H181" s="15" t="n">
        <v>0.0335466872201748</v>
      </c>
      <c r="I181" s="15" t="n">
        <v>0.0335466872201748</v>
      </c>
      <c r="J181" s="16" t="n">
        <v>2014</v>
      </c>
      <c r="K181" s="16" t="n">
        <v>6</v>
      </c>
      <c r="L181" s="16" t="n">
        <v>26</v>
      </c>
      <c r="M181" s="16" t="s">
        <v>36</v>
      </c>
      <c r="N181" s="17" t="b">
        <f aca="false">FALSE()</f>
        <v>0</v>
      </c>
      <c r="O181" s="14" t="n">
        <v>33.0476093552403</v>
      </c>
      <c r="P181" s="13" t="n">
        <v>5909.92857142857</v>
      </c>
      <c r="Q181" s="15" t="n">
        <v>0.0603358149557615</v>
      </c>
      <c r="R181" s="15" t="n">
        <v>-0.363951703549717</v>
      </c>
      <c r="S181" s="17" t="b">
        <f aca="false">FALSE()</f>
        <v>0</v>
      </c>
    </row>
    <row r="182" customFormat="false" ht="15" hidden="false" customHeight="true" outlineLevel="0" collapsed="false">
      <c r="A182" s="12" t="n">
        <v>41818</v>
      </c>
      <c r="B182" s="13" t="n">
        <v>146169.076571953</v>
      </c>
      <c r="C182" s="13" t="n">
        <v>141012.32941185</v>
      </c>
      <c r="D182" s="13" t="n">
        <v>4172</v>
      </c>
      <c r="E182" s="14" t="n">
        <v>35.0357326394901</v>
      </c>
      <c r="F182" s="14" t="n">
        <v>33.7996954486697</v>
      </c>
      <c r="G182" s="13" t="n">
        <v>5156.74716010277</v>
      </c>
      <c r="H182" s="15" t="n">
        <v>0.0352793304920711</v>
      </c>
      <c r="I182" s="15" t="n">
        <v>0.0352793304920711</v>
      </c>
      <c r="J182" s="16" t="n">
        <v>2014</v>
      </c>
      <c r="K182" s="16" t="n">
        <v>6</v>
      </c>
      <c r="L182" s="16" t="n">
        <v>26</v>
      </c>
      <c r="M182" s="16" t="s">
        <v>37</v>
      </c>
      <c r="N182" s="17" t="b">
        <f aca="false">TRUE()</f>
        <v>1</v>
      </c>
      <c r="O182" s="14" t="n">
        <v>33.2551590776574</v>
      </c>
      <c r="P182" s="13" t="n">
        <v>5136.64285714286</v>
      </c>
      <c r="Q182" s="15" t="n">
        <v>0.0535427768568097</v>
      </c>
      <c r="R182" s="15" t="n">
        <v>-0.187796365052216</v>
      </c>
      <c r="S182" s="17" t="b">
        <f aca="false">FALSE()</f>
        <v>0</v>
      </c>
    </row>
    <row r="183" customFormat="false" ht="15" hidden="false" customHeight="true" outlineLevel="0" collapsed="false">
      <c r="A183" s="12" t="n">
        <v>41819</v>
      </c>
      <c r="B183" s="13" t="n">
        <v>62073.585412981</v>
      </c>
      <c r="C183" s="13" t="n">
        <v>60083.8698368674</v>
      </c>
      <c r="D183" s="13" t="n">
        <v>1772</v>
      </c>
      <c r="E183" s="14" t="n">
        <v>35.0302400750457</v>
      </c>
      <c r="F183" s="14" t="n">
        <v>33.9073757544399</v>
      </c>
      <c r="G183" s="13" t="n">
        <v>1989.71557611355</v>
      </c>
      <c r="H183" s="15" t="n">
        <v>0.0320541428834149</v>
      </c>
      <c r="I183" s="15" t="n">
        <v>0.0320541428834149</v>
      </c>
      <c r="J183" s="16" t="n">
        <v>2014</v>
      </c>
      <c r="K183" s="16" t="n">
        <v>6</v>
      </c>
      <c r="L183" s="16" t="n">
        <v>26</v>
      </c>
      <c r="M183" s="16" t="s">
        <v>38</v>
      </c>
      <c r="N183" s="17" t="b">
        <f aca="false">TRUE()</f>
        <v>1</v>
      </c>
      <c r="O183" s="14" t="n">
        <v>33.464315322449</v>
      </c>
      <c r="P183" s="13" t="n">
        <v>4381.42857142857</v>
      </c>
      <c r="Q183" s="15" t="n">
        <v>0.0467938679607848</v>
      </c>
      <c r="R183" s="15" t="n">
        <v>-0.595565699380502</v>
      </c>
      <c r="S183" s="17" t="b">
        <f aca="false">FALSE()</f>
        <v>0</v>
      </c>
    </row>
    <row r="184" customFormat="false" ht="15" hidden="false" customHeight="true" outlineLevel="0" collapsed="false">
      <c r="A184" s="12" t="n">
        <v>41820</v>
      </c>
      <c r="B184" s="13" t="n">
        <v>93619.8469912957</v>
      </c>
      <c r="C184" s="13" t="n">
        <v>90294.3760876883</v>
      </c>
      <c r="D184" s="13" t="n">
        <v>2672</v>
      </c>
      <c r="E184" s="14" t="n">
        <v>35.037367885964</v>
      </c>
      <c r="F184" s="14" t="n">
        <v>33.7928054220391</v>
      </c>
      <c r="G184" s="13" t="n">
        <v>3325.47090360741</v>
      </c>
      <c r="H184" s="15" t="n">
        <v>0.0355210034034406</v>
      </c>
      <c r="I184" s="15" t="n">
        <v>0.0355210034034407</v>
      </c>
      <c r="J184" s="16" t="n">
        <v>2014</v>
      </c>
      <c r="K184" s="16" t="n">
        <v>6</v>
      </c>
      <c r="L184" s="16" t="n">
        <v>27</v>
      </c>
      <c r="M184" s="16" t="s">
        <v>32</v>
      </c>
      <c r="N184" s="17" t="b">
        <f aca="false">FALSE()</f>
        <v>0</v>
      </c>
      <c r="O184" s="14" t="n">
        <v>33.6754468485902</v>
      </c>
      <c r="P184" s="13" t="n">
        <v>4008.64285714286</v>
      </c>
      <c r="Q184" s="15" t="n">
        <v>0.0404425528040398</v>
      </c>
      <c r="R184" s="15" t="n">
        <v>-0.333440245184512</v>
      </c>
      <c r="S184" s="17" t="b">
        <f aca="false">FALSE()</f>
        <v>0</v>
      </c>
    </row>
    <row r="185" customFormat="false" ht="15" hidden="false" customHeight="true" outlineLevel="0" collapsed="false">
      <c r="A185" s="12" t="n">
        <v>41821</v>
      </c>
      <c r="B185" s="13" t="n">
        <v>180183.031356011</v>
      </c>
      <c r="C185" s="13" t="n">
        <v>173842.920925906</v>
      </c>
      <c r="D185" s="13" t="n">
        <v>5143</v>
      </c>
      <c r="E185" s="14" t="n">
        <v>35.0346162465509</v>
      </c>
      <c r="F185" s="14" t="n">
        <v>33.801851239725</v>
      </c>
      <c r="G185" s="13" t="n">
        <v>6340.1104301055</v>
      </c>
      <c r="H185" s="15" t="n">
        <v>0.0351870560862</v>
      </c>
      <c r="I185" s="15" t="n">
        <v>0.0351870560862</v>
      </c>
      <c r="J185" s="16" t="n">
        <v>2014</v>
      </c>
      <c r="K185" s="16" t="n">
        <v>7</v>
      </c>
      <c r="L185" s="16" t="n">
        <v>27</v>
      </c>
      <c r="M185" s="16" t="s">
        <v>33</v>
      </c>
      <c r="N185" s="17" t="b">
        <f aca="false">FALSE()</f>
        <v>0</v>
      </c>
      <c r="O185" s="14" t="n">
        <v>33.8875853902684</v>
      </c>
      <c r="P185" s="13" t="n">
        <v>3786.07142857143</v>
      </c>
      <c r="Q185" s="15" t="n">
        <v>0.0338481140828618</v>
      </c>
      <c r="R185" s="15" t="n">
        <v>0.358400150929158</v>
      </c>
      <c r="S185" s="17" t="b">
        <f aca="false">FALSE()</f>
        <v>0</v>
      </c>
    </row>
    <row r="186" customFormat="false" ht="15" hidden="false" customHeight="true" outlineLevel="0" collapsed="false">
      <c r="A186" s="12" t="n">
        <v>41822</v>
      </c>
      <c r="B186" s="13" t="n">
        <v>104760.70623579</v>
      </c>
      <c r="C186" s="13" t="n">
        <v>101615.732015736</v>
      </c>
      <c r="D186" s="13" t="n">
        <v>2990</v>
      </c>
      <c r="E186" s="14" t="n">
        <v>35.0370254969197</v>
      </c>
      <c r="F186" s="14" t="n">
        <v>33.9851946540924</v>
      </c>
      <c r="G186" s="13" t="n">
        <v>3144.97422005364</v>
      </c>
      <c r="H186" s="15" t="n">
        <v>0.0300205519135686</v>
      </c>
      <c r="I186" s="15" t="n">
        <v>0.0300205519135687</v>
      </c>
      <c r="J186" s="16" t="n">
        <v>2014</v>
      </c>
      <c r="K186" s="16" t="n">
        <v>7</v>
      </c>
      <c r="L186" s="16" t="n">
        <v>27</v>
      </c>
      <c r="M186" s="16" t="s">
        <v>34</v>
      </c>
      <c r="N186" s="17" t="b">
        <f aca="false">FALSE()</f>
        <v>0</v>
      </c>
      <c r="O186" s="14" t="n">
        <v>34.0993515622087</v>
      </c>
      <c r="P186" s="13" t="n">
        <v>3679.71428571429</v>
      </c>
      <c r="Q186" s="15" t="n">
        <v>0.0274982922475931</v>
      </c>
      <c r="R186" s="15" t="n">
        <v>-0.187436912803789</v>
      </c>
      <c r="S186" s="17" t="b">
        <f aca="false">FALSE()</f>
        <v>0</v>
      </c>
    </row>
    <row r="187" customFormat="false" ht="15" hidden="false" customHeight="true" outlineLevel="0" collapsed="false">
      <c r="A187" s="12" t="n">
        <v>41823</v>
      </c>
      <c r="B187" s="13" t="n">
        <v>93450.5336849105</v>
      </c>
      <c r="C187" s="13" t="n">
        <v>90927.0896576477</v>
      </c>
      <c r="D187" s="13" t="n">
        <v>2667</v>
      </c>
      <c r="E187" s="14" t="n">
        <v>35.0395701855682</v>
      </c>
      <c r="F187" s="14" t="n">
        <v>34.0933969469995</v>
      </c>
      <c r="G187" s="13" t="n">
        <v>2523.44402726284</v>
      </c>
      <c r="H187" s="15" t="n">
        <v>0.0270029921473879</v>
      </c>
      <c r="I187" s="15" t="n">
        <v>0.0270029921473877</v>
      </c>
      <c r="J187" s="16" t="n">
        <v>2014</v>
      </c>
      <c r="K187" s="16" t="n">
        <v>7</v>
      </c>
      <c r="L187" s="16" t="n">
        <v>27</v>
      </c>
      <c r="M187" s="16" t="s">
        <v>35</v>
      </c>
      <c r="N187" s="17" t="b">
        <f aca="false">FALSE()</f>
        <v>0</v>
      </c>
      <c r="O187" s="14" t="n">
        <v>34.313851838346</v>
      </c>
      <c r="P187" s="13" t="n">
        <v>3482.42857142857</v>
      </c>
      <c r="Q187" s="15" t="n">
        <v>0.0211494282437646</v>
      </c>
      <c r="R187" s="15" t="n">
        <v>-0.234155146244411</v>
      </c>
      <c r="S187" s="17" t="b">
        <f aca="false">FALSE()</f>
        <v>0</v>
      </c>
    </row>
    <row r="188" customFormat="false" ht="15" hidden="false" customHeight="true" outlineLevel="0" collapsed="false">
      <c r="A188" s="12" t="n">
        <v>41824</v>
      </c>
      <c r="B188" s="13" t="n">
        <v>98087.5559039407</v>
      </c>
      <c r="C188" s="13" t="n">
        <v>95423.2739872272</v>
      </c>
      <c r="D188" s="13" t="n">
        <v>2799</v>
      </c>
      <c r="E188" s="14" t="n">
        <v>35.0437856034086</v>
      </c>
      <c r="F188" s="14" t="n">
        <v>34.0919163941505</v>
      </c>
      <c r="G188" s="13" t="n">
        <v>2664.28191671352</v>
      </c>
      <c r="H188" s="15" t="n">
        <v>0.0271622826377966</v>
      </c>
      <c r="I188" s="15" t="n">
        <v>0.0271622826377967</v>
      </c>
      <c r="J188" s="16" t="n">
        <v>2014</v>
      </c>
      <c r="K188" s="16" t="n">
        <v>7</v>
      </c>
      <c r="L188" s="16" t="n">
        <v>27</v>
      </c>
      <c r="M188" s="16" t="s">
        <v>36</v>
      </c>
      <c r="N188" s="17" t="b">
        <f aca="false">FALSE()</f>
        <v>0</v>
      </c>
      <c r="O188" s="14" t="n">
        <v>34.546139747916</v>
      </c>
      <c r="P188" s="13" t="n">
        <v>3417.35714285714</v>
      </c>
      <c r="Q188" s="15" t="n">
        <v>0.0144052521967411</v>
      </c>
      <c r="R188" s="15" t="n">
        <v>-0.180946010910687</v>
      </c>
      <c r="S188" s="17" t="b">
        <f aca="false">FALSE()</f>
        <v>0</v>
      </c>
    </row>
    <row r="189" customFormat="false" ht="15" hidden="false" customHeight="true" outlineLevel="0" collapsed="false">
      <c r="A189" s="12" t="n">
        <v>41825</v>
      </c>
      <c r="B189" s="13" t="n">
        <v>117562.262905349</v>
      </c>
      <c r="C189" s="13" t="n">
        <v>114395.627627446</v>
      </c>
      <c r="D189" s="13" t="n">
        <v>3355</v>
      </c>
      <c r="E189" s="14" t="n">
        <v>35.0409129375109</v>
      </c>
      <c r="F189" s="14" t="n">
        <v>34.0970574150361</v>
      </c>
      <c r="G189" s="13" t="n">
        <v>3166.63527790291</v>
      </c>
      <c r="H189" s="15" t="n">
        <v>0.0269358142625445</v>
      </c>
      <c r="I189" s="15" t="n">
        <v>0.0269358142625446</v>
      </c>
      <c r="J189" s="16" t="n">
        <v>2014</v>
      </c>
      <c r="K189" s="16" t="n">
        <v>7</v>
      </c>
      <c r="L189" s="16" t="n">
        <v>27</v>
      </c>
      <c r="M189" s="16" t="s">
        <v>37</v>
      </c>
      <c r="N189" s="17" t="b">
        <f aca="false">TRUE()</f>
        <v>1</v>
      </c>
      <c r="O189" s="14" t="n">
        <v>34.6776719909543</v>
      </c>
      <c r="P189" s="13" t="n">
        <v>3180.21428571429</v>
      </c>
      <c r="Q189" s="15" t="n">
        <v>0.0104747788909059</v>
      </c>
      <c r="R189" s="15" t="n">
        <v>0.0549603575679985</v>
      </c>
      <c r="S189" s="17" t="b">
        <f aca="false">FALSE()</f>
        <v>0</v>
      </c>
    </row>
    <row r="190" customFormat="false" ht="15" hidden="false" customHeight="true" outlineLevel="0" collapsed="false">
      <c r="A190" s="12" t="n">
        <v>41826</v>
      </c>
      <c r="B190" s="13" t="n">
        <v>70153.0809721514</v>
      </c>
      <c r="C190" s="13" t="n">
        <v>68252.2422094887</v>
      </c>
      <c r="D190" s="13" t="n">
        <v>2002</v>
      </c>
      <c r="E190" s="14" t="n">
        <v>35.0414989870886</v>
      </c>
      <c r="F190" s="14" t="n">
        <v>34.0920290756687</v>
      </c>
      <c r="G190" s="13" t="n">
        <v>1900.83876266262</v>
      </c>
      <c r="H190" s="15" t="n">
        <v>0.0270955849168933</v>
      </c>
      <c r="I190" s="15" t="n">
        <v>0.0270955849168933</v>
      </c>
      <c r="J190" s="16" t="n">
        <v>2014</v>
      </c>
      <c r="K190" s="16" t="n">
        <v>7</v>
      </c>
      <c r="L190" s="16" t="n">
        <v>27</v>
      </c>
      <c r="M190" s="16" t="s">
        <v>38</v>
      </c>
      <c r="N190" s="17" t="b">
        <f aca="false">TRUE()</f>
        <v>1</v>
      </c>
      <c r="O190" s="14" t="n">
        <v>34.8230776538018</v>
      </c>
      <c r="P190" s="13" t="n">
        <v>2979.78571428571</v>
      </c>
      <c r="Q190" s="15" t="n">
        <v>0.00627231560226275</v>
      </c>
      <c r="R190" s="15" t="n">
        <v>-0.328139607354316</v>
      </c>
      <c r="S190" s="17" t="b">
        <f aca="false">FALSE()</f>
        <v>0</v>
      </c>
    </row>
    <row r="191" customFormat="false" ht="15" hidden="false" customHeight="true" outlineLevel="0" collapsed="false">
      <c r="A191" s="12" t="n">
        <v>41827</v>
      </c>
      <c r="B191" s="13" t="n">
        <v>68918.4152874911</v>
      </c>
      <c r="C191" s="13" t="n">
        <v>66990.8813521521</v>
      </c>
      <c r="D191" s="13" t="n">
        <v>1967</v>
      </c>
      <c r="E191" s="14" t="n">
        <v>35.0373234811851</v>
      </c>
      <c r="F191" s="14" t="n">
        <v>34.0573875709975</v>
      </c>
      <c r="G191" s="13" t="n">
        <v>1927.53393533906</v>
      </c>
      <c r="H191" s="15" t="n">
        <v>0.0279683438352204</v>
      </c>
      <c r="I191" s="15" t="n">
        <v>0.0279683438352204</v>
      </c>
      <c r="J191" s="16" t="n">
        <v>2014</v>
      </c>
      <c r="K191" s="16" t="n">
        <v>7</v>
      </c>
      <c r="L191" s="16" t="n">
        <v>28</v>
      </c>
      <c r="M191" s="16" t="s">
        <v>32</v>
      </c>
      <c r="N191" s="17" t="b">
        <f aca="false">FALSE()</f>
        <v>0</v>
      </c>
      <c r="O191" s="14" t="n">
        <v>34.9253215510835</v>
      </c>
      <c r="P191" s="13" t="n">
        <v>2836</v>
      </c>
      <c r="Q191" s="15" t="n">
        <v>0.00320689760687673</v>
      </c>
      <c r="R191" s="15" t="n">
        <v>-0.306417489421721</v>
      </c>
      <c r="S191" s="17" t="b">
        <f aca="false">FALSE()</f>
        <v>0</v>
      </c>
    </row>
    <row r="192" customFormat="false" ht="15" hidden="false" customHeight="true" outlineLevel="0" collapsed="false">
      <c r="A192" s="12" t="n">
        <v>41828</v>
      </c>
      <c r="B192" s="13" t="n">
        <v>108417.40283336</v>
      </c>
      <c r="C192" s="13" t="n">
        <v>105373.300033371</v>
      </c>
      <c r="D192" s="13" t="n">
        <v>3094</v>
      </c>
      <c r="E192" s="14" t="n">
        <v>35.0411773863477</v>
      </c>
      <c r="F192" s="14" t="n">
        <v>34.0573044710313</v>
      </c>
      <c r="G192" s="13" t="n">
        <v>3044.10279998866</v>
      </c>
      <c r="H192" s="15" t="n">
        <v>0.0280776214928107</v>
      </c>
      <c r="I192" s="15" t="n">
        <v>0.0280776214928108</v>
      </c>
      <c r="J192" s="16" t="n">
        <v>2014</v>
      </c>
      <c r="K192" s="16" t="n">
        <v>7</v>
      </c>
      <c r="L192" s="16" t="n">
        <v>28</v>
      </c>
      <c r="M192" s="16" t="s">
        <v>33</v>
      </c>
      <c r="N192" s="17" t="b">
        <f aca="false">FALSE()</f>
        <v>0</v>
      </c>
      <c r="O192" s="14" t="n">
        <v>35.0378487313188</v>
      </c>
      <c r="P192" s="13" t="n">
        <v>2681.28571428571</v>
      </c>
      <c r="Q192" s="15" t="n">
        <v>9.50016952921867E-005</v>
      </c>
      <c r="R192" s="15" t="n">
        <v>0.153924023656029</v>
      </c>
      <c r="S192" s="17" t="b">
        <f aca="false">FALSE()</f>
        <v>0</v>
      </c>
    </row>
    <row r="193" customFormat="false" ht="15" hidden="false" customHeight="true" outlineLevel="0" collapsed="false">
      <c r="A193" s="12" t="n">
        <v>41829</v>
      </c>
      <c r="B193" s="13" t="n">
        <v>81802.6082085011</v>
      </c>
      <c r="C193" s="13" t="n">
        <v>79496.4942439655</v>
      </c>
      <c r="D193" s="13" t="n">
        <v>2335</v>
      </c>
      <c r="E193" s="14" t="n">
        <v>35.033236920129</v>
      </c>
      <c r="F193" s="14" t="n">
        <v>34.0456078132615</v>
      </c>
      <c r="G193" s="13" t="n">
        <v>2306.11396453559</v>
      </c>
      <c r="H193" s="15" t="n">
        <v>0.0281912033740745</v>
      </c>
      <c r="I193" s="15" t="n">
        <v>0.0281912033740744</v>
      </c>
      <c r="J193" s="16" t="n">
        <v>2014</v>
      </c>
      <c r="K193" s="16" t="n">
        <v>7</v>
      </c>
      <c r="L193" s="16" t="n">
        <v>28</v>
      </c>
      <c r="M193" s="16" t="s">
        <v>34</v>
      </c>
      <c r="N193" s="17" t="b">
        <f aca="false">FALSE()</f>
        <v>0</v>
      </c>
      <c r="O193" s="14" t="n">
        <v>35.0375371514038</v>
      </c>
      <c r="P193" s="13" t="n">
        <v>2827.5</v>
      </c>
      <c r="Q193" s="15" t="n">
        <v>-0.00012273212173054</v>
      </c>
      <c r="R193" s="15" t="n">
        <v>-0.174182139699381</v>
      </c>
      <c r="S193" s="17" t="b">
        <f aca="false">FALSE()</f>
        <v>0</v>
      </c>
    </row>
    <row r="194" customFormat="false" ht="15" hidden="false" customHeight="true" outlineLevel="0" collapsed="false">
      <c r="A194" s="12" t="n">
        <v>41830</v>
      </c>
      <c r="B194" s="13" t="n">
        <v>103998.559733431</v>
      </c>
      <c r="C194" s="13" t="n">
        <v>101270.971050946</v>
      </c>
      <c r="D194" s="13" t="n">
        <v>2968</v>
      </c>
      <c r="E194" s="14" t="n">
        <v>35.0399460018297</v>
      </c>
      <c r="F194" s="14" t="n">
        <v>34.120947119591</v>
      </c>
      <c r="G194" s="13" t="n">
        <v>2727.58868248451</v>
      </c>
      <c r="H194" s="15" t="n">
        <v>0.0262271774674176</v>
      </c>
      <c r="I194" s="15" t="n">
        <v>0.0262271774674176</v>
      </c>
      <c r="J194" s="16" t="n">
        <v>2014</v>
      </c>
      <c r="K194" s="16" t="n">
        <v>7</v>
      </c>
      <c r="L194" s="16" t="n">
        <v>28</v>
      </c>
      <c r="M194" s="16" t="s">
        <v>35</v>
      </c>
      <c r="N194" s="17" t="b">
        <f aca="false">FALSE()</f>
        <v>0</v>
      </c>
      <c r="O194" s="14" t="n">
        <v>35.0380131760756</v>
      </c>
      <c r="P194" s="13" t="n">
        <v>2879.92857142857</v>
      </c>
      <c r="Q194" s="15" t="n">
        <v>5.51636802100174E-005</v>
      </c>
      <c r="R194" s="15" t="n">
        <v>0.0305811156030655</v>
      </c>
      <c r="S194" s="17" t="b">
        <f aca="false">FALSE()</f>
        <v>0</v>
      </c>
    </row>
    <row r="195" customFormat="false" ht="15" hidden="false" customHeight="true" outlineLevel="0" collapsed="false">
      <c r="A195" s="12" t="n">
        <v>41831</v>
      </c>
      <c r="B195" s="13" t="n">
        <v>134018.089263478</v>
      </c>
      <c r="C195" s="13" t="n">
        <v>130633.262714548</v>
      </c>
      <c r="D195" s="13" t="n">
        <v>3825</v>
      </c>
      <c r="E195" s="14" t="n">
        <v>35.0374089577719</v>
      </c>
      <c r="F195" s="14" t="n">
        <v>34.1524869841956</v>
      </c>
      <c r="G195" s="13" t="n">
        <v>3384.8265489293</v>
      </c>
      <c r="H195" s="15" t="n">
        <v>0.0252564901315283</v>
      </c>
      <c r="I195" s="15" t="n">
        <v>0.0252564901315284</v>
      </c>
      <c r="J195" s="16" t="n">
        <v>2014</v>
      </c>
      <c r="K195" s="16" t="n">
        <v>7</v>
      </c>
      <c r="L195" s="16" t="n">
        <v>28</v>
      </c>
      <c r="M195" s="16" t="s">
        <v>36</v>
      </c>
      <c r="N195" s="17" t="b">
        <f aca="false">FALSE()</f>
        <v>0</v>
      </c>
      <c r="O195" s="14" t="n">
        <v>35.0381426889333</v>
      </c>
      <c r="P195" s="13" t="n">
        <v>2978.21428571429</v>
      </c>
      <c r="Q195" s="15" t="n">
        <v>-2.09409262335869E-005</v>
      </c>
      <c r="R195" s="15" t="n">
        <v>0.284326657872647</v>
      </c>
      <c r="S195" s="17" t="b">
        <f aca="false">FALSE()</f>
        <v>0</v>
      </c>
    </row>
    <row r="196" customFormat="false" ht="15" hidden="false" customHeight="true" outlineLevel="0" collapsed="false">
      <c r="A196" s="12" t="n">
        <v>41832</v>
      </c>
      <c r="B196" s="13" t="n">
        <v>99277.2995030105</v>
      </c>
      <c r="C196" s="13" t="n">
        <v>96688.4978130175</v>
      </c>
      <c r="D196" s="13" t="n">
        <v>2833</v>
      </c>
      <c r="E196" s="14" t="n">
        <v>35.0431696092519</v>
      </c>
      <c r="F196" s="14" t="n">
        <v>34.1293673889931</v>
      </c>
      <c r="G196" s="13" t="n">
        <v>2588.80168999299</v>
      </c>
      <c r="H196" s="15" t="n">
        <v>0.026076471690434</v>
      </c>
      <c r="I196" s="15" t="n">
        <v>0.0260764716904339</v>
      </c>
      <c r="J196" s="16" t="n">
        <v>2014</v>
      </c>
      <c r="K196" s="16" t="n">
        <v>7</v>
      </c>
      <c r="L196" s="16" t="n">
        <v>28</v>
      </c>
      <c r="M196" s="16" t="s">
        <v>37</v>
      </c>
      <c r="N196" s="17" t="b">
        <f aca="false">TRUE()</f>
        <v>1</v>
      </c>
      <c r="O196" s="14" t="n">
        <v>35.0378459146293</v>
      </c>
      <c r="P196" s="13" t="n">
        <v>2982.92857142857</v>
      </c>
      <c r="Q196" s="15" t="n">
        <v>0.00015194126475504</v>
      </c>
      <c r="R196" s="15" t="n">
        <v>-0.0502622063647902</v>
      </c>
      <c r="S196" s="17" t="b">
        <f aca="false">FALSE()</f>
        <v>0</v>
      </c>
    </row>
    <row r="197" customFormat="false" ht="15" hidden="false" customHeight="true" outlineLevel="0" collapsed="false">
      <c r="A197" s="12" t="n">
        <v>41833</v>
      </c>
      <c r="B197" s="13" t="n">
        <v>49705.2319999207</v>
      </c>
      <c r="C197" s="13" t="n">
        <v>48370.3089940063</v>
      </c>
      <c r="D197" s="13" t="n">
        <v>1419</v>
      </c>
      <c r="E197" s="14" t="n">
        <v>35.0283523607616</v>
      </c>
      <c r="F197" s="14" t="n">
        <v>34.0876032374956</v>
      </c>
      <c r="G197" s="13" t="n">
        <v>1334.92300591447</v>
      </c>
      <c r="H197" s="15" t="n">
        <v>0.02685679056717</v>
      </c>
      <c r="I197" s="15" t="n">
        <v>0.02685679056717</v>
      </c>
      <c r="J197" s="16" t="n">
        <v>2014</v>
      </c>
      <c r="K197" s="16" t="n">
        <v>7</v>
      </c>
      <c r="L197" s="16" t="n">
        <v>28</v>
      </c>
      <c r="M197" s="16" t="s">
        <v>38</v>
      </c>
      <c r="N197" s="17" t="b">
        <f aca="false">TRUE()</f>
        <v>1</v>
      </c>
      <c r="O197" s="14" t="n">
        <v>35.0383771267551</v>
      </c>
      <c r="P197" s="13" t="n">
        <v>2887.28571428571</v>
      </c>
      <c r="Q197" s="15" t="n">
        <v>-0.000286108170970586</v>
      </c>
      <c r="R197" s="15" t="n">
        <v>-0.508534956211964</v>
      </c>
      <c r="S197" s="17" t="b">
        <f aca="false">FALSE()</f>
        <v>0</v>
      </c>
    </row>
    <row r="198" customFormat="false" ht="15" hidden="false" customHeight="true" outlineLevel="0" collapsed="false">
      <c r="A198" s="12" t="n">
        <v>41834</v>
      </c>
      <c r="B198" s="13" t="n">
        <v>75384.5745507313</v>
      </c>
      <c r="C198" s="13" t="n">
        <v>73393.4465936689</v>
      </c>
      <c r="D198" s="13" t="n">
        <v>2151</v>
      </c>
      <c r="E198" s="14" t="n">
        <v>35.0462922132642</v>
      </c>
      <c r="F198" s="14" t="n">
        <v>34.1206167334584</v>
      </c>
      <c r="G198" s="13" t="n">
        <v>1991.12795706243</v>
      </c>
      <c r="H198" s="15" t="n">
        <v>0.0264129361865997</v>
      </c>
      <c r="I198" s="15" t="n">
        <v>0.0264129361865997</v>
      </c>
      <c r="J198" s="16" t="n">
        <v>2014</v>
      </c>
      <c r="K198" s="16" t="n">
        <v>7</v>
      </c>
      <c r="L198" s="16" t="n">
        <v>29</v>
      </c>
      <c r="M198" s="16" t="s">
        <v>32</v>
      </c>
      <c r="N198" s="17" t="b">
        <f aca="false">FALSE()</f>
        <v>0</v>
      </c>
      <c r="O198" s="14" t="n">
        <v>35.0382422900206</v>
      </c>
      <c r="P198" s="13" t="n">
        <v>2862.07142857143</v>
      </c>
      <c r="Q198" s="15" t="n">
        <v>0.000229746777165266</v>
      </c>
      <c r="R198" s="15" t="n">
        <v>-0.248446429908408</v>
      </c>
      <c r="S198" s="17" t="b">
        <f aca="false">FALSE()</f>
        <v>0</v>
      </c>
    </row>
    <row r="199" customFormat="false" ht="15" hidden="false" customHeight="true" outlineLevel="0" collapsed="false">
      <c r="A199" s="12" t="n">
        <v>41835</v>
      </c>
      <c r="B199" s="13" t="n">
        <v>110288.234174191</v>
      </c>
      <c r="C199" s="13" t="n">
        <v>107437.380951613</v>
      </c>
      <c r="D199" s="13" t="n">
        <v>3148</v>
      </c>
      <c r="E199" s="14" t="n">
        <v>35.0343818850669</v>
      </c>
      <c r="F199" s="14" t="n">
        <v>34.1287741269418</v>
      </c>
      <c r="G199" s="13" t="n">
        <v>2850.85322257782</v>
      </c>
      <c r="H199" s="15" t="n">
        <v>0.0258491147666318</v>
      </c>
      <c r="I199" s="15" t="n">
        <v>0.025849114766632</v>
      </c>
      <c r="J199" s="16" t="n">
        <v>2014</v>
      </c>
      <c r="K199" s="16" t="n">
        <v>7</v>
      </c>
      <c r="L199" s="16" t="n">
        <v>29</v>
      </c>
      <c r="M199" s="16" t="s">
        <v>33</v>
      </c>
      <c r="N199" s="17" t="b">
        <f aca="false">FALSE()</f>
        <v>0</v>
      </c>
      <c r="O199" s="14" t="n">
        <v>35.0388797419706</v>
      </c>
      <c r="P199" s="13" t="n">
        <v>2824.85714285714</v>
      </c>
      <c r="Q199" s="15" t="n">
        <v>-0.000128367600128522</v>
      </c>
      <c r="R199" s="15" t="n">
        <v>0.114392636795793</v>
      </c>
      <c r="S199" s="17" t="b">
        <f aca="false">FALSE()</f>
        <v>0</v>
      </c>
    </row>
    <row r="200" customFormat="false" ht="15" hidden="false" customHeight="true" outlineLevel="0" collapsed="false">
      <c r="A200" s="12" t="n">
        <v>41836</v>
      </c>
      <c r="B200" s="13" t="n">
        <v>156536.686205421</v>
      </c>
      <c r="C200" s="13" t="n">
        <v>164641.353987485</v>
      </c>
      <c r="D200" s="13" t="n">
        <v>4825</v>
      </c>
      <c r="E200" s="14" t="n">
        <v>32.4428365192583</v>
      </c>
      <c r="F200" s="14" t="n">
        <v>34.122560411914</v>
      </c>
      <c r="G200" s="13" t="n">
        <v>-8104.66778206415</v>
      </c>
      <c r="H200" s="15" t="n">
        <v>-0.0517748776885982</v>
      </c>
      <c r="I200" s="15" t="n">
        <v>-0.0517748776885981</v>
      </c>
      <c r="J200" s="16" t="n">
        <v>2014</v>
      </c>
      <c r="K200" s="16" t="n">
        <v>7</v>
      </c>
      <c r="L200" s="16" t="n">
        <v>29</v>
      </c>
      <c r="M200" s="16" t="s">
        <v>34</v>
      </c>
      <c r="N200" s="17" t="b">
        <f aca="false">FALSE()</f>
        <v>0</v>
      </c>
      <c r="O200" s="14" t="n">
        <v>35.0388630018646</v>
      </c>
      <c r="P200" s="13" t="n">
        <v>2682.35714285714</v>
      </c>
      <c r="Q200" s="15" t="n">
        <v>-0.0740899178854112</v>
      </c>
      <c r="R200" s="15" t="n">
        <v>0.798791041993982</v>
      </c>
      <c r="S200" s="17" t="b">
        <f aca="false">TRUE()</f>
        <v>1</v>
      </c>
    </row>
    <row r="201" customFormat="false" ht="15" hidden="false" customHeight="true" outlineLevel="0" collapsed="false">
      <c r="A201" s="12" t="n">
        <v>41837</v>
      </c>
      <c r="B201" s="13" t="n">
        <v>80823.0591979212</v>
      </c>
      <c r="C201" s="13" t="n">
        <v>78844.8605003374</v>
      </c>
      <c r="D201" s="13" t="n">
        <v>2307</v>
      </c>
      <c r="E201" s="14" t="n">
        <v>35.0338358031735</v>
      </c>
      <c r="F201" s="14" t="n">
        <v>34.1763591245503</v>
      </c>
      <c r="G201" s="13" t="n">
        <v>1978.19869758378</v>
      </c>
      <c r="H201" s="15" t="n">
        <v>0.0244756721313842</v>
      </c>
      <c r="I201" s="15" t="n">
        <v>0.0244756721313844</v>
      </c>
      <c r="J201" s="16" t="n">
        <v>2014</v>
      </c>
      <c r="K201" s="16" t="n">
        <v>7</v>
      </c>
      <c r="L201" s="16" t="n">
        <v>29</v>
      </c>
      <c r="M201" s="16" t="s">
        <v>35</v>
      </c>
      <c r="N201" s="17" t="b">
        <f aca="false">FALSE()</f>
        <v>0</v>
      </c>
      <c r="O201" s="14" t="n">
        <v>34.8535637891745</v>
      </c>
      <c r="P201" s="13" t="n">
        <v>2813.42857142857</v>
      </c>
      <c r="Q201" s="15" t="n">
        <v>0.0051722691857126</v>
      </c>
      <c r="R201" s="15" t="n">
        <v>-0.180004062150909</v>
      </c>
      <c r="S201" s="17" t="b">
        <f aca="false">FALSE()</f>
        <v>0</v>
      </c>
    </row>
    <row r="202" customFormat="false" ht="15" hidden="false" customHeight="true" outlineLevel="0" collapsed="false">
      <c r="A202" s="12" t="n">
        <v>41838</v>
      </c>
      <c r="B202" s="13" t="n">
        <v>124615.685608409</v>
      </c>
      <c r="C202" s="13" t="n">
        <v>121612.178924556</v>
      </c>
      <c r="D202" s="13" t="n">
        <v>3557</v>
      </c>
      <c r="E202" s="14" t="n">
        <v>35.033929043691</v>
      </c>
      <c r="F202" s="14" t="n">
        <v>34.189535823603</v>
      </c>
      <c r="G202" s="13" t="n">
        <v>3003.50668385284</v>
      </c>
      <c r="H202" s="15" t="n">
        <v>0.0241021559139115</v>
      </c>
      <c r="I202" s="15" t="n">
        <v>0.0241021559139115</v>
      </c>
      <c r="J202" s="16" t="n">
        <v>2014</v>
      </c>
      <c r="K202" s="16" t="n">
        <v>7</v>
      </c>
      <c r="L202" s="16" t="n">
        <v>29</v>
      </c>
      <c r="M202" s="16" t="s">
        <v>36</v>
      </c>
      <c r="N202" s="17" t="b">
        <f aca="false">FALSE()</f>
        <v>0</v>
      </c>
      <c r="O202" s="14" t="n">
        <v>34.853154190432</v>
      </c>
      <c r="P202" s="13" t="n">
        <v>2787.71428571429</v>
      </c>
      <c r="Q202" s="15" t="n">
        <v>0.0051867573382674</v>
      </c>
      <c r="R202" s="15" t="n">
        <v>0.275955724095521</v>
      </c>
      <c r="S202" s="17" t="b">
        <f aca="false">FALSE()</f>
        <v>0</v>
      </c>
    </row>
    <row r="203" customFormat="false" ht="15" hidden="false" customHeight="true" outlineLevel="0" collapsed="false">
      <c r="A203" s="12" t="n">
        <v>41839</v>
      </c>
      <c r="B203" s="13" t="n">
        <v>242758.950528376</v>
      </c>
      <c r="C203" s="13" t="n">
        <v>255779.854460493</v>
      </c>
      <c r="D203" s="13" t="n">
        <v>7485</v>
      </c>
      <c r="E203" s="14" t="n">
        <v>32.4327255214931</v>
      </c>
      <c r="F203" s="14" t="n">
        <v>34.1723252452229</v>
      </c>
      <c r="G203" s="13" t="n">
        <v>-13020.9039321175</v>
      </c>
      <c r="H203" s="15" t="n">
        <v>-0.0536371734338811</v>
      </c>
      <c r="I203" s="15" t="n">
        <v>-0.0536371734338812</v>
      </c>
      <c r="J203" s="16" t="n">
        <v>2014</v>
      </c>
      <c r="K203" s="16" t="n">
        <v>7</v>
      </c>
      <c r="L203" s="16" t="n">
        <v>29</v>
      </c>
      <c r="M203" s="16" t="s">
        <v>37</v>
      </c>
      <c r="N203" s="17" t="b">
        <f aca="false">TRUE()</f>
        <v>1</v>
      </c>
      <c r="O203" s="14" t="n">
        <v>34.8524501504522</v>
      </c>
      <c r="P203" s="13" t="n">
        <v>2841.85714285714</v>
      </c>
      <c r="Q203" s="15" t="n">
        <v>-0.069427676347388</v>
      </c>
      <c r="R203" s="15" t="n">
        <v>1.63384104961544</v>
      </c>
      <c r="S203" s="17" t="b">
        <f aca="false">TRUE()</f>
        <v>1</v>
      </c>
    </row>
    <row r="204" customFormat="false" ht="15" hidden="false" customHeight="true" outlineLevel="0" collapsed="false">
      <c r="A204" s="12" t="n">
        <v>41840</v>
      </c>
      <c r="B204" s="13" t="n">
        <v>85078.2436894361</v>
      </c>
      <c r="C204" s="13" t="n">
        <v>83020.5141254625</v>
      </c>
      <c r="D204" s="13" t="n">
        <v>2428</v>
      </c>
      <c r="E204" s="14" t="n">
        <v>35.0404628045453</v>
      </c>
      <c r="F204" s="14" t="n">
        <v>34.1929629841279</v>
      </c>
      <c r="G204" s="13" t="n">
        <v>2057.72956397361</v>
      </c>
      <c r="H204" s="15" t="n">
        <v>0.0241863192602448</v>
      </c>
      <c r="I204" s="15" t="n">
        <v>0.0241863192602449</v>
      </c>
      <c r="J204" s="16" t="n">
        <v>2014</v>
      </c>
      <c r="K204" s="16" t="n">
        <v>7</v>
      </c>
      <c r="L204" s="16" t="n">
        <v>29</v>
      </c>
      <c r="M204" s="16" t="s">
        <v>38</v>
      </c>
      <c r="N204" s="17" t="b">
        <f aca="false">TRUE()</f>
        <v>1</v>
      </c>
      <c r="O204" s="14" t="n">
        <v>34.666151049308</v>
      </c>
      <c r="P204" s="13" t="n">
        <v>3136.85714285714</v>
      </c>
      <c r="Q204" s="15" t="n">
        <v>0.010797615077166</v>
      </c>
      <c r="R204" s="15" t="n">
        <v>-0.225976864923946</v>
      </c>
      <c r="S204" s="17" t="b">
        <f aca="false">FALSE()</f>
        <v>0</v>
      </c>
    </row>
    <row r="205" customFormat="false" ht="15" hidden="false" customHeight="true" outlineLevel="0" collapsed="false">
      <c r="A205" s="12" t="n">
        <v>41841</v>
      </c>
      <c r="B205" s="13" t="n">
        <v>86738.0674272609</v>
      </c>
      <c r="C205" s="13" t="n">
        <v>84643.2718272155</v>
      </c>
      <c r="D205" s="13" t="n">
        <v>2475</v>
      </c>
      <c r="E205" s="14" t="n">
        <v>35.0456838089943</v>
      </c>
      <c r="F205" s="14" t="n">
        <v>34.1993017483699</v>
      </c>
      <c r="G205" s="13" t="n">
        <v>2094.79560004537</v>
      </c>
      <c r="H205" s="15" t="n">
        <v>0.0241508216885519</v>
      </c>
      <c r="I205" s="15" t="n">
        <v>0.0241508216885517</v>
      </c>
      <c r="J205" s="16" t="n">
        <v>2014</v>
      </c>
      <c r="K205" s="16" t="n">
        <v>7</v>
      </c>
      <c r="L205" s="16" t="n">
        <v>30</v>
      </c>
      <c r="M205" s="16" t="s">
        <v>32</v>
      </c>
      <c r="N205" s="17" t="b">
        <f aca="false">FALSE()</f>
        <v>0</v>
      </c>
      <c r="O205" s="14" t="n">
        <v>34.6660770362692</v>
      </c>
      <c r="P205" s="13" t="n">
        <v>3167.28571428571</v>
      </c>
      <c r="Q205" s="15" t="n">
        <v>0.0109503816173923</v>
      </c>
      <c r="R205" s="15" t="n">
        <v>-0.218573812638131</v>
      </c>
      <c r="S205" s="17" t="b">
        <f aca="false">FALSE()</f>
        <v>0</v>
      </c>
    </row>
    <row r="206" customFormat="false" ht="15" hidden="false" customHeight="true" outlineLevel="0" collapsed="false">
      <c r="A206" s="12" t="n">
        <v>41842</v>
      </c>
      <c r="B206" s="13" t="n">
        <v>56673.6158116209</v>
      </c>
      <c r="C206" s="13" t="n">
        <v>55278.7078292306</v>
      </c>
      <c r="D206" s="13" t="n">
        <v>1618</v>
      </c>
      <c r="E206" s="14" t="n">
        <v>35.0269566202848</v>
      </c>
      <c r="F206" s="14" t="n">
        <v>34.1648379661499</v>
      </c>
      <c r="G206" s="13" t="n">
        <v>1394.90798239027</v>
      </c>
      <c r="H206" s="15" t="n">
        <v>0.0246130048773816</v>
      </c>
      <c r="I206" s="15" t="n">
        <v>0.0246130048773816</v>
      </c>
      <c r="J206" s="16" t="n">
        <v>2014</v>
      </c>
      <c r="K206" s="16" t="n">
        <v>7</v>
      </c>
      <c r="L206" s="16" t="n">
        <v>30</v>
      </c>
      <c r="M206" s="16" t="s">
        <v>33</v>
      </c>
      <c r="N206" s="17" t="b">
        <f aca="false">FALSE()</f>
        <v>0</v>
      </c>
      <c r="O206" s="14" t="n">
        <v>34.6666742025413</v>
      </c>
      <c r="P206" s="13" t="n">
        <v>3203.57142857143</v>
      </c>
      <c r="Q206" s="15" t="n">
        <v>0.0103927597911055</v>
      </c>
      <c r="R206" s="15" t="n">
        <v>-0.494938684503902</v>
      </c>
      <c r="S206" s="17" t="b">
        <f aca="false">FALSE()</f>
        <v>0</v>
      </c>
    </row>
    <row r="207" customFormat="false" ht="15" hidden="false" customHeight="true" outlineLevel="0" collapsed="false">
      <c r="A207" s="12" t="n">
        <v>41843</v>
      </c>
      <c r="B207" s="13" t="n">
        <v>165742.170464234</v>
      </c>
      <c r="C207" s="13" t="n">
        <v>173725.357520623</v>
      </c>
      <c r="D207" s="13" t="n">
        <v>5106</v>
      </c>
      <c r="E207" s="14" t="n">
        <v>32.4602762366301</v>
      </c>
      <c r="F207" s="14" t="n">
        <v>34.023767630361</v>
      </c>
      <c r="G207" s="13" t="n">
        <v>-7983.18705638949</v>
      </c>
      <c r="H207" s="15" t="n">
        <v>-0.0481662997053139</v>
      </c>
      <c r="I207" s="15" t="n">
        <v>-0.0481662997053139</v>
      </c>
      <c r="J207" s="16" t="n">
        <v>2014</v>
      </c>
      <c r="K207" s="16" t="n">
        <v>7</v>
      </c>
      <c r="L207" s="16" t="n">
        <v>30</v>
      </c>
      <c r="M207" s="16" t="s">
        <v>34</v>
      </c>
      <c r="N207" s="17" t="b">
        <f aca="false">FALSE()</f>
        <v>0</v>
      </c>
      <c r="O207" s="14" t="n">
        <v>34.6656584335368</v>
      </c>
      <c r="P207" s="13" t="n">
        <v>3098.14285714286</v>
      </c>
      <c r="Q207" s="15" t="n">
        <v>-0.0636186444037971</v>
      </c>
      <c r="R207" s="15" t="n">
        <v>0.648084105685434</v>
      </c>
      <c r="S207" s="17" t="b">
        <f aca="false">TRUE()</f>
        <v>1</v>
      </c>
    </row>
    <row r="208" customFormat="false" ht="15" hidden="false" customHeight="true" outlineLevel="0" collapsed="false">
      <c r="A208" s="12" t="n">
        <v>41844</v>
      </c>
      <c r="B208" s="13" t="n">
        <v>95618.2488037109</v>
      </c>
      <c r="C208" s="13" t="n">
        <v>92416.9038382375</v>
      </c>
      <c r="D208" s="13" t="n">
        <v>2729</v>
      </c>
      <c r="E208" s="14" t="n">
        <v>35.037833933203</v>
      </c>
      <c r="F208" s="14" t="n">
        <v>33.8647503987679</v>
      </c>
      <c r="G208" s="13" t="n">
        <v>3201.34496547337</v>
      </c>
      <c r="H208" s="15" t="n">
        <v>0.0334804810329169</v>
      </c>
      <c r="I208" s="15" t="n">
        <v>0.0334804810329169</v>
      </c>
      <c r="J208" s="16" t="n">
        <v>2014</v>
      </c>
      <c r="K208" s="16" t="n">
        <v>7</v>
      </c>
      <c r="L208" s="16" t="n">
        <v>30</v>
      </c>
      <c r="M208" s="16" t="s">
        <v>35</v>
      </c>
      <c r="N208" s="17" t="b">
        <f aca="false">FALSE()</f>
        <v>0</v>
      </c>
      <c r="O208" s="14" t="n">
        <v>34.4818755275726</v>
      </c>
      <c r="P208" s="13" t="n">
        <v>3296.07142857143</v>
      </c>
      <c r="Q208" s="15" t="n">
        <v>0.0161232066737722</v>
      </c>
      <c r="R208" s="15" t="n">
        <v>-0.172044641889696</v>
      </c>
      <c r="S208" s="17" t="b">
        <f aca="false">FALSE()</f>
        <v>0</v>
      </c>
    </row>
    <row r="209" customFormat="false" ht="15" hidden="false" customHeight="true" outlineLevel="0" collapsed="false">
      <c r="A209" s="12" t="n">
        <v>41845</v>
      </c>
      <c r="B209" s="13" t="n">
        <v>515698.795766175</v>
      </c>
      <c r="C209" s="13" t="n">
        <v>538260.271803907</v>
      </c>
      <c r="D209" s="13" t="n">
        <v>15897</v>
      </c>
      <c r="E209" s="14" t="n">
        <v>32.4400072822655</v>
      </c>
      <c r="F209" s="14" t="n">
        <v>33.8592358183246</v>
      </c>
      <c r="G209" s="13" t="n">
        <v>-22561.4760377316</v>
      </c>
      <c r="H209" s="15" t="n">
        <v>-0.0437493285285104</v>
      </c>
      <c r="I209" s="15" t="n">
        <v>-0.0437493285285103</v>
      </c>
      <c r="J209" s="16" t="n">
        <v>2014</v>
      </c>
      <c r="K209" s="16" t="n">
        <v>7</v>
      </c>
      <c r="L209" s="16" t="n">
        <v>30</v>
      </c>
      <c r="M209" s="16" t="s">
        <v>36</v>
      </c>
      <c r="N209" s="17" t="b">
        <f aca="false">FALSE()</f>
        <v>0</v>
      </c>
      <c r="O209" s="14" t="n">
        <v>34.4817246655278</v>
      </c>
      <c r="P209" s="13" t="n">
        <v>3279</v>
      </c>
      <c r="Q209" s="15" t="n">
        <v>-0.0592115795560383</v>
      </c>
      <c r="R209" s="15" t="n">
        <v>3.84812442817932</v>
      </c>
      <c r="S209" s="17" t="b">
        <f aca="false">TRUE()</f>
        <v>1</v>
      </c>
    </row>
    <row r="210" customFormat="false" ht="15" hidden="false" customHeight="true" outlineLevel="0" collapsed="false">
      <c r="A210" s="12" t="n">
        <v>41846</v>
      </c>
      <c r="B210" s="13" t="n">
        <v>562590.366547841</v>
      </c>
      <c r="C210" s="13" t="n">
        <v>586670.514084788</v>
      </c>
      <c r="D210" s="13" t="n">
        <v>17343</v>
      </c>
      <c r="E210" s="14" t="n">
        <v>32.4390455254478</v>
      </c>
      <c r="F210" s="14" t="n">
        <v>33.8275104702063</v>
      </c>
      <c r="G210" s="13" t="n">
        <v>-24080.1475369474</v>
      </c>
      <c r="H210" s="15" t="n">
        <v>-0.0428022749211076</v>
      </c>
      <c r="I210" s="15" t="n">
        <v>-0.0428022749211078</v>
      </c>
      <c r="J210" s="16" t="n">
        <v>2014</v>
      </c>
      <c r="K210" s="16" t="n">
        <v>7</v>
      </c>
      <c r="L210" s="16" t="n">
        <v>30</v>
      </c>
      <c r="M210" s="16" t="s">
        <v>37</v>
      </c>
      <c r="N210" s="17" t="b">
        <f aca="false">TRUE()</f>
        <v>1</v>
      </c>
      <c r="O210" s="14" t="n">
        <v>34.2961959744202</v>
      </c>
      <c r="P210" s="13" t="n">
        <v>4141.28571428572</v>
      </c>
      <c r="Q210" s="15" t="n">
        <v>-0.0541503334759817</v>
      </c>
      <c r="R210" s="15" t="n">
        <v>3.18782986650109</v>
      </c>
      <c r="S210" s="17" t="b">
        <f aca="false">TRUE()</f>
        <v>1</v>
      </c>
    </row>
    <row r="211" customFormat="false" ht="15" hidden="false" customHeight="true" outlineLevel="0" collapsed="false">
      <c r="A211" s="12" t="n">
        <v>41847</v>
      </c>
      <c r="B211" s="13" t="n">
        <v>266305.925889973</v>
      </c>
      <c r="C211" s="13" t="n">
        <v>277238.01036148</v>
      </c>
      <c r="D211" s="13" t="n">
        <v>8207</v>
      </c>
      <c r="E211" s="14" t="n">
        <v>32.4486323735803</v>
      </c>
      <c r="F211" s="14" t="n">
        <v>33.7806762960253</v>
      </c>
      <c r="G211" s="13" t="n">
        <v>-10932.0844715066</v>
      </c>
      <c r="H211" s="15" t="n">
        <v>-0.0410508494505799</v>
      </c>
      <c r="I211" s="15" t="n">
        <v>-0.04105084945058</v>
      </c>
      <c r="J211" s="16" t="n">
        <v>2014</v>
      </c>
      <c r="K211" s="16" t="n">
        <v>7</v>
      </c>
      <c r="L211" s="16" t="n">
        <v>30</v>
      </c>
      <c r="M211" s="16" t="s">
        <v>38</v>
      </c>
      <c r="N211" s="17" t="b">
        <f aca="false">TRUE()</f>
        <v>1</v>
      </c>
      <c r="O211" s="14" t="n">
        <v>34.1101871112914</v>
      </c>
      <c r="P211" s="13" t="n">
        <v>5177.71428571429</v>
      </c>
      <c r="Q211" s="15" t="n">
        <v>-0.0487113932353979</v>
      </c>
      <c r="R211" s="15" t="n">
        <v>0.585062355148439</v>
      </c>
      <c r="S211" s="17" t="b">
        <f aca="false">FALSE()</f>
        <v>0</v>
      </c>
    </row>
    <row r="212" customFormat="false" ht="15" hidden="false" customHeight="true" outlineLevel="0" collapsed="false">
      <c r="A212" s="12" t="n">
        <v>41848</v>
      </c>
      <c r="B212" s="13" t="n">
        <v>292634.745692819</v>
      </c>
      <c r="C212" s="13" t="n">
        <v>304508.379030808</v>
      </c>
      <c r="D212" s="13" t="n">
        <v>9018</v>
      </c>
      <c r="E212" s="14" t="n">
        <v>32.4500716004457</v>
      </c>
      <c r="F212" s="14" t="n">
        <v>33.7667308750064</v>
      </c>
      <c r="G212" s="13" t="n">
        <v>-11873.6333379886</v>
      </c>
      <c r="H212" s="15" t="n">
        <v>-0.0405749266372231</v>
      </c>
      <c r="I212" s="15" t="n">
        <v>-0.0405749266372231</v>
      </c>
      <c r="J212" s="16" t="n">
        <v>2014</v>
      </c>
      <c r="K212" s="16" t="n">
        <v>7</v>
      </c>
      <c r="L212" s="16" t="n">
        <v>31</v>
      </c>
      <c r="M212" s="16" t="s">
        <v>32</v>
      </c>
      <c r="N212" s="17" t="b">
        <f aca="false">FALSE()</f>
        <v>0</v>
      </c>
      <c r="O212" s="14" t="n">
        <v>33.9259213979213</v>
      </c>
      <c r="P212" s="13" t="n">
        <v>5662.57142857143</v>
      </c>
      <c r="Q212" s="15" t="n">
        <v>-0.0435021286574697</v>
      </c>
      <c r="R212" s="15" t="n">
        <v>0.592562692365912</v>
      </c>
      <c r="S212" s="17" t="b">
        <f aca="false">FALSE()</f>
        <v>0</v>
      </c>
    </row>
    <row r="213" customFormat="false" ht="15" hidden="false" customHeight="true" outlineLevel="0" collapsed="false">
      <c r="A213" s="12" t="n">
        <v>41849</v>
      </c>
      <c r="B213" s="13" t="n">
        <v>212360.993077952</v>
      </c>
      <c r="C213" s="13" t="n">
        <v>221017.073099767</v>
      </c>
      <c r="D213" s="13" t="n">
        <v>6548</v>
      </c>
      <c r="E213" s="14" t="n">
        <v>32.4314283869811</v>
      </c>
      <c r="F213" s="14" t="n">
        <v>33.753370968199</v>
      </c>
      <c r="G213" s="13" t="n">
        <v>-8656.08002181468</v>
      </c>
      <c r="H213" s="15" t="n">
        <v>-0.0407611581409268</v>
      </c>
      <c r="I213" s="15" t="n">
        <v>-0.0407611581409267</v>
      </c>
      <c r="J213" s="16" t="n">
        <v>2014</v>
      </c>
      <c r="K213" s="16" t="n">
        <v>7</v>
      </c>
      <c r="L213" s="16" t="n">
        <v>31</v>
      </c>
      <c r="M213" s="16" t="s">
        <v>33</v>
      </c>
      <c r="N213" s="17" t="b">
        <f aca="false">FALSE()</f>
        <v>0</v>
      </c>
      <c r="O213" s="14" t="n">
        <v>33.7404770684343</v>
      </c>
      <c r="P213" s="13" t="n">
        <v>6153.07142857143</v>
      </c>
      <c r="Q213" s="15" t="n">
        <v>-0.0387975747585928</v>
      </c>
      <c r="R213" s="15" t="n">
        <v>0.0641839731609069</v>
      </c>
      <c r="S213" s="17" t="b">
        <f aca="false">FALSE()</f>
        <v>0</v>
      </c>
    </row>
    <row r="214" customFormat="false" ht="15" hidden="false" customHeight="true" outlineLevel="0" collapsed="false">
      <c r="A214" s="12" t="n">
        <v>41850</v>
      </c>
      <c r="B214" s="13" t="n">
        <v>198019.332091536</v>
      </c>
      <c r="C214" s="13" t="n">
        <v>205903.824945208</v>
      </c>
      <c r="D214" s="13" t="n">
        <v>6102</v>
      </c>
      <c r="E214" s="14" t="n">
        <v>32.4515457377148</v>
      </c>
      <c r="F214" s="14" t="n">
        <v>33.7436619051471</v>
      </c>
      <c r="G214" s="13" t="n">
        <v>-7884.49285367181</v>
      </c>
      <c r="H214" s="15" t="n">
        <v>-0.0398167833937908</v>
      </c>
      <c r="I214" s="15" t="n">
        <v>-0.0398167833937907</v>
      </c>
      <c r="J214" s="16" t="n">
        <v>2014</v>
      </c>
      <c r="K214" s="16" t="n">
        <v>7</v>
      </c>
      <c r="L214" s="16" t="n">
        <v>31</v>
      </c>
      <c r="M214" s="16" t="s">
        <v>34</v>
      </c>
      <c r="N214" s="17" t="b">
        <f aca="false">FALSE()</f>
        <v>0</v>
      </c>
      <c r="O214" s="14" t="n">
        <v>33.554551818571</v>
      </c>
      <c r="P214" s="13" t="n">
        <v>6395.92857142857</v>
      </c>
      <c r="Q214" s="15" t="n">
        <v>-0.0328720254354783</v>
      </c>
      <c r="R214" s="15" t="n">
        <v>-0.0459555744167607</v>
      </c>
      <c r="S214" s="17" t="b">
        <f aca="false">FALSE()</f>
        <v>0</v>
      </c>
    </row>
    <row r="215" customFormat="false" ht="15" hidden="false" customHeight="true" outlineLevel="0" collapsed="false">
      <c r="A215" s="12" t="n">
        <v>41851</v>
      </c>
      <c r="B215" s="13" t="n">
        <v>295508.327294266</v>
      </c>
      <c r="C215" s="13" t="n">
        <v>307222.395421688</v>
      </c>
      <c r="D215" s="13" t="n">
        <v>9108</v>
      </c>
      <c r="E215" s="14" t="n">
        <v>32.4449195536085</v>
      </c>
      <c r="F215" s="14" t="n">
        <v>33.7310491240325</v>
      </c>
      <c r="G215" s="13" t="n">
        <v>-11714.0681274217</v>
      </c>
      <c r="H215" s="15" t="n">
        <v>-0.0396403994252145</v>
      </c>
      <c r="I215" s="15" t="n">
        <v>-0.0396403994252146</v>
      </c>
      <c r="J215" s="16" t="n">
        <v>2014</v>
      </c>
      <c r="K215" s="16" t="n">
        <v>7</v>
      </c>
      <c r="L215" s="16" t="n">
        <v>31</v>
      </c>
      <c r="M215" s="16" t="s">
        <v>35</v>
      </c>
      <c r="N215" s="17" t="b">
        <f aca="false">FALSE()</f>
        <v>0</v>
      </c>
      <c r="O215" s="14" t="n">
        <v>33.5551739056036</v>
      </c>
      <c r="P215" s="13" t="n">
        <v>6487.14285714286</v>
      </c>
      <c r="Q215" s="15" t="n">
        <v>-0.0330874265506263</v>
      </c>
      <c r="R215" s="15" t="n">
        <v>0.404007927769214</v>
      </c>
      <c r="S215" s="17" t="b">
        <f aca="false">FALSE()</f>
        <v>0</v>
      </c>
    </row>
    <row r="216" customFormat="false" ht="15" hidden="false" customHeight="true" outlineLevel="0" collapsed="false">
      <c r="A216" s="12" t="n">
        <v>41852</v>
      </c>
      <c r="B216" s="13" t="n">
        <v>611894.67318095</v>
      </c>
      <c r="C216" s="13" t="n">
        <v>636341.315926196</v>
      </c>
      <c r="D216" s="13" t="n">
        <v>18867</v>
      </c>
      <c r="E216" s="14" t="n">
        <v>32.4320068469258</v>
      </c>
      <c r="F216" s="14" t="n">
        <v>33.7277424034662</v>
      </c>
      <c r="G216" s="13" t="n">
        <v>-24446.6427452465</v>
      </c>
      <c r="H216" s="15" t="n">
        <v>-0.0399523705904483</v>
      </c>
      <c r="I216" s="15" t="n">
        <v>-0.0399523705904483</v>
      </c>
      <c r="J216" s="16" t="n">
        <v>2014</v>
      </c>
      <c r="K216" s="16" t="n">
        <v>8</v>
      </c>
      <c r="L216" s="16" t="n">
        <v>31</v>
      </c>
      <c r="M216" s="16" t="s">
        <v>36</v>
      </c>
      <c r="N216" s="17" t="b">
        <f aca="false">FALSE()</f>
        <v>0</v>
      </c>
      <c r="O216" s="14" t="n">
        <v>33.370251316349</v>
      </c>
      <c r="P216" s="13" t="n">
        <v>6972.92857142857</v>
      </c>
      <c r="Q216" s="15" t="n">
        <v>-0.028116194287199</v>
      </c>
      <c r="R216" s="15" t="n">
        <v>1.70574978744328</v>
      </c>
      <c r="S216" s="17" t="b">
        <f aca="false">FALSE()</f>
        <v>0</v>
      </c>
    </row>
    <row r="217" customFormat="false" ht="15" hidden="false" customHeight="true" outlineLevel="0" collapsed="false">
      <c r="A217" s="12" t="n">
        <v>41853</v>
      </c>
      <c r="B217" s="13" t="n">
        <v>628685.218828356</v>
      </c>
      <c r="C217" s="13" t="n">
        <v>653779.963453244</v>
      </c>
      <c r="D217" s="13" t="n">
        <v>19384</v>
      </c>
      <c r="E217" s="14" t="n">
        <v>32.4332036126886</v>
      </c>
      <c r="F217" s="14" t="n">
        <v>33.7278148706791</v>
      </c>
      <c r="G217" s="13" t="n">
        <v>-25094.7446248881</v>
      </c>
      <c r="H217" s="15" t="n">
        <v>-0.0399162313242479</v>
      </c>
      <c r="I217" s="15" t="n">
        <v>-0.0399162313242479</v>
      </c>
      <c r="J217" s="16" t="n">
        <v>2014</v>
      </c>
      <c r="K217" s="16" t="n">
        <v>8</v>
      </c>
      <c r="L217" s="16" t="n">
        <v>31</v>
      </c>
      <c r="M217" s="16" t="s">
        <v>37</v>
      </c>
      <c r="N217" s="17" t="b">
        <f aca="false">TRUE()</f>
        <v>1</v>
      </c>
      <c r="O217" s="14" t="n">
        <v>33.1843997308657</v>
      </c>
      <c r="P217" s="13" t="n">
        <v>8066.5</v>
      </c>
      <c r="Q217" s="15" t="n">
        <v>-0.0226370259600752</v>
      </c>
      <c r="R217" s="15" t="n">
        <v>1.40302485588545</v>
      </c>
      <c r="S217" s="17" t="b">
        <f aca="false">FALSE()</f>
        <v>0</v>
      </c>
    </row>
    <row r="218" customFormat="false" ht="15" hidden="false" customHeight="true" outlineLevel="0" collapsed="false">
      <c r="A218" s="12" t="n">
        <v>41854</v>
      </c>
      <c r="B218" s="13" t="n">
        <v>307272.683729957</v>
      </c>
      <c r="C218" s="13" t="n">
        <v>319500.009457128</v>
      </c>
      <c r="D218" s="13" t="n">
        <v>9473</v>
      </c>
      <c r="E218" s="14" t="n">
        <v>32.4366814873807</v>
      </c>
      <c r="F218" s="14" t="n">
        <v>33.7274368686929</v>
      </c>
      <c r="G218" s="13" t="n">
        <v>-12227.3257271712</v>
      </c>
      <c r="H218" s="15" t="n">
        <v>-0.039793077532128</v>
      </c>
      <c r="I218" s="15" t="n">
        <v>-0.039793077532128</v>
      </c>
      <c r="J218" s="16" t="n">
        <v>2014</v>
      </c>
      <c r="K218" s="16" t="n">
        <v>8</v>
      </c>
      <c r="L218" s="16" t="n">
        <v>31</v>
      </c>
      <c r="M218" s="16" t="s">
        <v>38</v>
      </c>
      <c r="N218" s="17" t="b">
        <f aca="false">TRUE()</f>
        <v>1</v>
      </c>
      <c r="O218" s="14" t="n">
        <v>33.1844338802368</v>
      </c>
      <c r="P218" s="13" t="n">
        <v>8916.42857142857</v>
      </c>
      <c r="Q218" s="15" t="n">
        <v>-0.0225332273425196</v>
      </c>
      <c r="R218" s="15" t="n">
        <v>0.0624208924136827</v>
      </c>
      <c r="S218" s="17" t="b">
        <f aca="false">FALSE()</f>
        <v>0</v>
      </c>
    </row>
    <row r="219" customFormat="false" ht="15" hidden="false" customHeight="true" outlineLevel="0" collapsed="false">
      <c r="A219" s="12" t="n">
        <v>41855</v>
      </c>
      <c r="B219" s="13" t="n">
        <v>362106.532635941</v>
      </c>
      <c r="C219" s="13" t="n">
        <v>376645.750934486</v>
      </c>
      <c r="D219" s="13" t="n">
        <v>11170</v>
      </c>
      <c r="E219" s="14" t="n">
        <v>32.4177737364316</v>
      </c>
      <c r="F219" s="14" t="n">
        <v>33.7194047389871</v>
      </c>
      <c r="G219" s="13" t="n">
        <v>-14539.218298545</v>
      </c>
      <c r="H219" s="15" t="n">
        <v>-0.0401517702337688</v>
      </c>
      <c r="I219" s="15" t="n">
        <v>-0.0401517702337689</v>
      </c>
      <c r="J219" s="16" t="n">
        <v>2014</v>
      </c>
      <c r="K219" s="16" t="n">
        <v>8</v>
      </c>
      <c r="L219" s="16" t="n">
        <v>32</v>
      </c>
      <c r="M219" s="16" t="s">
        <v>32</v>
      </c>
      <c r="N219" s="17" t="b">
        <f aca="false">FALSE()</f>
        <v>0</v>
      </c>
      <c r="O219" s="14" t="n">
        <v>32.9984495004394</v>
      </c>
      <c r="P219" s="13" t="n">
        <v>9419.64285714286</v>
      </c>
      <c r="Q219" s="15" t="n">
        <v>-0.0175970620680236</v>
      </c>
      <c r="R219" s="15" t="n">
        <v>0.18581990521327</v>
      </c>
      <c r="S219" s="17" t="b">
        <f aca="false">FALSE()</f>
        <v>0</v>
      </c>
    </row>
    <row r="220" customFormat="false" ht="15" hidden="false" customHeight="true" outlineLevel="0" collapsed="false">
      <c r="A220" s="12" t="n">
        <v>41856</v>
      </c>
      <c r="B220" s="13" t="n">
        <v>262349.590972716</v>
      </c>
      <c r="C220" s="13" t="n">
        <v>272809.29044381</v>
      </c>
      <c r="D220" s="13" t="n">
        <v>8091</v>
      </c>
      <c r="E220" s="14" t="n">
        <v>32.4248660206051</v>
      </c>
      <c r="F220" s="14" t="n">
        <v>33.7176233399839</v>
      </c>
      <c r="G220" s="13" t="n">
        <v>-10459.6994710941</v>
      </c>
      <c r="H220" s="15" t="n">
        <v>-0.0398693187678037</v>
      </c>
      <c r="I220" s="15" t="n">
        <v>-0.0398693187678037</v>
      </c>
      <c r="J220" s="16" t="n">
        <v>2014</v>
      </c>
      <c r="K220" s="16" t="n">
        <v>8</v>
      </c>
      <c r="L220" s="16" t="n">
        <v>32</v>
      </c>
      <c r="M220" s="16" t="s">
        <v>33</v>
      </c>
      <c r="N220" s="17" t="b">
        <f aca="false">FALSE()</f>
        <v>0</v>
      </c>
      <c r="O220" s="14" t="n">
        <v>32.8107416381134</v>
      </c>
      <c r="P220" s="13" t="n">
        <v>10040.7142857143</v>
      </c>
      <c r="Q220" s="15" t="n">
        <v>-0.0117606490509838</v>
      </c>
      <c r="R220" s="15" t="n">
        <v>-0.194180835171089</v>
      </c>
      <c r="S220" s="17" t="b">
        <f aca="false">FALSE()</f>
        <v>0</v>
      </c>
    </row>
    <row r="221" customFormat="false" ht="15" hidden="false" customHeight="true" outlineLevel="0" collapsed="false">
      <c r="A221" s="12" t="n">
        <v>41857</v>
      </c>
      <c r="B221" s="13" t="n">
        <v>80697.9035007912</v>
      </c>
      <c r="C221" s="13" t="n">
        <v>77649.6365332536</v>
      </c>
      <c r="D221" s="13" t="n">
        <v>2303</v>
      </c>
      <c r="E221" s="14" t="n">
        <v>35.0403402087674</v>
      </c>
      <c r="F221" s="14" t="n">
        <v>33.71673318856</v>
      </c>
      <c r="G221" s="13" t="n">
        <v>3048.26696753764</v>
      </c>
      <c r="H221" s="15" t="n">
        <v>0.0377738061994108</v>
      </c>
      <c r="I221" s="15" t="n">
        <v>0.0377738061994107</v>
      </c>
      <c r="J221" s="16" t="n">
        <v>2014</v>
      </c>
      <c r="K221" s="16" t="n">
        <v>8</v>
      </c>
      <c r="L221" s="16" t="n">
        <v>32</v>
      </c>
      <c r="M221" s="16" t="s">
        <v>34</v>
      </c>
      <c r="N221" s="17" t="b">
        <f aca="false">FALSE()</f>
        <v>0</v>
      </c>
      <c r="O221" s="14" t="n">
        <v>32.6248780238506</v>
      </c>
      <c r="P221" s="13" t="n">
        <v>10503.0714285714</v>
      </c>
      <c r="Q221" s="15" t="n">
        <v>0.0740374318993901</v>
      </c>
      <c r="R221" s="15" t="n">
        <v>-0.780730806634794</v>
      </c>
      <c r="S221" s="17" t="b">
        <f aca="false">FALSE()</f>
        <v>0</v>
      </c>
    </row>
    <row r="222" customFormat="false" ht="15" hidden="false" customHeight="true" outlineLevel="0" collapsed="false">
      <c r="A222" s="12" t="n">
        <v>41858</v>
      </c>
      <c r="B222" s="13" t="n">
        <v>103272.62271335</v>
      </c>
      <c r="C222" s="13" t="n">
        <v>99367.233222688</v>
      </c>
      <c r="D222" s="13" t="n">
        <v>2947</v>
      </c>
      <c r="E222" s="14" t="n">
        <v>35.0433059767053</v>
      </c>
      <c r="F222" s="14" t="n">
        <v>33.7180974627377</v>
      </c>
      <c r="G222" s="13" t="n">
        <v>3905.38949066241</v>
      </c>
      <c r="H222" s="15" t="n">
        <v>0.0378163097639385</v>
      </c>
      <c r="I222" s="15" t="n">
        <v>0.0378163097639384</v>
      </c>
      <c r="J222" s="16" t="n">
        <v>2014</v>
      </c>
      <c r="K222" s="16" t="n">
        <v>8</v>
      </c>
      <c r="L222" s="16" t="n">
        <v>32</v>
      </c>
      <c r="M222" s="16" t="s">
        <v>35</v>
      </c>
      <c r="N222" s="17" t="b">
        <f aca="false">FALSE()</f>
        <v>0</v>
      </c>
      <c r="O222" s="14" t="n">
        <v>32.8091683075747</v>
      </c>
      <c r="P222" s="13" t="n">
        <v>10302.8571428571</v>
      </c>
      <c r="Q222" s="15" t="n">
        <v>0.068094919328228</v>
      </c>
      <c r="R222" s="15" t="n">
        <v>-0.713962839711592</v>
      </c>
      <c r="S222" s="17" t="b">
        <f aca="false">FALSE()</f>
        <v>0</v>
      </c>
    </row>
    <row r="223" customFormat="false" ht="15" hidden="false" customHeight="true" outlineLevel="0" collapsed="false">
      <c r="A223" s="12" t="n">
        <v>41859</v>
      </c>
      <c r="B223" s="13" t="n">
        <v>439421.422067074</v>
      </c>
      <c r="C223" s="13" t="n">
        <v>456509.62185022</v>
      </c>
      <c r="D223" s="13" t="n">
        <v>13542</v>
      </c>
      <c r="E223" s="14" t="n">
        <v>32.4487831979821</v>
      </c>
      <c r="F223" s="14" t="n">
        <v>33.7106499667863</v>
      </c>
      <c r="G223" s="13" t="n">
        <v>-17088.1997831464</v>
      </c>
      <c r="H223" s="15" t="n">
        <v>-0.0388879533973609</v>
      </c>
      <c r="I223" s="15" t="n">
        <v>-0.0388879533973609</v>
      </c>
      <c r="J223" s="16" t="n">
        <v>2014</v>
      </c>
      <c r="K223" s="16" t="n">
        <v>8</v>
      </c>
      <c r="L223" s="16" t="n">
        <v>32</v>
      </c>
      <c r="M223" s="16" t="s">
        <v>36</v>
      </c>
      <c r="N223" s="17" t="b">
        <f aca="false">FALSE()</f>
        <v>0</v>
      </c>
      <c r="O223" s="14" t="n">
        <v>32.8095591678249</v>
      </c>
      <c r="P223" s="13" t="n">
        <v>10318.4285714286</v>
      </c>
      <c r="Q223" s="15" t="n">
        <v>-0.0109960627022548</v>
      </c>
      <c r="R223" s="15" t="n">
        <v>0.312409143141951</v>
      </c>
      <c r="S223" s="17" t="b">
        <f aca="false">FALSE()</f>
        <v>0</v>
      </c>
    </row>
    <row r="224" customFormat="false" ht="15" hidden="false" customHeight="true" outlineLevel="0" collapsed="false">
      <c r="A224" s="12" t="n">
        <v>41860</v>
      </c>
      <c r="B224" s="13" t="n">
        <v>408616.350631914</v>
      </c>
      <c r="C224" s="13" t="n">
        <v>424340.949382785</v>
      </c>
      <c r="D224" s="13" t="n">
        <v>12588</v>
      </c>
      <c r="E224" s="14" t="n">
        <v>32.4607841302759</v>
      </c>
      <c r="F224" s="14" t="n">
        <v>33.7099578473773</v>
      </c>
      <c r="G224" s="13" t="n">
        <v>-15724.5987508716</v>
      </c>
      <c r="H224" s="15" t="n">
        <v>-0.0384825490378785</v>
      </c>
      <c r="I224" s="15" t="n">
        <v>-0.0384825490378784</v>
      </c>
      <c r="J224" s="16" t="n">
        <v>2014</v>
      </c>
      <c r="K224" s="16" t="n">
        <v>8</v>
      </c>
      <c r="L224" s="16" t="n">
        <v>32</v>
      </c>
      <c r="M224" s="16" t="s">
        <v>37</v>
      </c>
      <c r="N224" s="17" t="b">
        <f aca="false">TRUE()</f>
        <v>1</v>
      </c>
      <c r="O224" s="14" t="n">
        <v>32.8101860189475</v>
      </c>
      <c r="P224" s="13" t="n">
        <v>10150.2142857143</v>
      </c>
      <c r="Q224" s="15" t="n">
        <v>-0.0106491895068731</v>
      </c>
      <c r="R224" s="15" t="n">
        <v>0.240170861980394</v>
      </c>
      <c r="S224" s="17" t="b">
        <f aca="false">FALSE()</f>
        <v>0</v>
      </c>
    </row>
    <row r="225" customFormat="false" ht="15" hidden="false" customHeight="true" outlineLevel="0" collapsed="false">
      <c r="A225" s="12" t="n">
        <v>41861</v>
      </c>
      <c r="B225" s="13" t="n">
        <v>195866.773019443</v>
      </c>
      <c r="C225" s="13" t="n">
        <v>203331.434784757</v>
      </c>
      <c r="D225" s="13" t="n">
        <v>6032</v>
      </c>
      <c r="E225" s="14" t="n">
        <v>32.4712819992446</v>
      </c>
      <c r="F225" s="14" t="n">
        <v>33.7087922388522</v>
      </c>
      <c r="G225" s="13" t="n">
        <v>-7464.6617653131</v>
      </c>
      <c r="H225" s="15" t="n">
        <v>-0.0381109141190175</v>
      </c>
      <c r="I225" s="15" t="n">
        <v>-0.0381109141190175</v>
      </c>
      <c r="J225" s="16" t="n">
        <v>2014</v>
      </c>
      <c r="K225" s="16" t="n">
        <v>8</v>
      </c>
      <c r="L225" s="16" t="n">
        <v>32</v>
      </c>
      <c r="M225" s="16" t="s">
        <v>38</v>
      </c>
      <c r="N225" s="17" t="b">
        <f aca="false">TRUE()</f>
        <v>1</v>
      </c>
      <c r="O225" s="14" t="n">
        <v>32.8117387764352</v>
      </c>
      <c r="P225" s="13" t="n">
        <v>9810.57142857143</v>
      </c>
      <c r="Q225" s="15" t="n">
        <v>-0.0103760663069497</v>
      </c>
      <c r="R225" s="15" t="n">
        <v>-0.385153041908146</v>
      </c>
      <c r="S225" s="17" t="b">
        <f aca="false">FALSE()</f>
        <v>0</v>
      </c>
    </row>
    <row r="226" customFormat="false" ht="15" hidden="false" customHeight="true" outlineLevel="0" collapsed="false">
      <c r="A226" s="12" t="n">
        <v>41862</v>
      </c>
      <c r="B226" s="13" t="n">
        <v>232347.35316929</v>
      </c>
      <c r="C226" s="13" t="n">
        <v>241134.527794406</v>
      </c>
      <c r="D226" s="13" t="n">
        <v>7158</v>
      </c>
      <c r="E226" s="14" t="n">
        <v>32.4598146366708</v>
      </c>
      <c r="F226" s="14" t="n">
        <v>33.6874165680925</v>
      </c>
      <c r="G226" s="13" t="n">
        <v>-8787.17462511681</v>
      </c>
      <c r="H226" s="15" t="n">
        <v>-0.0378191294424362</v>
      </c>
      <c r="I226" s="15" t="n">
        <v>-0.0378191294424362</v>
      </c>
      <c r="J226" s="16" t="n">
        <v>2014</v>
      </c>
      <c r="K226" s="16" t="n">
        <v>8</v>
      </c>
      <c r="L226" s="16" t="n">
        <v>33</v>
      </c>
      <c r="M226" s="16" t="s">
        <v>32</v>
      </c>
      <c r="N226" s="17" t="b">
        <f aca="false">FALSE()</f>
        <v>0</v>
      </c>
      <c r="O226" s="14" t="n">
        <v>32.8133566068398</v>
      </c>
      <c r="P226" s="13" t="n">
        <v>9655.21428571429</v>
      </c>
      <c r="Q226" s="15" t="n">
        <v>-0.0107743311482891</v>
      </c>
      <c r="R226" s="15" t="n">
        <v>-0.25863892937199</v>
      </c>
      <c r="S226" s="17" t="b">
        <f aca="false">FALSE()</f>
        <v>0</v>
      </c>
    </row>
    <row r="227" customFormat="false" ht="15" hidden="false" customHeight="true" outlineLevel="0" collapsed="false">
      <c r="A227" s="12" t="n">
        <v>41863</v>
      </c>
      <c r="B227" s="13" t="n">
        <v>190325.181143385</v>
      </c>
      <c r="C227" s="13" t="n">
        <v>197438.111638515</v>
      </c>
      <c r="D227" s="13" t="n">
        <v>5863</v>
      </c>
      <c r="E227" s="14" t="n">
        <v>32.4620810410003</v>
      </c>
      <c r="F227" s="14" t="n">
        <v>33.6752706188837</v>
      </c>
      <c r="G227" s="13" t="n">
        <v>-7112.93049513022</v>
      </c>
      <c r="H227" s="15" t="n">
        <v>-0.0373725139910497</v>
      </c>
      <c r="I227" s="15" t="n">
        <v>-0.0373725139910496</v>
      </c>
      <c r="J227" s="16" t="n">
        <v>2014</v>
      </c>
      <c r="K227" s="16" t="n">
        <v>8</v>
      </c>
      <c r="L227" s="16" t="n">
        <v>33</v>
      </c>
      <c r="M227" s="16" t="s">
        <v>33</v>
      </c>
      <c r="N227" s="17" t="b">
        <f aca="false">FALSE()</f>
        <v>0</v>
      </c>
      <c r="O227" s="14" t="n">
        <v>32.8140525379987</v>
      </c>
      <c r="P227" s="13" t="n">
        <v>9522.35714285714</v>
      </c>
      <c r="Q227" s="15" t="n">
        <v>-0.0107262428677728</v>
      </c>
      <c r="R227" s="15" t="n">
        <v>-0.38429110439342</v>
      </c>
      <c r="S227" s="17" t="b">
        <f aca="false">FALSE()</f>
        <v>0</v>
      </c>
    </row>
    <row r="228" customFormat="false" ht="15" hidden="false" customHeight="true" outlineLevel="0" collapsed="false">
      <c r="A228" s="12" t="n">
        <v>41864</v>
      </c>
      <c r="B228" s="13" t="n">
        <v>197698.118550841</v>
      </c>
      <c r="C228" s="13" t="n">
        <v>205114.128948227</v>
      </c>
      <c r="D228" s="13" t="n">
        <v>6092</v>
      </c>
      <c r="E228" s="14" t="n">
        <v>32.4520877463626</v>
      </c>
      <c r="F228" s="14" t="n">
        <v>33.6694236618889</v>
      </c>
      <c r="G228" s="13" t="n">
        <v>-7416.01039738633</v>
      </c>
      <c r="H228" s="15" t="n">
        <v>-0.037511790459853</v>
      </c>
      <c r="I228" s="15" t="n">
        <v>-0.0375117904598531</v>
      </c>
      <c r="J228" s="16" t="n">
        <v>2014</v>
      </c>
      <c r="K228" s="16" t="n">
        <v>8</v>
      </c>
      <c r="L228" s="16" t="n">
        <v>33</v>
      </c>
      <c r="M228" s="16" t="s">
        <v>34</v>
      </c>
      <c r="N228" s="17" t="b">
        <f aca="false">FALSE()</f>
        <v>0</v>
      </c>
      <c r="O228" s="14" t="n">
        <v>32.8162420132858</v>
      </c>
      <c r="P228" s="13" t="n">
        <v>9473.42857142857</v>
      </c>
      <c r="Q228" s="15" t="n">
        <v>-0.0110967693002688</v>
      </c>
      <c r="R228" s="15" t="n">
        <v>-0.356938203094369</v>
      </c>
      <c r="S228" s="17" t="b">
        <f aca="false">FALSE()</f>
        <v>0</v>
      </c>
    </row>
    <row r="229" customFormat="false" ht="15" hidden="false" customHeight="true" outlineLevel="0" collapsed="false">
      <c r="A229" s="12" t="n">
        <v>41865</v>
      </c>
      <c r="B229" s="13" t="n">
        <v>177908.835604849</v>
      </c>
      <c r="C229" s="13" t="n">
        <v>184687.529140367</v>
      </c>
      <c r="D229" s="13" t="n">
        <v>5485</v>
      </c>
      <c r="E229" s="14" t="n">
        <v>32.4355215323334</v>
      </c>
      <c r="F229" s="14" t="n">
        <v>33.6713817940505</v>
      </c>
      <c r="G229" s="13" t="n">
        <v>-6778.69353551854</v>
      </c>
      <c r="H229" s="15" t="n">
        <v>-0.0381020622864096</v>
      </c>
      <c r="I229" s="15" t="n">
        <v>-0.0381020622864095</v>
      </c>
      <c r="J229" s="16" t="n">
        <v>2014</v>
      </c>
      <c r="K229" s="16" t="n">
        <v>8</v>
      </c>
      <c r="L229" s="16" t="n">
        <v>33</v>
      </c>
      <c r="M229" s="16" t="s">
        <v>35</v>
      </c>
      <c r="N229" s="17" t="b">
        <f aca="false">FALSE()</f>
        <v>0</v>
      </c>
      <c r="O229" s="14" t="n">
        <v>32.8162807281892</v>
      </c>
      <c r="P229" s="13" t="n">
        <v>9472.71428571429</v>
      </c>
      <c r="Q229" s="15" t="n">
        <v>-0.0116027528838385</v>
      </c>
      <c r="R229" s="15" t="n">
        <v>-0.420968495980938</v>
      </c>
      <c r="S229" s="17" t="b">
        <f aca="false">FALSE()</f>
        <v>0</v>
      </c>
    </row>
    <row r="230" customFormat="false" ht="15" hidden="false" customHeight="true" outlineLevel="0" collapsed="false">
      <c r="A230" s="12" t="n">
        <v>41866</v>
      </c>
      <c r="B230" s="13" t="n">
        <v>473321.882451754</v>
      </c>
      <c r="C230" s="13" t="n">
        <v>491559.422963044</v>
      </c>
      <c r="D230" s="13" t="n">
        <v>14587</v>
      </c>
      <c r="E230" s="14" t="n">
        <v>32.4481992494518</v>
      </c>
      <c r="F230" s="14" t="n">
        <v>33.6984591048909</v>
      </c>
      <c r="G230" s="13" t="n">
        <v>-18237.5405112904</v>
      </c>
      <c r="H230" s="15" t="n">
        <v>-0.0385309473055039</v>
      </c>
      <c r="I230" s="15" t="n">
        <v>-0.0385309473055039</v>
      </c>
      <c r="J230" s="16" t="n">
        <v>2014</v>
      </c>
      <c r="K230" s="16" t="n">
        <v>8</v>
      </c>
      <c r="L230" s="16" t="n">
        <v>33</v>
      </c>
      <c r="M230" s="16" t="s">
        <v>36</v>
      </c>
      <c r="N230" s="17" t="b">
        <f aca="false">FALSE()</f>
        <v>0</v>
      </c>
      <c r="O230" s="14" t="n">
        <v>32.8156094409553</v>
      </c>
      <c r="P230" s="13" t="n">
        <v>9213.92857142857</v>
      </c>
      <c r="Q230" s="15" t="n">
        <v>-0.0111962019832226</v>
      </c>
      <c r="R230" s="15" t="n">
        <v>0.583146633590449</v>
      </c>
      <c r="S230" s="17" t="b">
        <f aca="false">FALSE()</f>
        <v>0</v>
      </c>
    </row>
    <row r="231" customFormat="false" ht="15" hidden="false" customHeight="true" outlineLevel="0" collapsed="false">
      <c r="A231" s="12" t="n">
        <v>41867</v>
      </c>
      <c r="B231" s="13" t="n">
        <v>541600.892159531</v>
      </c>
      <c r="C231" s="13" t="n">
        <v>562953.370773654</v>
      </c>
      <c r="D231" s="13" t="n">
        <v>16686</v>
      </c>
      <c r="E231" s="14" t="n">
        <v>32.458401783503</v>
      </c>
      <c r="F231" s="14" t="n">
        <v>33.7380660897551</v>
      </c>
      <c r="G231" s="13" t="n">
        <v>-21352.478614123</v>
      </c>
      <c r="H231" s="15" t="n">
        <v>-0.0394247478599675</v>
      </c>
      <c r="I231" s="15" t="n">
        <v>-0.0394247478599674</v>
      </c>
      <c r="J231" s="16" t="n">
        <v>2014</v>
      </c>
      <c r="K231" s="16" t="n">
        <v>8</v>
      </c>
      <c r="L231" s="16" t="n">
        <v>33</v>
      </c>
      <c r="M231" s="16" t="s">
        <v>37</v>
      </c>
      <c r="N231" s="17" t="b">
        <f aca="false">TRUE()</f>
        <v>1</v>
      </c>
      <c r="O231" s="14" t="n">
        <v>32.8167660411357</v>
      </c>
      <c r="P231" s="13" t="n">
        <v>8908.21428571429</v>
      </c>
      <c r="Q231" s="15" t="n">
        <v>-0.0109201576164918</v>
      </c>
      <c r="R231" s="15" t="n">
        <v>0.873102674096941</v>
      </c>
      <c r="S231" s="17" t="b">
        <f aca="false">FALSE()</f>
        <v>0</v>
      </c>
    </row>
    <row r="232" customFormat="false" ht="15" hidden="false" customHeight="true" outlineLevel="0" collapsed="false">
      <c r="A232" s="12" t="n">
        <v>41868</v>
      </c>
      <c r="B232" s="13" t="n">
        <v>239513.979042657</v>
      </c>
      <c r="C232" s="13" t="n">
        <v>249203.120768225</v>
      </c>
      <c r="D232" s="13" t="n">
        <v>7380</v>
      </c>
      <c r="E232" s="14" t="n">
        <v>32.4544687049671</v>
      </c>
      <c r="F232" s="14" t="n">
        <v>33.7673605376998</v>
      </c>
      <c r="G232" s="13" t="n">
        <v>-9689.14172556775</v>
      </c>
      <c r="H232" s="15" t="n">
        <v>-0.0404533454134722</v>
      </c>
      <c r="I232" s="15" t="n">
        <v>-0.0404533454134721</v>
      </c>
      <c r="J232" s="16" t="n">
        <v>2014</v>
      </c>
      <c r="K232" s="16" t="n">
        <v>8</v>
      </c>
      <c r="L232" s="16" t="n">
        <v>33</v>
      </c>
      <c r="M232" s="16" t="s">
        <v>38</v>
      </c>
      <c r="N232" s="17" t="b">
        <f aca="false">TRUE()</f>
        <v>1</v>
      </c>
      <c r="O232" s="14" t="n">
        <v>32.8185659104796</v>
      </c>
      <c r="P232" s="13" t="n">
        <v>8715.5</v>
      </c>
      <c r="Q232" s="15" t="n">
        <v>-0.0110942448401218</v>
      </c>
      <c r="R232" s="15" t="n">
        <v>-0.153232746256669</v>
      </c>
      <c r="S232" s="17" t="b">
        <f aca="false">FALSE()</f>
        <v>0</v>
      </c>
    </row>
    <row r="233" customFormat="false" ht="15" hidden="false" customHeight="true" outlineLevel="0" collapsed="false">
      <c r="A233" s="12" t="n">
        <v>41869</v>
      </c>
      <c r="B233" s="13" t="n">
        <v>255224.222552353</v>
      </c>
      <c r="C233" s="13" t="n">
        <v>265532.546204822</v>
      </c>
      <c r="D233" s="13" t="n">
        <v>7864</v>
      </c>
      <c r="E233" s="14" t="n">
        <v>32.4547587172372</v>
      </c>
      <c r="F233" s="14" t="n">
        <v>33.7655831898299</v>
      </c>
      <c r="G233" s="13" t="n">
        <v>-10308.323652469</v>
      </c>
      <c r="H233" s="15" t="n">
        <v>-0.0403892841728785</v>
      </c>
      <c r="I233" s="15" t="n">
        <v>-0.0403892841728785</v>
      </c>
      <c r="J233" s="16" t="n">
        <v>2014</v>
      </c>
      <c r="K233" s="16" t="n">
        <v>8</v>
      </c>
      <c r="L233" s="16" t="n">
        <v>34</v>
      </c>
      <c r="M233" s="16" t="s">
        <v>32</v>
      </c>
      <c r="N233" s="17" t="b">
        <f aca="false">FALSE()</f>
        <v>0</v>
      </c>
      <c r="O233" s="14" t="n">
        <v>32.8198364260215</v>
      </c>
      <c r="P233" s="13" t="n">
        <v>8566</v>
      </c>
      <c r="Q233" s="15" t="n">
        <v>-0.0111236906864916</v>
      </c>
      <c r="R233" s="15" t="n">
        <v>-0.0819519028718188</v>
      </c>
      <c r="S233" s="17" t="b">
        <f aca="false">FALSE()</f>
        <v>0</v>
      </c>
    </row>
    <row r="234" customFormat="false" ht="15" hidden="false" customHeight="true" outlineLevel="0" collapsed="false">
      <c r="A234" s="12" t="n">
        <v>41870</v>
      </c>
      <c r="B234" s="13" t="n">
        <v>160372.03970903</v>
      </c>
      <c r="C234" s="13" t="n">
        <v>167021.157829009</v>
      </c>
      <c r="D234" s="13" t="n">
        <v>4941</v>
      </c>
      <c r="E234" s="14" t="n">
        <v>32.4574053246367</v>
      </c>
      <c r="F234" s="14" t="n">
        <v>33.80310824307</v>
      </c>
      <c r="G234" s="13" t="n">
        <v>-6649.11811997896</v>
      </c>
      <c r="H234" s="15" t="n">
        <v>-0.0414605821067236</v>
      </c>
      <c r="I234" s="15" t="n">
        <v>-0.0414605821067238</v>
      </c>
      <c r="J234" s="16" t="n">
        <v>2014</v>
      </c>
      <c r="K234" s="16" t="n">
        <v>8</v>
      </c>
      <c r="L234" s="16" t="n">
        <v>34</v>
      </c>
      <c r="M234" s="16" t="s">
        <v>33</v>
      </c>
      <c r="N234" s="17" t="b">
        <f aca="false">FALSE()</f>
        <v>0</v>
      </c>
      <c r="O234" s="14" t="n">
        <v>32.8224782103648</v>
      </c>
      <c r="P234" s="13" t="n">
        <v>8329.85714285714</v>
      </c>
      <c r="Q234" s="15" t="n">
        <v>-0.0111226484297829</v>
      </c>
      <c r="R234" s="15" t="n">
        <v>-0.406832564441167</v>
      </c>
      <c r="S234" s="17" t="b">
        <f aca="false">FALSE()</f>
        <v>0</v>
      </c>
    </row>
    <row r="235" customFormat="false" ht="15" hidden="false" customHeight="true" outlineLevel="0" collapsed="false">
      <c r="A235" s="12" t="n">
        <v>41871</v>
      </c>
      <c r="B235" s="13" t="n">
        <v>171587.33225254</v>
      </c>
      <c r="C235" s="13" t="n">
        <v>174723.175427944</v>
      </c>
      <c r="D235" s="13" t="n">
        <v>5151</v>
      </c>
      <c r="E235" s="14" t="n">
        <v>33.3114603479985</v>
      </c>
      <c r="F235" s="14" t="n">
        <v>33.920243725091</v>
      </c>
      <c r="G235" s="13" t="n">
        <v>-3135.8431754034</v>
      </c>
      <c r="H235" s="15" t="n">
        <v>-0.0182754935008145</v>
      </c>
      <c r="I235" s="15" t="n">
        <v>-0.0182754935008145</v>
      </c>
      <c r="J235" s="16" t="n">
        <v>2014</v>
      </c>
      <c r="K235" s="16" t="n">
        <v>8</v>
      </c>
      <c r="L235" s="16" t="n">
        <v>34</v>
      </c>
      <c r="M235" s="16" t="s">
        <v>34</v>
      </c>
      <c r="N235" s="17" t="b">
        <f aca="false">FALSE()</f>
        <v>0</v>
      </c>
      <c r="O235" s="14" t="n">
        <v>32.824802446367</v>
      </c>
      <c r="P235" s="13" t="n">
        <v>8104.85714285714</v>
      </c>
      <c r="Q235" s="15" t="n">
        <v>0.0148259201994173</v>
      </c>
      <c r="R235" s="15" t="n">
        <v>-0.364455176789932</v>
      </c>
      <c r="S235" s="17" t="b">
        <f aca="false">FALSE()</f>
        <v>0</v>
      </c>
    </row>
    <row r="236" customFormat="false" ht="15" hidden="false" customHeight="true" outlineLevel="0" collapsed="false">
      <c r="A236" s="12" t="n">
        <v>41872</v>
      </c>
      <c r="B236" s="13" t="n">
        <v>164208.060612595</v>
      </c>
      <c r="C236" s="13" t="n">
        <v>167239.648759931</v>
      </c>
      <c r="D236" s="13" t="n">
        <v>4928</v>
      </c>
      <c r="E236" s="14" t="n">
        <v>33.3214408710623</v>
      </c>
      <c r="F236" s="14" t="n">
        <v>33.9366170373237</v>
      </c>
      <c r="G236" s="13" t="n">
        <v>-3031.58814733618</v>
      </c>
      <c r="H236" s="15" t="n">
        <v>-0.0184618717012218</v>
      </c>
      <c r="I236" s="15" t="n">
        <v>-0.0184618717012217</v>
      </c>
      <c r="J236" s="16" t="n">
        <v>2014</v>
      </c>
      <c r="K236" s="16" t="n">
        <v>8</v>
      </c>
      <c r="L236" s="16" t="n">
        <v>34</v>
      </c>
      <c r="M236" s="16" t="s">
        <v>35</v>
      </c>
      <c r="N236" s="17" t="b">
        <f aca="false">FALSE()</f>
        <v>0</v>
      </c>
      <c r="O236" s="14" t="n">
        <v>32.7013110277407</v>
      </c>
      <c r="P236" s="13" t="n">
        <v>8308.28571428571</v>
      </c>
      <c r="Q236" s="15" t="n">
        <v>0.0189634550980426</v>
      </c>
      <c r="R236" s="15" t="n">
        <v>-0.406857182158946</v>
      </c>
      <c r="S236" s="17" t="b">
        <f aca="false">FALSE()</f>
        <v>0</v>
      </c>
    </row>
    <row r="237" customFormat="false" ht="15" hidden="false" customHeight="true" outlineLevel="0" collapsed="false">
      <c r="A237" s="12" t="n">
        <v>41873</v>
      </c>
      <c r="B237" s="13" t="n">
        <v>376778.835704498</v>
      </c>
      <c r="C237" s="13" t="n">
        <v>384006.045320909</v>
      </c>
      <c r="D237" s="13" t="n">
        <v>11309</v>
      </c>
      <c r="E237" s="14" t="n">
        <v>33.3167243526835</v>
      </c>
      <c r="F237" s="14" t="n">
        <v>33.955791433452</v>
      </c>
      <c r="G237" s="13" t="n">
        <v>-7227.20961641136</v>
      </c>
      <c r="H237" s="15" t="n">
        <v>-0.0191815700128113</v>
      </c>
      <c r="I237" s="15" t="n">
        <v>-0.0191815700128113</v>
      </c>
      <c r="J237" s="16" t="n">
        <v>2014</v>
      </c>
      <c r="K237" s="16" t="n">
        <v>8</v>
      </c>
      <c r="L237" s="16" t="n">
        <v>34</v>
      </c>
      <c r="M237" s="16" t="s">
        <v>36</v>
      </c>
      <c r="N237" s="17" t="b">
        <f aca="false">FALSE()</f>
        <v>0</v>
      </c>
      <c r="O237" s="14" t="n">
        <v>32.5783206630519</v>
      </c>
      <c r="P237" s="13" t="n">
        <v>8449.78571428571</v>
      </c>
      <c r="Q237" s="15" t="n">
        <v>0.022665492714272</v>
      </c>
      <c r="R237" s="15" t="n">
        <v>0.338377135514848</v>
      </c>
      <c r="S237" s="17" t="b">
        <f aca="false">FALSE()</f>
        <v>0</v>
      </c>
    </row>
    <row r="238" customFormat="false" ht="15" hidden="false" customHeight="true" outlineLevel="0" collapsed="false">
      <c r="A238" s="12" t="n">
        <v>41874</v>
      </c>
      <c r="B238" s="13" t="n">
        <v>453633.473978322</v>
      </c>
      <c r="C238" s="13" t="n">
        <v>463250.071255098</v>
      </c>
      <c r="D238" s="13" t="n">
        <v>13613</v>
      </c>
      <c r="E238" s="14" t="n">
        <v>33.3235491058784</v>
      </c>
      <c r="F238" s="14" t="n">
        <v>34.0299765852566</v>
      </c>
      <c r="G238" s="13" t="n">
        <v>-9616.59727677598</v>
      </c>
      <c r="H238" s="15" t="n">
        <v>-0.0211990468702394</v>
      </c>
      <c r="I238" s="15" t="n">
        <v>-0.0211990468702395</v>
      </c>
      <c r="J238" s="16" t="n">
        <v>2014</v>
      </c>
      <c r="K238" s="16" t="n">
        <v>8</v>
      </c>
      <c r="L238" s="16" t="n">
        <v>34</v>
      </c>
      <c r="M238" s="16" t="s">
        <v>37</v>
      </c>
      <c r="N238" s="17" t="b">
        <f aca="false">TRUE()</f>
        <v>1</v>
      </c>
      <c r="O238" s="14" t="n">
        <v>32.6403164598163</v>
      </c>
      <c r="P238" s="13" t="n">
        <v>8290.28571428571</v>
      </c>
      <c r="Q238" s="15" t="n">
        <v>0.0209321697877293</v>
      </c>
      <c r="R238" s="15" t="n">
        <v>0.642042321477806</v>
      </c>
      <c r="S238" s="17" t="b">
        <f aca="false">FALSE()</f>
        <v>0</v>
      </c>
    </row>
    <row r="239" customFormat="false" ht="15" hidden="false" customHeight="true" outlineLevel="0" collapsed="false">
      <c r="A239" s="12" t="n">
        <v>41875</v>
      </c>
      <c r="B239" s="13" t="n">
        <v>214392.400852753</v>
      </c>
      <c r="C239" s="13" t="n">
        <v>218347.797776929</v>
      </c>
      <c r="D239" s="13" t="n">
        <v>6424</v>
      </c>
      <c r="E239" s="14" t="n">
        <v>33.3736614029814</v>
      </c>
      <c r="F239" s="14" t="n">
        <v>33.9893832155868</v>
      </c>
      <c r="G239" s="13" t="n">
        <v>-3955.39692417684</v>
      </c>
      <c r="H239" s="15" t="n">
        <v>-0.018449333597852</v>
      </c>
      <c r="I239" s="15" t="n">
        <v>-0.0184493335978519</v>
      </c>
      <c r="J239" s="16" t="n">
        <v>2014</v>
      </c>
      <c r="K239" s="16" t="n">
        <v>8</v>
      </c>
      <c r="L239" s="16" t="n">
        <v>34</v>
      </c>
      <c r="M239" s="16" t="s">
        <v>38</v>
      </c>
      <c r="N239" s="17" t="b">
        <f aca="false">TRUE()</f>
        <v>1</v>
      </c>
      <c r="O239" s="14" t="n">
        <v>32.7019425295021</v>
      </c>
      <c r="P239" s="13" t="n">
        <v>8363.5</v>
      </c>
      <c r="Q239" s="15" t="n">
        <v>0.0205406413662821</v>
      </c>
      <c r="R239" s="15" t="n">
        <v>-0.231900520117176</v>
      </c>
      <c r="S239" s="17" t="b">
        <f aca="false">FALSE()</f>
        <v>0</v>
      </c>
    </row>
    <row r="240" customFormat="false" ht="15" hidden="false" customHeight="true" outlineLevel="0" collapsed="false">
      <c r="A240" s="12" t="n">
        <v>41876</v>
      </c>
      <c r="B240" s="13" t="n">
        <v>316404.06232243</v>
      </c>
      <c r="C240" s="13" t="n">
        <v>323293.396640473</v>
      </c>
      <c r="D240" s="13" t="n">
        <v>9493</v>
      </c>
      <c r="E240" s="14" t="n">
        <v>33.3302499022891</v>
      </c>
      <c r="F240" s="14" t="n">
        <v>34.0559777352231</v>
      </c>
      <c r="G240" s="13" t="n">
        <v>-6889.33431804308</v>
      </c>
      <c r="H240" s="15" t="n">
        <v>-0.0217738491328931</v>
      </c>
      <c r="I240" s="15" t="n">
        <v>-0.0217738491328932</v>
      </c>
      <c r="J240" s="16" t="n">
        <v>2014</v>
      </c>
      <c r="K240" s="16" t="n">
        <v>8</v>
      </c>
      <c r="L240" s="16" t="n">
        <v>35</v>
      </c>
      <c r="M240" s="16" t="s">
        <v>32</v>
      </c>
      <c r="N240" s="17" t="b">
        <f aca="false">FALSE()</f>
        <v>0</v>
      </c>
      <c r="O240" s="14" t="n">
        <v>32.7663982011976</v>
      </c>
      <c r="P240" s="13" t="n">
        <v>8391.5</v>
      </c>
      <c r="Q240" s="15" t="n">
        <v>0.0172082295292017</v>
      </c>
      <c r="R240" s="15" t="n">
        <v>0.13126377882381</v>
      </c>
      <c r="S240" s="17" t="b">
        <f aca="false">FALSE()</f>
        <v>0</v>
      </c>
    </row>
    <row r="241" customFormat="false" ht="15" hidden="false" customHeight="true" outlineLevel="0" collapsed="false">
      <c r="A241" s="12" t="n">
        <v>41877</v>
      </c>
      <c r="B241" s="13" t="n">
        <v>242824.501340455</v>
      </c>
      <c r="C241" s="13" t="n">
        <v>259860.512548686</v>
      </c>
      <c r="D241" s="13" t="n">
        <v>7619</v>
      </c>
      <c r="E241" s="14" t="n">
        <v>31.8709149941534</v>
      </c>
      <c r="F241" s="14" t="n">
        <v>34.106905440174</v>
      </c>
      <c r="G241" s="13" t="n">
        <v>-17036.011208231</v>
      </c>
      <c r="H241" s="15" t="n">
        <v>-0.070157711080174</v>
      </c>
      <c r="I241" s="15" t="n">
        <v>-0.0701577110801739</v>
      </c>
      <c r="J241" s="16" t="n">
        <v>2014</v>
      </c>
      <c r="K241" s="16" t="n">
        <v>8</v>
      </c>
      <c r="L241" s="16" t="n">
        <v>35</v>
      </c>
      <c r="M241" s="16" t="s">
        <v>33</v>
      </c>
      <c r="N241" s="17" t="b">
        <f aca="false">FALSE()</f>
        <v>0</v>
      </c>
      <c r="O241" s="14" t="n">
        <v>32.8285721487418</v>
      </c>
      <c r="P241" s="13" t="n">
        <v>8558.28571428571</v>
      </c>
      <c r="Q241" s="15" t="n">
        <v>-0.0291714531551773</v>
      </c>
      <c r="R241" s="15" t="n">
        <v>-0.109751619149362</v>
      </c>
      <c r="S241" s="17" t="b">
        <f aca="false">FALSE()</f>
        <v>0</v>
      </c>
    </row>
    <row r="242" customFormat="false" ht="15" hidden="false" customHeight="true" outlineLevel="0" collapsed="false">
      <c r="A242" s="12" t="n">
        <v>41878</v>
      </c>
      <c r="B242" s="13" t="n">
        <v>274712.25328417</v>
      </c>
      <c r="C242" s="13" t="n">
        <v>304334.784643437</v>
      </c>
      <c r="D242" s="13" t="n">
        <v>8909</v>
      </c>
      <c r="E242" s="14" t="n">
        <v>30.8353634845852</v>
      </c>
      <c r="F242" s="14" t="n">
        <v>34.1603754229921</v>
      </c>
      <c r="G242" s="13" t="n">
        <v>-29622.5313592673</v>
      </c>
      <c r="H242" s="15" t="n">
        <v>-0.107831125132321</v>
      </c>
      <c r="I242" s="15" t="n">
        <v>-0.107831125132321</v>
      </c>
      <c r="J242" s="16" t="n">
        <v>2014</v>
      </c>
      <c r="K242" s="16" t="n">
        <v>8</v>
      </c>
      <c r="L242" s="16" t="n">
        <v>35</v>
      </c>
      <c r="M242" s="16" t="s">
        <v>34</v>
      </c>
      <c r="N242" s="17" t="b">
        <f aca="false">FALSE()</f>
        <v>0</v>
      </c>
      <c r="O242" s="14" t="n">
        <v>32.7863460025384</v>
      </c>
      <c r="P242" s="13" t="n">
        <v>8683.71428571429</v>
      </c>
      <c r="Q242" s="15" t="n">
        <v>-0.0595059454872521</v>
      </c>
      <c r="R242" s="15" t="n">
        <v>0.0259434738262099</v>
      </c>
      <c r="S242" s="17" t="b">
        <f aca="false">FALSE()</f>
        <v>0</v>
      </c>
    </row>
    <row r="243" customFormat="false" ht="15" hidden="false" customHeight="true" outlineLevel="0" collapsed="false">
      <c r="A243" s="12" t="n">
        <v>41879</v>
      </c>
      <c r="B243" s="13" t="n">
        <v>258066.169394985</v>
      </c>
      <c r="C243" s="13" t="n">
        <v>287168.566089825</v>
      </c>
      <c r="D243" s="13" t="n">
        <v>8400</v>
      </c>
      <c r="E243" s="14" t="n">
        <v>30.7221630232125</v>
      </c>
      <c r="F243" s="14" t="n">
        <v>34.1867340583126</v>
      </c>
      <c r="G243" s="13" t="n">
        <v>-29102.3966948408</v>
      </c>
      <c r="H243" s="15" t="n">
        <v>-0.112771064735332</v>
      </c>
      <c r="I243" s="15" t="n">
        <v>-0.112771064735332</v>
      </c>
      <c r="J243" s="16" t="n">
        <v>2014</v>
      </c>
      <c r="K243" s="16" t="n">
        <v>8</v>
      </c>
      <c r="L243" s="16" t="n">
        <v>35</v>
      </c>
      <c r="M243" s="16" t="s">
        <v>35</v>
      </c>
      <c r="N243" s="17" t="b">
        <f aca="false">FALSE()</f>
        <v>0</v>
      </c>
      <c r="O243" s="14" t="n">
        <v>32.6708656981258</v>
      </c>
      <c r="P243" s="13" t="n">
        <v>8884.92857142857</v>
      </c>
      <c r="Q243" s="15" t="n">
        <v>-0.0596464964509684</v>
      </c>
      <c r="R243" s="15" t="n">
        <v>-0.0545787810819284</v>
      </c>
      <c r="S243" s="17" t="b">
        <f aca="false">FALSE()</f>
        <v>0</v>
      </c>
    </row>
    <row r="244" customFormat="false" ht="15" hidden="false" customHeight="true" outlineLevel="0" collapsed="false">
      <c r="A244" s="12" t="n">
        <v>41880</v>
      </c>
      <c r="B244" s="13" t="n">
        <v>594007.213203712</v>
      </c>
      <c r="C244" s="13" t="n">
        <v>660937.804805604</v>
      </c>
      <c r="D244" s="13" t="n">
        <v>19317</v>
      </c>
      <c r="E244" s="14" t="n">
        <v>30.7504898899266</v>
      </c>
      <c r="F244" s="14" t="n">
        <v>34.215344246291</v>
      </c>
      <c r="G244" s="13" t="n">
        <v>-66930.5916018911</v>
      </c>
      <c r="H244" s="15" t="n">
        <v>-0.112676395360434</v>
      </c>
      <c r="I244" s="15" t="n">
        <v>-0.112676395360434</v>
      </c>
      <c r="J244" s="16" t="n">
        <v>2014</v>
      </c>
      <c r="K244" s="16" t="n">
        <v>8</v>
      </c>
      <c r="L244" s="16" t="n">
        <v>35</v>
      </c>
      <c r="M244" s="16" t="s">
        <v>36</v>
      </c>
      <c r="N244" s="17" t="b">
        <f aca="false">FALSE()</f>
        <v>0</v>
      </c>
      <c r="O244" s="14" t="n">
        <v>32.5484829474743</v>
      </c>
      <c r="P244" s="13" t="n">
        <v>9093.14285714286</v>
      </c>
      <c r="Q244" s="15" t="n">
        <v>-0.0552404565352311</v>
      </c>
      <c r="R244" s="15" t="n">
        <v>1.12434801734431</v>
      </c>
      <c r="S244" s="17" t="b">
        <f aca="false">TRUE()</f>
        <v>1</v>
      </c>
    </row>
    <row r="245" customFormat="false" ht="15" hidden="false" customHeight="true" outlineLevel="0" collapsed="false">
      <c r="A245" s="12" t="n">
        <v>41881</v>
      </c>
      <c r="B245" s="13" t="n">
        <v>717096.712818359</v>
      </c>
      <c r="C245" s="13" t="n">
        <v>797788.891976238</v>
      </c>
      <c r="D245" s="13" t="n">
        <v>23310</v>
      </c>
      <c r="E245" s="14" t="n">
        <v>30.7634797433874</v>
      </c>
      <c r="F245" s="14" t="n">
        <v>34.2251776909583</v>
      </c>
      <c r="G245" s="13" t="n">
        <v>-80692.1791578782</v>
      </c>
      <c r="H245" s="15" t="n">
        <v>-0.112526215384169</v>
      </c>
      <c r="I245" s="15" t="n">
        <v>-0.112526215384169</v>
      </c>
      <c r="J245" s="16" t="n">
        <v>2014</v>
      </c>
      <c r="K245" s="16" t="n">
        <v>8</v>
      </c>
      <c r="L245" s="16" t="n">
        <v>35</v>
      </c>
      <c r="M245" s="16" t="s">
        <v>37</v>
      </c>
      <c r="N245" s="17" t="b">
        <f aca="false">TRUE()</f>
        <v>1</v>
      </c>
      <c r="O245" s="14" t="n">
        <v>32.4272179932225</v>
      </c>
      <c r="P245" s="13" t="n">
        <v>9431</v>
      </c>
      <c r="Q245" s="15" t="n">
        <v>-0.0513068450763443</v>
      </c>
      <c r="R245" s="15" t="n">
        <v>1.47163609373343</v>
      </c>
      <c r="S245" s="17" t="b">
        <f aca="false">TRUE()</f>
        <v>1</v>
      </c>
    </row>
    <row r="246" customFormat="false" ht="15" hidden="false" customHeight="true" outlineLevel="0" collapsed="false">
      <c r="A246" s="12" t="n">
        <v>41882</v>
      </c>
      <c r="B246" s="13" t="n">
        <v>358170.996328817</v>
      </c>
      <c r="C246" s="13" t="n">
        <v>398562.607430159</v>
      </c>
      <c r="D246" s="13" t="n">
        <v>11646</v>
      </c>
      <c r="E246" s="14" t="n">
        <v>30.7548511359108</v>
      </c>
      <c r="F246" s="14" t="n">
        <v>34.2231330439772</v>
      </c>
      <c r="G246" s="13" t="n">
        <v>-40391.6111013418</v>
      </c>
      <c r="H246" s="15" t="n">
        <v>-0.112771864599166</v>
      </c>
      <c r="I246" s="15" t="n">
        <v>-0.112771864599166</v>
      </c>
      <c r="J246" s="16" t="n">
        <v>2014</v>
      </c>
      <c r="K246" s="16" t="n">
        <v>8</v>
      </c>
      <c r="L246" s="16" t="n">
        <v>35</v>
      </c>
      <c r="M246" s="16" t="s">
        <v>38</v>
      </c>
      <c r="N246" s="17" t="b">
        <f aca="false">TRUE()</f>
        <v>1</v>
      </c>
      <c r="O246" s="14" t="n">
        <v>32.3061521332142</v>
      </c>
      <c r="P246" s="13" t="n">
        <v>9904.14285714286</v>
      </c>
      <c r="Q246" s="15" t="n">
        <v>-0.048018748593353</v>
      </c>
      <c r="R246" s="15" t="n">
        <v>0.175871568896133</v>
      </c>
      <c r="S246" s="17" t="b">
        <f aca="false">FALSE()</f>
        <v>0</v>
      </c>
    </row>
    <row r="247" customFormat="false" ht="15" hidden="false" customHeight="true" outlineLevel="0" collapsed="false">
      <c r="A247" s="12" t="n">
        <v>41883</v>
      </c>
      <c r="B247" s="13" t="n">
        <v>594953.634906439</v>
      </c>
      <c r="C247" s="13" t="n">
        <v>662850.990761084</v>
      </c>
      <c r="D247" s="13" t="n">
        <v>19366</v>
      </c>
      <c r="E247" s="14" t="n">
        <v>30.7215550400929</v>
      </c>
      <c r="F247" s="14" t="n">
        <v>34.2275632944895</v>
      </c>
      <c r="G247" s="13" t="n">
        <v>-67897.3558546454</v>
      </c>
      <c r="H247" s="15" t="n">
        <v>-0.114122096027404</v>
      </c>
      <c r="I247" s="15" t="n">
        <v>-0.114122096027404</v>
      </c>
      <c r="J247" s="16" t="n">
        <v>2014</v>
      </c>
      <c r="K247" s="16" t="n">
        <v>9</v>
      </c>
      <c r="L247" s="16" t="n">
        <v>36</v>
      </c>
      <c r="M247" s="16" t="s">
        <v>32</v>
      </c>
      <c r="N247" s="17" t="b">
        <f aca="false">FALSE()</f>
        <v>0</v>
      </c>
      <c r="O247" s="14" t="n">
        <v>32.1847508782816</v>
      </c>
      <c r="P247" s="13" t="n">
        <v>10208.8571428571</v>
      </c>
      <c r="Q247" s="15" t="n">
        <v>-0.0454623944029379</v>
      </c>
      <c r="R247" s="15" t="n">
        <v>0.896980213260194</v>
      </c>
      <c r="S247" s="17" t="b">
        <f aca="false">FALSE()</f>
        <v>0</v>
      </c>
    </row>
    <row r="248" customFormat="false" ht="15" hidden="false" customHeight="true" outlineLevel="0" collapsed="false">
      <c r="A248" s="12" t="n">
        <v>41884</v>
      </c>
      <c r="B248" s="13" t="n">
        <v>469469.941025128</v>
      </c>
      <c r="C248" s="13" t="n">
        <v>523480.303345642</v>
      </c>
      <c r="D248" s="13" t="n">
        <v>15291</v>
      </c>
      <c r="E248" s="14" t="n">
        <v>30.7023700886226</v>
      </c>
      <c r="F248" s="14" t="n">
        <v>34.2345368743471</v>
      </c>
      <c r="G248" s="13" t="n">
        <v>-54010.3623205141</v>
      </c>
      <c r="H248" s="15" t="n">
        <v>-0.115045411006673</v>
      </c>
      <c r="I248" s="15" t="n">
        <v>-0.115045411006673</v>
      </c>
      <c r="J248" s="16" t="n">
        <v>2014</v>
      </c>
      <c r="K248" s="16" t="n">
        <v>9</v>
      </c>
      <c r="L248" s="16" t="n">
        <v>36</v>
      </c>
      <c r="M248" s="16" t="s">
        <v>33</v>
      </c>
      <c r="N248" s="17" t="b">
        <f aca="false">FALSE()</f>
        <v>0</v>
      </c>
      <c r="O248" s="14" t="n">
        <v>32.0609506156285</v>
      </c>
      <c r="P248" s="13" t="n">
        <v>11030.4285714286</v>
      </c>
      <c r="Q248" s="15" t="n">
        <v>-0.0423749296548818</v>
      </c>
      <c r="R248" s="15" t="n">
        <v>0.386256200380765</v>
      </c>
      <c r="S248" s="17" t="b">
        <f aca="false">FALSE()</f>
        <v>0</v>
      </c>
    </row>
    <row r="249" customFormat="false" ht="15" hidden="false" customHeight="true" outlineLevel="0" collapsed="false">
      <c r="A249" s="12" t="n">
        <v>41885</v>
      </c>
      <c r="B249" s="13" t="n">
        <v>464067.799340213</v>
      </c>
      <c r="C249" s="13" t="n">
        <v>517180.543295555</v>
      </c>
      <c r="D249" s="13" t="n">
        <v>15100</v>
      </c>
      <c r="E249" s="14" t="n">
        <v>30.7329668437227</v>
      </c>
      <c r="F249" s="14" t="n">
        <v>34.2503671056659</v>
      </c>
      <c r="G249" s="13" t="n">
        <v>-53112.7439553428</v>
      </c>
      <c r="H249" s="15" t="n">
        <v>-0.114450397185187</v>
      </c>
      <c r="I249" s="15" t="n">
        <v>-0.114450397185187</v>
      </c>
      <c r="J249" s="16" t="n">
        <v>2014</v>
      </c>
      <c r="K249" s="16" t="n">
        <v>9</v>
      </c>
      <c r="L249" s="16" t="n">
        <v>36</v>
      </c>
      <c r="M249" s="16" t="s">
        <v>34</v>
      </c>
      <c r="N249" s="17" t="b">
        <f aca="false">FALSE()</f>
        <v>0</v>
      </c>
      <c r="O249" s="14" t="n">
        <v>31.9355909559132</v>
      </c>
      <c r="P249" s="13" t="n">
        <v>11769.7142857143</v>
      </c>
      <c r="Q249" s="15" t="n">
        <v>-0.0376578004725415</v>
      </c>
      <c r="R249" s="15" t="n">
        <v>0.282953828227412</v>
      </c>
      <c r="S249" s="17" t="b">
        <f aca="false">FALSE()</f>
        <v>0</v>
      </c>
    </row>
    <row r="250" customFormat="false" ht="15" hidden="false" customHeight="true" outlineLevel="0" collapsed="false">
      <c r="A250" s="12" t="n">
        <v>41886</v>
      </c>
      <c r="B250" s="13" t="n">
        <v>312311.953981191</v>
      </c>
      <c r="C250" s="13" t="n">
        <v>348177.120545782</v>
      </c>
      <c r="D250" s="13" t="n">
        <v>10164</v>
      </c>
      <c r="E250" s="14" t="n">
        <v>30.7272681996449</v>
      </c>
      <c r="F250" s="14" t="n">
        <v>34.2559150477944</v>
      </c>
      <c r="G250" s="13" t="n">
        <v>-35865.1665645912</v>
      </c>
      <c r="H250" s="15" t="n">
        <v>-0.114837636239666</v>
      </c>
      <c r="I250" s="15" t="n">
        <v>-0.114837636239666</v>
      </c>
      <c r="J250" s="16" t="n">
        <v>2014</v>
      </c>
      <c r="K250" s="16" t="n">
        <v>9</v>
      </c>
      <c r="L250" s="16" t="n">
        <v>36</v>
      </c>
      <c r="M250" s="16" t="s">
        <v>35</v>
      </c>
      <c r="N250" s="17" t="b">
        <f aca="false">FALSE()</f>
        <v>0</v>
      </c>
      <c r="O250" s="14" t="n">
        <v>31.7514128484649</v>
      </c>
      <c r="P250" s="13" t="n">
        <v>12480.3571428571</v>
      </c>
      <c r="Q250" s="15" t="n">
        <v>-0.0322550890477781</v>
      </c>
      <c r="R250" s="15" t="n">
        <v>-0.185600228931178</v>
      </c>
      <c r="S250" s="17" t="b">
        <f aca="false">FALSE()</f>
        <v>0</v>
      </c>
    </row>
    <row r="251" customFormat="false" ht="15" hidden="false" customHeight="true" outlineLevel="0" collapsed="false">
      <c r="A251" s="12" t="n">
        <v>41887</v>
      </c>
      <c r="B251" s="13" t="n">
        <v>501279.000444481</v>
      </c>
      <c r="C251" s="13" t="n">
        <v>558766.690346946</v>
      </c>
      <c r="D251" s="13" t="n">
        <v>16310</v>
      </c>
      <c r="E251" s="14" t="n">
        <v>30.7344574153575</v>
      </c>
      <c r="F251" s="14" t="n">
        <v>34.2591471702603</v>
      </c>
      <c r="G251" s="13" t="n">
        <v>-57487.6899024651</v>
      </c>
      <c r="H251" s="15" t="n">
        <v>-0.114682023087923</v>
      </c>
      <c r="I251" s="15" t="n">
        <v>-0.114682023087924</v>
      </c>
      <c r="J251" s="16" t="n">
        <v>2014</v>
      </c>
      <c r="K251" s="16" t="n">
        <v>9</v>
      </c>
      <c r="L251" s="16" t="n">
        <v>36</v>
      </c>
      <c r="M251" s="16" t="s">
        <v>36</v>
      </c>
      <c r="N251" s="17" t="b">
        <f aca="false">FALSE()</f>
        <v>0</v>
      </c>
      <c r="O251" s="14" t="n">
        <v>31.5661148005065</v>
      </c>
      <c r="P251" s="13" t="n">
        <v>12854.3571428571</v>
      </c>
      <c r="Q251" s="15" t="n">
        <v>-0.0263465234921993</v>
      </c>
      <c r="R251" s="15" t="n">
        <v>0.268830468823801</v>
      </c>
      <c r="S251" s="17" t="b">
        <f aca="false">FALSE()</f>
        <v>0</v>
      </c>
    </row>
    <row r="252" customFormat="false" ht="15" hidden="false" customHeight="true" outlineLevel="0" collapsed="false">
      <c r="A252" s="12" t="n">
        <v>41888</v>
      </c>
      <c r="B252" s="13" t="n">
        <v>552703.903758153</v>
      </c>
      <c r="C252" s="13" t="n">
        <v>616169.851431137</v>
      </c>
      <c r="D252" s="13" t="n">
        <v>17985</v>
      </c>
      <c r="E252" s="14" t="n">
        <v>30.7313819159384</v>
      </c>
      <c r="F252" s="14" t="n">
        <v>34.2602085866631</v>
      </c>
      <c r="G252" s="13" t="n">
        <v>-63465.947672984</v>
      </c>
      <c r="H252" s="15" t="n">
        <v>-0.114828115454663</v>
      </c>
      <c r="I252" s="15" t="n">
        <v>-0.114828115454663</v>
      </c>
      <c r="J252" s="16" t="n">
        <v>2014</v>
      </c>
      <c r="K252" s="16" t="n">
        <v>9</v>
      </c>
      <c r="L252" s="16" t="n">
        <v>36</v>
      </c>
      <c r="M252" s="16" t="s">
        <v>37</v>
      </c>
      <c r="N252" s="17" t="b">
        <f aca="false">TRUE()</f>
        <v>1</v>
      </c>
      <c r="O252" s="14" t="n">
        <v>31.3816671621261</v>
      </c>
      <c r="P252" s="13" t="n">
        <v>13211.5714285714</v>
      </c>
      <c r="Q252" s="15" t="n">
        <v>-0.020721819616151</v>
      </c>
      <c r="R252" s="15" t="n">
        <v>0.361306646770688</v>
      </c>
      <c r="S252" s="17" t="b">
        <f aca="false">FALSE()</f>
        <v>0</v>
      </c>
    </row>
    <row r="253" customFormat="false" ht="15" hidden="false" customHeight="true" outlineLevel="0" collapsed="false">
      <c r="A253" s="12" t="n">
        <v>41889</v>
      </c>
      <c r="B253" s="13" t="n">
        <v>234153.762210716</v>
      </c>
      <c r="C253" s="13" t="n">
        <v>261088.386372968</v>
      </c>
      <c r="D253" s="13" t="n">
        <v>7620</v>
      </c>
      <c r="E253" s="14" t="n">
        <v>30.7288401851333</v>
      </c>
      <c r="F253" s="14" t="n">
        <v>34.2635677654813</v>
      </c>
      <c r="G253" s="13" t="n">
        <v>-26934.624162252</v>
      </c>
      <c r="H253" s="15" t="n">
        <v>-0.115029645084299</v>
      </c>
      <c r="I253" s="15" t="n">
        <v>-0.115029645084299</v>
      </c>
      <c r="J253" s="16" t="n">
        <v>2014</v>
      </c>
      <c r="K253" s="16" t="n">
        <v>9</v>
      </c>
      <c r="L253" s="16" t="n">
        <v>36</v>
      </c>
      <c r="M253" s="16" t="s">
        <v>38</v>
      </c>
      <c r="N253" s="17" t="b">
        <f aca="false">TRUE()</f>
        <v>1</v>
      </c>
      <c r="O253" s="14" t="n">
        <v>31.1965123628447</v>
      </c>
      <c r="P253" s="13" t="n">
        <v>13523.8571428571</v>
      </c>
      <c r="Q253" s="15" t="n">
        <v>-0.0149911686367979</v>
      </c>
      <c r="R253" s="15" t="n">
        <v>-0.436551279749015</v>
      </c>
      <c r="S253" s="17" t="b">
        <f aca="false">FALSE()</f>
        <v>0</v>
      </c>
    </row>
    <row r="254" customFormat="false" ht="15" hidden="false" customHeight="true" outlineLevel="0" collapsed="false">
      <c r="A254" s="12" t="n">
        <v>41890</v>
      </c>
      <c r="B254" s="13" t="n">
        <v>244481.497729306</v>
      </c>
      <c r="C254" s="13" t="n">
        <v>272633.399802758</v>
      </c>
      <c r="D254" s="13" t="n">
        <v>7958</v>
      </c>
      <c r="E254" s="14" t="n">
        <v>30.7214749597017</v>
      </c>
      <c r="F254" s="14" t="n">
        <v>34.259034908615</v>
      </c>
      <c r="G254" s="13" t="n">
        <v>-28151.902073452</v>
      </c>
      <c r="H254" s="15" t="n">
        <v>-0.115149417583421</v>
      </c>
      <c r="I254" s="15" t="n">
        <v>-0.115149417583421</v>
      </c>
      <c r="J254" s="16" t="n">
        <v>2014</v>
      </c>
      <c r="K254" s="16" t="n">
        <v>9</v>
      </c>
      <c r="L254" s="16" t="n">
        <v>37</v>
      </c>
      <c r="M254" s="16" t="s">
        <v>32</v>
      </c>
      <c r="N254" s="17" t="b">
        <f aca="false">FALSE()</f>
        <v>0</v>
      </c>
      <c r="O254" s="14" t="n">
        <v>31.0075965615698</v>
      </c>
      <c r="P254" s="13" t="n">
        <v>13609.2857142857</v>
      </c>
      <c r="Q254" s="15" t="n">
        <v>-0.00922746789806821</v>
      </c>
      <c r="R254" s="15" t="n">
        <v>-0.41525219125597</v>
      </c>
      <c r="S254" s="17" t="b">
        <f aca="false">FALSE()</f>
        <v>0</v>
      </c>
    </row>
    <row r="255" customFormat="false" ht="15" hidden="false" customHeight="true" outlineLevel="0" collapsed="false">
      <c r="A255" s="12" t="n">
        <v>41891</v>
      </c>
      <c r="B255" s="13" t="n">
        <v>122749.635278309</v>
      </c>
      <c r="C255" s="13" t="n">
        <v>120070.950188597</v>
      </c>
      <c r="D255" s="13" t="n">
        <v>3503</v>
      </c>
      <c r="E255" s="14" t="n">
        <v>35.0412889746814</v>
      </c>
      <c r="F255" s="14" t="n">
        <v>34.2766058203247</v>
      </c>
      <c r="G255" s="13" t="n">
        <v>2678.68508971136</v>
      </c>
      <c r="H255" s="15" t="n">
        <v>0.0218223466296907</v>
      </c>
      <c r="I255" s="15" t="n">
        <v>0.0218223466296906</v>
      </c>
      <c r="J255" s="16" t="n">
        <v>2014</v>
      </c>
      <c r="K255" s="16" t="n">
        <v>9</v>
      </c>
      <c r="L255" s="16" t="n">
        <v>37</v>
      </c>
      <c r="M255" s="16" t="s">
        <v>33</v>
      </c>
      <c r="N255" s="17" t="b">
        <f aca="false">FALSE()</f>
        <v>0</v>
      </c>
      <c r="O255" s="14" t="n">
        <v>30.8212554942421</v>
      </c>
      <c r="P255" s="13" t="n">
        <v>13499.6428571429</v>
      </c>
      <c r="Q255" s="15" t="n">
        <v>0.136919583993832</v>
      </c>
      <c r="R255" s="15" t="n">
        <v>-0.740511653747454</v>
      </c>
      <c r="S255" s="17" t="b">
        <f aca="false">FALSE()</f>
        <v>0</v>
      </c>
    </row>
    <row r="256" customFormat="false" ht="15" hidden="false" customHeight="true" outlineLevel="0" collapsed="false">
      <c r="A256" s="12" t="n">
        <v>41892</v>
      </c>
      <c r="B256" s="13" t="n">
        <v>78736.4028397212</v>
      </c>
      <c r="C256" s="13" t="n">
        <v>77071.5427061101</v>
      </c>
      <c r="D256" s="13" t="n">
        <v>2247</v>
      </c>
      <c r="E256" s="14" t="n">
        <v>35.0406777212823</v>
      </c>
      <c r="F256" s="14" t="n">
        <v>34.2997519831376</v>
      </c>
      <c r="G256" s="13" t="n">
        <v>1664.8601336111</v>
      </c>
      <c r="H256" s="15" t="n">
        <v>0.0211447319608968</v>
      </c>
      <c r="I256" s="15" t="n">
        <v>0.0211447319608968</v>
      </c>
      <c r="J256" s="16" t="n">
        <v>2014</v>
      </c>
      <c r="K256" s="16" t="n">
        <v>9</v>
      </c>
      <c r="L256" s="16" t="n">
        <v>37</v>
      </c>
      <c r="M256" s="16" t="s">
        <v>34</v>
      </c>
      <c r="N256" s="17" t="b">
        <f aca="false">FALSE()</f>
        <v>0</v>
      </c>
      <c r="O256" s="14" t="n">
        <v>31.0477107785656</v>
      </c>
      <c r="P256" s="13" t="n">
        <v>13205.6428571429</v>
      </c>
      <c r="Q256" s="15" t="n">
        <v>0.128607451003226</v>
      </c>
      <c r="R256" s="15" t="n">
        <v>-0.829845466494302</v>
      </c>
      <c r="S256" s="17" t="b">
        <f aca="false">FALSE()</f>
        <v>0</v>
      </c>
    </row>
    <row r="257" customFormat="false" ht="15" hidden="false" customHeight="true" outlineLevel="0" collapsed="false">
      <c r="A257" s="12" t="n">
        <v>41893</v>
      </c>
      <c r="B257" s="13" t="n">
        <v>70875.1106687411</v>
      </c>
      <c r="C257" s="13" t="n">
        <v>69489.3608468351</v>
      </c>
      <c r="D257" s="13" t="n">
        <v>2023</v>
      </c>
      <c r="E257" s="14" t="n">
        <v>35.0346567813846</v>
      </c>
      <c r="F257" s="14" t="n">
        <v>34.3496593409961</v>
      </c>
      <c r="G257" s="13" t="n">
        <v>1385.74982190598</v>
      </c>
      <c r="H257" s="15" t="n">
        <v>0.0195519951761733</v>
      </c>
      <c r="I257" s="15" t="n">
        <v>0.0195519951761734</v>
      </c>
      <c r="J257" s="16" t="n">
        <v>2014</v>
      </c>
      <c r="K257" s="16" t="n">
        <v>9</v>
      </c>
      <c r="L257" s="16" t="n">
        <v>37</v>
      </c>
      <c r="M257" s="16" t="s">
        <v>35</v>
      </c>
      <c r="N257" s="17" t="b">
        <f aca="false">FALSE()</f>
        <v>0</v>
      </c>
      <c r="O257" s="14" t="n">
        <v>31.3480903669011</v>
      </c>
      <c r="P257" s="13" t="n">
        <v>12729.7857142857</v>
      </c>
      <c r="Q257" s="15" t="n">
        <v>0.117600988491983</v>
      </c>
      <c r="R257" s="15" t="n">
        <v>-0.841081378319689</v>
      </c>
      <c r="S257" s="17" t="b">
        <f aca="false">FALSE()</f>
        <v>0</v>
      </c>
    </row>
    <row r="258" customFormat="false" ht="15" hidden="false" customHeight="true" outlineLevel="0" collapsed="false">
      <c r="A258" s="12" t="n">
        <v>41894</v>
      </c>
      <c r="B258" s="13" t="n">
        <v>148634.391406875</v>
      </c>
      <c r="C258" s="13" t="n">
        <v>145956.139695921</v>
      </c>
      <c r="D258" s="13" t="n">
        <v>4242</v>
      </c>
      <c r="E258" s="14" t="n">
        <v>35.038753278377</v>
      </c>
      <c r="F258" s="14" t="n">
        <v>34.4073879528338</v>
      </c>
      <c r="G258" s="13" t="n">
        <v>2678.25171095418</v>
      </c>
      <c r="H258" s="15" t="n">
        <v>0.0180190579421332</v>
      </c>
      <c r="I258" s="15" t="n">
        <v>0.018019057942133</v>
      </c>
      <c r="J258" s="16" t="n">
        <v>2014</v>
      </c>
      <c r="K258" s="16" t="n">
        <v>9</v>
      </c>
      <c r="L258" s="16" t="n">
        <v>37</v>
      </c>
      <c r="M258" s="16" t="s">
        <v>36</v>
      </c>
      <c r="N258" s="17" t="b">
        <f aca="false">FALSE()</f>
        <v>0</v>
      </c>
      <c r="O258" s="14" t="n">
        <v>31.6561256353419</v>
      </c>
      <c r="P258" s="13" t="n">
        <v>12274.2857142857</v>
      </c>
      <c r="Q258" s="15" t="n">
        <v>0.106855389759339</v>
      </c>
      <c r="R258" s="15" t="n">
        <v>-0.654399441340782</v>
      </c>
      <c r="S258" s="17" t="b">
        <f aca="false">FALSE()</f>
        <v>0</v>
      </c>
    </row>
    <row r="259" customFormat="false" ht="15" hidden="false" customHeight="true" outlineLevel="0" collapsed="false">
      <c r="A259" s="12" t="n">
        <v>41895</v>
      </c>
      <c r="B259" s="13" t="n">
        <v>171724.828781934</v>
      </c>
      <c r="C259" s="13" t="n">
        <v>168652.203571442</v>
      </c>
      <c r="D259" s="13" t="n">
        <v>4901</v>
      </c>
      <c r="E259" s="14" t="n">
        <v>35.0387326631165</v>
      </c>
      <c r="F259" s="14" t="n">
        <v>34.4117942402452</v>
      </c>
      <c r="G259" s="13" t="n">
        <v>3072.62521049226</v>
      </c>
      <c r="H259" s="15" t="n">
        <v>0.0178927254275738</v>
      </c>
      <c r="I259" s="15" t="n">
        <v>0.0178927254275738</v>
      </c>
      <c r="J259" s="16" t="n">
        <v>2014</v>
      </c>
      <c r="K259" s="16" t="n">
        <v>9</v>
      </c>
      <c r="L259" s="16" t="n">
        <v>37</v>
      </c>
      <c r="M259" s="16" t="s">
        <v>37</v>
      </c>
      <c r="N259" s="17" t="b">
        <f aca="false">TRUE()</f>
        <v>1</v>
      </c>
      <c r="O259" s="14" t="n">
        <v>31.9624301630884</v>
      </c>
      <c r="P259" s="13" t="n">
        <v>11197.5</v>
      </c>
      <c r="Q259" s="15" t="n">
        <v>0.0962474531608291</v>
      </c>
      <c r="R259" s="15" t="n">
        <v>-0.562313016298281</v>
      </c>
      <c r="S259" s="17" t="b">
        <f aca="false">FALSE()</f>
        <v>0</v>
      </c>
    </row>
    <row r="260" customFormat="false" ht="15" hidden="false" customHeight="true" outlineLevel="0" collapsed="false">
      <c r="A260" s="12" t="n">
        <v>41896</v>
      </c>
      <c r="B260" s="13" t="n">
        <v>86435.6988349511</v>
      </c>
      <c r="C260" s="13" t="n">
        <v>84948.3745771638</v>
      </c>
      <c r="D260" s="13" t="n">
        <v>2467</v>
      </c>
      <c r="E260" s="14" t="n">
        <v>35.0367648297329</v>
      </c>
      <c r="F260" s="14" t="n">
        <v>34.4338770073627</v>
      </c>
      <c r="G260" s="13" t="n">
        <v>1487.32425778735</v>
      </c>
      <c r="H260" s="15" t="n">
        <v>0.0172072914066142</v>
      </c>
      <c r="I260" s="15" t="n">
        <v>0.0172072914066141</v>
      </c>
      <c r="J260" s="16" t="n">
        <v>2014</v>
      </c>
      <c r="K260" s="16" t="n">
        <v>9</v>
      </c>
      <c r="L260" s="16" t="n">
        <v>37</v>
      </c>
      <c r="M260" s="16" t="s">
        <v>38</v>
      </c>
      <c r="N260" s="17" t="b">
        <f aca="false">TRUE()</f>
        <v>1</v>
      </c>
      <c r="O260" s="14" t="n">
        <v>32.2678053716405</v>
      </c>
      <c r="P260" s="13" t="n">
        <v>9882.57142857143</v>
      </c>
      <c r="Q260" s="15" t="n">
        <v>0.0858118309008408</v>
      </c>
      <c r="R260" s="15" t="n">
        <v>-0.750368614299344</v>
      </c>
      <c r="S260" s="17" t="b">
        <f aca="false">FALSE()</f>
        <v>0</v>
      </c>
    </row>
    <row r="261" customFormat="false" ht="15" hidden="false" customHeight="true" outlineLevel="0" collapsed="false">
      <c r="A261" s="12" t="n">
        <v>41897</v>
      </c>
      <c r="B261" s="13" t="n">
        <v>120236.18270337</v>
      </c>
      <c r="C261" s="13" t="n">
        <v>118094.043193149</v>
      </c>
      <c r="D261" s="13" t="n">
        <v>3432</v>
      </c>
      <c r="E261" s="14" t="n">
        <v>35.0338527690472</v>
      </c>
      <c r="F261" s="14" t="n">
        <v>34.40968624509</v>
      </c>
      <c r="G261" s="13" t="n">
        <v>2142.1395102211</v>
      </c>
      <c r="H261" s="15" t="n">
        <v>0.0178160971353015</v>
      </c>
      <c r="I261" s="15" t="n">
        <v>0.0178160971353016</v>
      </c>
      <c r="J261" s="16" t="n">
        <v>2014</v>
      </c>
      <c r="K261" s="16" t="n">
        <v>9</v>
      </c>
      <c r="L261" s="16" t="n">
        <v>38</v>
      </c>
      <c r="M261" s="16" t="s">
        <v>32</v>
      </c>
      <c r="N261" s="17" t="b">
        <f aca="false">FALSE()</f>
        <v>0</v>
      </c>
      <c r="O261" s="14" t="n">
        <v>32.5736563497706</v>
      </c>
      <c r="P261" s="13" t="n">
        <v>9226.92857142857</v>
      </c>
      <c r="Q261" s="15" t="n">
        <v>0.075527180395698</v>
      </c>
      <c r="R261" s="15" t="n">
        <v>-0.628045240251748</v>
      </c>
      <c r="S261" s="17" t="b">
        <f aca="false">FALSE()</f>
        <v>0</v>
      </c>
    </row>
    <row r="262" customFormat="false" ht="15" hidden="false" customHeight="true" outlineLevel="0" collapsed="false">
      <c r="A262" s="12" t="n">
        <v>41898</v>
      </c>
      <c r="B262" s="13" t="n">
        <v>83204.1966941811</v>
      </c>
      <c r="C262" s="13" t="n">
        <v>81753.4245935456</v>
      </c>
      <c r="D262" s="13" t="n">
        <v>2375</v>
      </c>
      <c r="E262" s="14" t="n">
        <v>35.0333459764973</v>
      </c>
      <c r="F262" s="14" t="n">
        <v>34.4224945657034</v>
      </c>
      <c r="G262" s="13" t="n">
        <v>1450.77210063551</v>
      </c>
      <c r="H262" s="15" t="n">
        <v>0.0174362851668151</v>
      </c>
      <c r="I262" s="15" t="n">
        <v>0.017436285166815</v>
      </c>
      <c r="J262" s="16" t="n">
        <v>2014</v>
      </c>
      <c r="K262" s="16" t="n">
        <v>9</v>
      </c>
      <c r="L262" s="16" t="n">
        <v>38</v>
      </c>
      <c r="M262" s="16" t="s">
        <v>33</v>
      </c>
      <c r="N262" s="17" t="b">
        <f aca="false">FALSE()</f>
        <v>0</v>
      </c>
      <c r="O262" s="14" t="n">
        <v>32.8816776161245</v>
      </c>
      <c r="P262" s="13" t="n">
        <v>8088.78571428572</v>
      </c>
      <c r="Q262" s="15" t="n">
        <v>0.0654366965546088</v>
      </c>
      <c r="R262" s="15" t="n">
        <v>-0.706383617530443</v>
      </c>
      <c r="S262" s="17" t="b">
        <f aca="false">FALSE()</f>
        <v>0</v>
      </c>
    </row>
    <row r="263" customFormat="false" ht="15" hidden="false" customHeight="true" outlineLevel="0" collapsed="false">
      <c r="A263" s="12" t="n">
        <v>41899</v>
      </c>
      <c r="B263" s="13" t="n">
        <v>73768.034734921</v>
      </c>
      <c r="C263" s="13" t="n">
        <v>72471.9193234045</v>
      </c>
      <c r="D263" s="13" t="n">
        <v>2105</v>
      </c>
      <c r="E263" s="14" t="n">
        <v>35.0441970237154</v>
      </c>
      <c r="F263" s="14" t="n">
        <v>34.4284652367717</v>
      </c>
      <c r="G263" s="13" t="n">
        <v>1296.11541151648</v>
      </c>
      <c r="H263" s="15" t="n">
        <v>0.0175701496749095</v>
      </c>
      <c r="I263" s="15" t="n">
        <v>0.0175701496749095</v>
      </c>
      <c r="J263" s="16" t="n">
        <v>2014</v>
      </c>
      <c r="K263" s="16" t="n">
        <v>9</v>
      </c>
      <c r="L263" s="16" t="n">
        <v>38</v>
      </c>
      <c r="M263" s="16" t="s">
        <v>34</v>
      </c>
      <c r="N263" s="17" t="b">
        <f aca="false">FALSE()</f>
        <v>0</v>
      </c>
      <c r="O263" s="14" t="n">
        <v>33.191033036687</v>
      </c>
      <c r="P263" s="13" t="n">
        <v>7166.21428571429</v>
      </c>
      <c r="Q263" s="15" t="n">
        <v>0.0558332723473869</v>
      </c>
      <c r="R263" s="15" t="n">
        <v>-0.706260528073201</v>
      </c>
      <c r="S263" s="17" t="b">
        <f aca="false">FALSE()</f>
        <v>0</v>
      </c>
    </row>
    <row r="264" customFormat="false" ht="15" hidden="false" customHeight="true" outlineLevel="0" collapsed="false">
      <c r="A264" s="12" t="n">
        <v>41900</v>
      </c>
      <c r="B264" s="13" t="n">
        <v>69425.445115771</v>
      </c>
      <c r="C264" s="13" t="n">
        <v>68280.3832768952</v>
      </c>
      <c r="D264" s="13" t="n">
        <v>1982</v>
      </c>
      <c r="E264" s="14" t="n">
        <v>35.0279743268269</v>
      </c>
      <c r="F264" s="14" t="n">
        <v>34.4502438329441</v>
      </c>
      <c r="G264" s="13" t="n">
        <v>1145.06183887579</v>
      </c>
      <c r="H264" s="15" t="n">
        <v>0.0164934029154056</v>
      </c>
      <c r="I264" s="15" t="n">
        <v>0.0164934029154056</v>
      </c>
      <c r="J264" s="16" t="n">
        <v>2014</v>
      </c>
      <c r="K264" s="16" t="n">
        <v>9</v>
      </c>
      <c r="L264" s="16" t="n">
        <v>38</v>
      </c>
      <c r="M264" s="16" t="s">
        <v>35</v>
      </c>
      <c r="N264" s="17" t="b">
        <f aca="false">FALSE()</f>
        <v>0</v>
      </c>
      <c r="O264" s="14" t="n">
        <v>33.4989780495436</v>
      </c>
      <c r="P264" s="13" t="n">
        <v>6238</v>
      </c>
      <c r="Q264" s="15" t="n">
        <v>0.0456430723057286</v>
      </c>
      <c r="R264" s="15" t="n">
        <v>-0.682269958319974</v>
      </c>
      <c r="S264" s="17" t="b">
        <f aca="false">FALSE()</f>
        <v>0</v>
      </c>
    </row>
    <row r="265" customFormat="false" ht="15" hidden="false" customHeight="true" outlineLevel="0" collapsed="false">
      <c r="A265" s="12" t="n">
        <v>41901</v>
      </c>
      <c r="B265" s="13" t="n">
        <v>137154.954087791</v>
      </c>
      <c r="C265" s="13" t="n">
        <v>135276.909586046</v>
      </c>
      <c r="D265" s="13" t="n">
        <v>3915</v>
      </c>
      <c r="E265" s="14" t="n">
        <v>35.0331938921562</v>
      </c>
      <c r="F265" s="14" t="n">
        <v>34.5534890385813</v>
      </c>
      <c r="G265" s="13" t="n">
        <v>1878.0445017454</v>
      </c>
      <c r="H265" s="15" t="n">
        <v>0.013692866686706</v>
      </c>
      <c r="I265" s="15" t="n">
        <v>0.013692866686706</v>
      </c>
      <c r="J265" s="16" t="n">
        <v>2014</v>
      </c>
      <c r="K265" s="16" t="n">
        <v>9</v>
      </c>
      <c r="L265" s="16" t="n">
        <v>38</v>
      </c>
      <c r="M265" s="16" t="s">
        <v>36</v>
      </c>
      <c r="N265" s="17" t="b">
        <f aca="false">FALSE()</f>
        <v>0</v>
      </c>
      <c r="O265" s="14" t="n">
        <v>33.8061713443423</v>
      </c>
      <c r="P265" s="13" t="n">
        <v>5653.57142857143</v>
      </c>
      <c r="Q265" s="15" t="n">
        <v>0.0362958152023683</v>
      </c>
      <c r="R265" s="15" t="n">
        <v>-0.307517372078332</v>
      </c>
      <c r="S265" s="17" t="b">
        <f aca="false">FALSE()</f>
        <v>0</v>
      </c>
    </row>
    <row r="266" customFormat="false" ht="15" hidden="false" customHeight="true" outlineLevel="0" collapsed="false">
      <c r="A266" s="12" t="n">
        <v>41902</v>
      </c>
      <c r="B266" s="13" t="n">
        <v>153569.06188021</v>
      </c>
      <c r="C266" s="13" t="n">
        <v>151376.135589805</v>
      </c>
      <c r="D266" s="13" t="n">
        <v>4383</v>
      </c>
      <c r="E266" s="14" t="n">
        <v>35.0374314123227</v>
      </c>
      <c r="F266" s="14" t="n">
        <v>34.5371059981302</v>
      </c>
      <c r="G266" s="13" t="n">
        <v>2192.92629040554</v>
      </c>
      <c r="H266" s="15" t="n">
        <v>0.014279740095802</v>
      </c>
      <c r="I266" s="15" t="n">
        <v>0.0142797400958021</v>
      </c>
      <c r="J266" s="16" t="n">
        <v>2014</v>
      </c>
      <c r="K266" s="16" t="n">
        <v>9</v>
      </c>
      <c r="L266" s="16" t="n">
        <v>38</v>
      </c>
      <c r="M266" s="16" t="s">
        <v>37</v>
      </c>
      <c r="N266" s="17" t="b">
        <f aca="false">TRUE()</f>
        <v>1</v>
      </c>
      <c r="O266" s="14" t="n">
        <v>34.1132239498279</v>
      </c>
      <c r="P266" s="13" t="n">
        <v>4768.21428571429</v>
      </c>
      <c r="Q266" s="15" t="n">
        <v>0.0270923517476388</v>
      </c>
      <c r="R266" s="15" t="n">
        <v>-0.0807879559583551</v>
      </c>
      <c r="S266" s="17" t="b">
        <f aca="false">FALSE()</f>
        <v>0</v>
      </c>
    </row>
    <row r="267" customFormat="false" ht="15" hidden="false" customHeight="true" outlineLevel="0" collapsed="false">
      <c r="A267" s="12" t="n">
        <v>41903</v>
      </c>
      <c r="B267" s="13" t="n">
        <v>75633.3205886863</v>
      </c>
      <c r="C267" s="13" t="n">
        <v>74546.6682535992</v>
      </c>
      <c r="D267" s="13" t="n">
        <v>2159</v>
      </c>
      <c r="E267" s="14" t="n">
        <v>35.0316445524254</v>
      </c>
      <c r="F267" s="14" t="n">
        <v>34.5283317524776</v>
      </c>
      <c r="G267" s="13" t="n">
        <v>1086.65233508719</v>
      </c>
      <c r="H267" s="15" t="n">
        <v>0.0143673757363727</v>
      </c>
      <c r="I267" s="15" t="n">
        <v>0.0143673757363727</v>
      </c>
      <c r="J267" s="16" t="n">
        <v>2014</v>
      </c>
      <c r="K267" s="16" t="n">
        <v>9</v>
      </c>
      <c r="L267" s="16" t="n">
        <v>38</v>
      </c>
      <c r="M267" s="16" t="s">
        <v>38</v>
      </c>
      <c r="N267" s="17" t="b">
        <f aca="false">TRUE()</f>
        <v>1</v>
      </c>
      <c r="O267" s="14" t="n">
        <v>34.4207989138554</v>
      </c>
      <c r="P267" s="13" t="n">
        <v>3796.64285714286</v>
      </c>
      <c r="Q267" s="15" t="n">
        <v>0.0177464108284861</v>
      </c>
      <c r="R267" s="15" t="n">
        <v>-0.431339717419525</v>
      </c>
      <c r="S267" s="17" t="b">
        <f aca="false">FALSE()</f>
        <v>0</v>
      </c>
    </row>
    <row r="268" customFormat="false" ht="15" hidden="false" customHeight="true" outlineLevel="0" collapsed="false">
      <c r="A268" s="12" t="n">
        <v>41904</v>
      </c>
      <c r="B268" s="13" t="n">
        <v>90815.9298126909</v>
      </c>
      <c r="C268" s="13" t="n">
        <v>89653.6375894529</v>
      </c>
      <c r="D268" s="13" t="n">
        <v>2592</v>
      </c>
      <c r="E268" s="14" t="n">
        <v>35.0370099585999</v>
      </c>
      <c r="F268" s="14" t="n">
        <v>34.5885947490173</v>
      </c>
      <c r="G268" s="13" t="n">
        <v>1162.29222323796</v>
      </c>
      <c r="H268" s="15" t="n">
        <v>0.0127983298264435</v>
      </c>
      <c r="I268" s="15" t="n">
        <v>0.0127983298264436</v>
      </c>
      <c r="J268" s="16" t="n">
        <v>2014</v>
      </c>
      <c r="K268" s="16" t="n">
        <v>9</v>
      </c>
      <c r="L268" s="16" t="n">
        <v>39</v>
      </c>
      <c r="M268" s="16" t="s">
        <v>32</v>
      </c>
      <c r="N268" s="17" t="b">
        <f aca="false">FALSE()</f>
        <v>0</v>
      </c>
      <c r="O268" s="14" t="n">
        <v>34.7281420829477</v>
      </c>
      <c r="P268" s="13" t="n">
        <v>3406.57142857143</v>
      </c>
      <c r="Q268" s="15" t="n">
        <v>0.00889387848375202</v>
      </c>
      <c r="R268" s="15" t="n">
        <v>-0.239117671726914</v>
      </c>
      <c r="S268" s="17" t="b">
        <f aca="false">FALSE()</f>
        <v>0</v>
      </c>
    </row>
    <row r="269" customFormat="false" ht="15" hidden="false" customHeight="true" outlineLevel="0" collapsed="false">
      <c r="A269" s="12" t="n">
        <v>41905</v>
      </c>
      <c r="B269" s="13" t="n">
        <v>110118.15639147</v>
      </c>
      <c r="C269" s="13" t="n">
        <v>108880.408963183</v>
      </c>
      <c r="D269" s="13" t="n">
        <v>3143</v>
      </c>
      <c r="E269" s="14" t="n">
        <v>35.0360026698919</v>
      </c>
      <c r="F269" s="14" t="n">
        <v>34.6421918432017</v>
      </c>
      <c r="G269" s="13" t="n">
        <v>1237.74742828705</v>
      </c>
      <c r="H269" s="15" t="n">
        <v>0.0112401757243997</v>
      </c>
      <c r="I269" s="15" t="n">
        <v>0.0112401757243997</v>
      </c>
      <c r="J269" s="16" t="n">
        <v>2014</v>
      </c>
      <c r="K269" s="16" t="n">
        <v>9</v>
      </c>
      <c r="L269" s="16" t="n">
        <v>39</v>
      </c>
      <c r="M269" s="16" t="s">
        <v>33</v>
      </c>
      <c r="N269" s="17" t="b">
        <f aca="false">FALSE()</f>
        <v>0</v>
      </c>
      <c r="O269" s="14" t="n">
        <v>35.036394582869</v>
      </c>
      <c r="P269" s="13" t="n">
        <v>3023.28571428571</v>
      </c>
      <c r="Q269" s="15" t="n">
        <v>-1.11858820454158E-005</v>
      </c>
      <c r="R269" s="15" t="n">
        <v>0.0395974105750603</v>
      </c>
      <c r="S269" s="17" t="b">
        <f aca="false">FALSE()</f>
        <v>0</v>
      </c>
    </row>
    <row r="270" customFormat="false" ht="15" hidden="false" customHeight="true" outlineLevel="0" collapsed="false">
      <c r="A270" s="12" t="n">
        <v>41906</v>
      </c>
      <c r="B270" s="13" t="n">
        <v>209908.38311164</v>
      </c>
      <c r="C270" s="13" t="n">
        <v>223554.086601751</v>
      </c>
      <c r="D270" s="13" t="n">
        <v>6457</v>
      </c>
      <c r="E270" s="14" t="n">
        <v>32.5086546556667</v>
      </c>
      <c r="F270" s="14" t="n">
        <v>34.6219740749188</v>
      </c>
      <c r="G270" s="13" t="n">
        <v>-13645.703490111</v>
      </c>
      <c r="H270" s="15" t="n">
        <v>-0.0650079014845896</v>
      </c>
      <c r="I270" s="15" t="n">
        <v>-0.0650079014845895</v>
      </c>
      <c r="J270" s="16" t="n">
        <v>2014</v>
      </c>
      <c r="K270" s="16" t="n">
        <v>9</v>
      </c>
      <c r="L270" s="16" t="n">
        <v>39</v>
      </c>
      <c r="M270" s="16" t="s">
        <v>34</v>
      </c>
      <c r="N270" s="17" t="b">
        <f aca="false">FALSE()</f>
        <v>0</v>
      </c>
      <c r="O270" s="14" t="n">
        <v>35.0360169896697</v>
      </c>
      <c r="P270" s="13" t="n">
        <v>2997.57142857143</v>
      </c>
      <c r="Q270" s="15" t="n">
        <v>-0.0721361202315955</v>
      </c>
      <c r="R270" s="15" t="n">
        <v>1.15407711004146</v>
      </c>
      <c r="S270" s="17" t="b">
        <f aca="false">TRUE()</f>
        <v>1</v>
      </c>
    </row>
    <row r="271" customFormat="false" ht="15" hidden="false" customHeight="true" outlineLevel="0" collapsed="false">
      <c r="A271" s="12" t="n">
        <v>41907</v>
      </c>
      <c r="B271" s="13" t="n">
        <v>358365.682968793</v>
      </c>
      <c r="C271" s="13" t="n">
        <v>382967.983175683</v>
      </c>
      <c r="D271" s="13" t="n">
        <v>11039</v>
      </c>
      <c r="E271" s="14" t="n">
        <v>32.4636002327016</v>
      </c>
      <c r="F271" s="14" t="n">
        <v>34.6922713267219</v>
      </c>
      <c r="G271" s="13" t="n">
        <v>-24602.3002068895</v>
      </c>
      <c r="H271" s="15" t="n">
        <v>-0.0686513842594462</v>
      </c>
      <c r="I271" s="15" t="n">
        <v>-0.0686513842594463</v>
      </c>
      <c r="J271" s="16" t="n">
        <v>2014</v>
      </c>
      <c r="K271" s="16" t="n">
        <v>9</v>
      </c>
      <c r="L271" s="16" t="n">
        <v>39</v>
      </c>
      <c r="M271" s="16" t="s">
        <v>35</v>
      </c>
      <c r="N271" s="17" t="b">
        <f aca="false">FALSE()</f>
        <v>0</v>
      </c>
      <c r="O271" s="14" t="n">
        <v>34.8551581992686</v>
      </c>
      <c r="P271" s="13" t="n">
        <v>3298.28571428571</v>
      </c>
      <c r="Q271" s="15" t="n">
        <v>-0.0686141762115755</v>
      </c>
      <c r="R271" s="15" t="n">
        <v>2.34689015939016</v>
      </c>
      <c r="S271" s="17" t="b">
        <f aca="false">TRUE()</f>
        <v>1</v>
      </c>
    </row>
    <row r="272" customFormat="false" ht="15" hidden="false" customHeight="true" outlineLevel="0" collapsed="false">
      <c r="A272" s="12" t="n">
        <v>41908</v>
      </c>
      <c r="B272" s="13" t="n">
        <v>585463.99600736</v>
      </c>
      <c r="C272" s="13" t="n">
        <v>625980.930209415</v>
      </c>
      <c r="D272" s="13" t="n">
        <v>18036</v>
      </c>
      <c r="E272" s="14" t="n">
        <v>32.4608558442759</v>
      </c>
      <c r="F272" s="14" t="n">
        <v>34.7073037374925</v>
      </c>
      <c r="G272" s="13" t="n">
        <v>-40516.9342020545</v>
      </c>
      <c r="H272" s="15" t="n">
        <v>-0.0692048263913143</v>
      </c>
      <c r="I272" s="15" t="n">
        <v>-0.0692048263913142</v>
      </c>
      <c r="J272" s="16" t="n">
        <v>2014</v>
      </c>
      <c r="K272" s="16" t="n">
        <v>9</v>
      </c>
      <c r="L272" s="16" t="n">
        <v>39</v>
      </c>
      <c r="M272" s="16" t="s">
        <v>36</v>
      </c>
      <c r="N272" s="17" t="b">
        <f aca="false">FALSE()</f>
        <v>0</v>
      </c>
      <c r="O272" s="14" t="n">
        <v>34.6715113029341</v>
      </c>
      <c r="P272" s="13" t="n">
        <v>3942.28571428571</v>
      </c>
      <c r="Q272" s="15" t="n">
        <v>-0.0637599970576165</v>
      </c>
      <c r="R272" s="15" t="n">
        <v>3.57501087114075</v>
      </c>
      <c r="S272" s="17" t="b">
        <f aca="false">TRUE()</f>
        <v>1</v>
      </c>
    </row>
    <row r="273" customFormat="false" ht="15" hidden="false" customHeight="true" outlineLevel="0" collapsed="false">
      <c r="A273" s="12" t="n">
        <v>41909</v>
      </c>
      <c r="B273" s="13" t="n">
        <v>617019.091534421</v>
      </c>
      <c r="C273" s="13" t="n">
        <v>661010.591263862</v>
      </c>
      <c r="D273" s="13" t="n">
        <v>19017</v>
      </c>
      <c r="E273" s="14" t="n">
        <v>32.4456587019204</v>
      </c>
      <c r="F273" s="14" t="n">
        <v>34.7589310229722</v>
      </c>
      <c r="G273" s="13" t="n">
        <v>-43991.4997294417</v>
      </c>
      <c r="H273" s="15" t="n">
        <v>-0.0712968210109065</v>
      </c>
      <c r="I273" s="15" t="n">
        <v>-0.0712968210109064</v>
      </c>
      <c r="J273" s="16" t="n">
        <v>2014</v>
      </c>
      <c r="K273" s="16" t="n">
        <v>9</v>
      </c>
      <c r="L273" s="16" t="n">
        <v>39</v>
      </c>
      <c r="M273" s="16" t="s">
        <v>37</v>
      </c>
      <c r="N273" s="17" t="b">
        <f aca="false">TRUE()</f>
        <v>1</v>
      </c>
      <c r="O273" s="14" t="n">
        <v>34.4873757719269</v>
      </c>
      <c r="P273" s="13" t="n">
        <v>4927.57142857143</v>
      </c>
      <c r="Q273" s="15" t="n">
        <v>-0.0592018680548157</v>
      </c>
      <c r="R273" s="15" t="n">
        <v>2.85930478647842</v>
      </c>
      <c r="S273" s="17" t="b">
        <f aca="false">TRUE()</f>
        <v>1</v>
      </c>
    </row>
    <row r="274" customFormat="false" ht="15" hidden="false" customHeight="true" outlineLevel="0" collapsed="false">
      <c r="A274" s="12" t="n">
        <v>41910</v>
      </c>
      <c r="B274" s="13" t="n">
        <v>283850.5971055</v>
      </c>
      <c r="C274" s="13" t="n">
        <v>304440.651506455</v>
      </c>
      <c r="D274" s="13" t="n">
        <v>8747</v>
      </c>
      <c r="E274" s="14" t="n">
        <v>32.4511943644106</v>
      </c>
      <c r="F274" s="14" t="n">
        <v>34.8051505094838</v>
      </c>
      <c r="G274" s="13" t="n">
        <v>-20590.0544009552</v>
      </c>
      <c r="H274" s="15" t="n">
        <v>-0.0725383515515467</v>
      </c>
      <c r="I274" s="15" t="n">
        <v>-0.0725383515515466</v>
      </c>
      <c r="J274" s="16" t="n">
        <v>2014</v>
      </c>
      <c r="K274" s="16" t="n">
        <v>9</v>
      </c>
      <c r="L274" s="16" t="n">
        <v>39</v>
      </c>
      <c r="M274" s="16" t="s">
        <v>38</v>
      </c>
      <c r="N274" s="17" t="b">
        <f aca="false">TRUE()</f>
        <v>1</v>
      </c>
      <c r="O274" s="14" t="n">
        <v>34.30215620327</v>
      </c>
      <c r="P274" s="13" t="n">
        <v>5935.85714285714</v>
      </c>
      <c r="Q274" s="15" t="n">
        <v>-0.0539605098843019</v>
      </c>
      <c r="R274" s="15" t="n">
        <v>0.473586676614281</v>
      </c>
      <c r="S274" s="17" t="b">
        <f aca="false">TRUE()</f>
        <v>1</v>
      </c>
    </row>
    <row r="275" customFormat="false" ht="15" hidden="false" customHeight="true" outlineLevel="0" collapsed="false">
      <c r="A275" s="12" t="n">
        <v>41911</v>
      </c>
      <c r="B275" s="13" t="n">
        <v>264317.110368106</v>
      </c>
      <c r="C275" s="13" t="n">
        <v>283912.968697442</v>
      </c>
      <c r="D275" s="13" t="n">
        <v>8147</v>
      </c>
      <c r="E275" s="14" t="n">
        <v>32.443489673267</v>
      </c>
      <c r="F275" s="14" t="n">
        <v>34.8487748493239</v>
      </c>
      <c r="G275" s="13" t="n">
        <v>-19595.8583293359</v>
      </c>
      <c r="H275" s="15" t="n">
        <v>-0.0741376837165228</v>
      </c>
      <c r="I275" s="15" t="n">
        <v>-0.0741376837165227</v>
      </c>
      <c r="J275" s="16" t="n">
        <v>2014</v>
      </c>
      <c r="K275" s="16" t="n">
        <v>9</v>
      </c>
      <c r="L275" s="16" t="n">
        <v>40</v>
      </c>
      <c r="M275" s="16" t="s">
        <v>32</v>
      </c>
      <c r="N275" s="17" t="b">
        <f aca="false">FALSE()</f>
        <v>0</v>
      </c>
      <c r="O275" s="14" t="n">
        <v>34.1174725986041</v>
      </c>
      <c r="P275" s="13" t="n">
        <v>6384.42857142857</v>
      </c>
      <c r="Q275" s="15" t="n">
        <v>-0.0490652676718404</v>
      </c>
      <c r="R275" s="15" t="n">
        <v>0.276073482356627</v>
      </c>
      <c r="S275" s="17" t="b">
        <f aca="false">FALSE()</f>
        <v>0</v>
      </c>
    </row>
    <row r="276" customFormat="false" ht="15" hidden="false" customHeight="true" outlineLevel="0" collapsed="false">
      <c r="A276" s="12" t="n">
        <v>41912</v>
      </c>
      <c r="B276" s="13" t="n">
        <v>358024.981348826</v>
      </c>
      <c r="C276" s="13" t="n">
        <v>384823.439878072</v>
      </c>
      <c r="D276" s="13" t="n">
        <v>11036</v>
      </c>
      <c r="E276" s="14" t="n">
        <v>32.4415532211694</v>
      </c>
      <c r="F276" s="14" t="n">
        <v>34.8698296373752</v>
      </c>
      <c r="G276" s="13" t="n">
        <v>-26798.4585292463</v>
      </c>
      <c r="H276" s="15" t="n">
        <v>-0.0748508062992855</v>
      </c>
      <c r="I276" s="15" t="n">
        <v>-0.0748508062992856</v>
      </c>
      <c r="J276" s="16" t="n">
        <v>2014</v>
      </c>
      <c r="K276" s="16" t="n">
        <v>9</v>
      </c>
      <c r="L276" s="16" t="n">
        <v>40</v>
      </c>
      <c r="M276" s="16" t="s">
        <v>33</v>
      </c>
      <c r="N276" s="17" t="b">
        <f aca="false">FALSE()</f>
        <v>0</v>
      </c>
      <c r="O276" s="14" t="n">
        <v>33.9324466631913</v>
      </c>
      <c r="P276" s="13" t="n">
        <v>6721.21428571429</v>
      </c>
      <c r="Q276" s="15" t="n">
        <v>-0.0439371041180799</v>
      </c>
      <c r="R276" s="15" t="n">
        <v>0.641965206117092</v>
      </c>
      <c r="S276" s="17" t="b">
        <f aca="false">FALSE()</f>
        <v>0</v>
      </c>
    </row>
    <row r="277" customFormat="false" ht="15" hidden="false" customHeight="true" outlineLevel="0" collapsed="false">
      <c r="A277" s="12" t="n">
        <v>41913</v>
      </c>
      <c r="B277" s="13" t="n">
        <v>594438.2807803</v>
      </c>
      <c r="C277" s="13" t="n">
        <v>639306.568782465</v>
      </c>
      <c r="D277" s="13" t="n">
        <v>18330</v>
      </c>
      <c r="E277" s="14" t="n">
        <v>32.4298025521167</v>
      </c>
      <c r="F277" s="14" t="n">
        <v>34.8776087715475</v>
      </c>
      <c r="G277" s="13" t="n">
        <v>-44868.2880021657</v>
      </c>
      <c r="H277" s="15" t="n">
        <v>-0.0754801456313826</v>
      </c>
      <c r="I277" s="15" t="n">
        <v>-0.0754801456313826</v>
      </c>
      <c r="J277" s="16" t="n">
        <v>2014</v>
      </c>
      <c r="K277" s="16" t="n">
        <v>10</v>
      </c>
      <c r="L277" s="16" t="n">
        <v>40</v>
      </c>
      <c r="M277" s="16" t="s">
        <v>34</v>
      </c>
      <c r="N277" s="17" t="b">
        <f aca="false">FALSE()</f>
        <v>0</v>
      </c>
      <c r="O277" s="14" t="n">
        <v>33.7473186092393</v>
      </c>
      <c r="P277" s="13" t="n">
        <v>7339.85714285714</v>
      </c>
      <c r="Q277" s="15" t="n">
        <v>-0.039040614526389</v>
      </c>
      <c r="R277" s="15" t="n">
        <v>1.49732380933845</v>
      </c>
      <c r="S277" s="17" t="b">
        <f aca="false">FALSE()</f>
        <v>0</v>
      </c>
    </row>
    <row r="278" customFormat="false" ht="15" hidden="false" customHeight="true" outlineLevel="0" collapsed="false">
      <c r="A278" s="12" t="n">
        <v>41914</v>
      </c>
      <c r="B278" s="13" t="n">
        <v>470507.663044439</v>
      </c>
      <c r="C278" s="13" t="n">
        <v>506072.033341429</v>
      </c>
      <c r="D278" s="13" t="n">
        <v>14503</v>
      </c>
      <c r="E278" s="14" t="n">
        <v>32.4420921908873</v>
      </c>
      <c r="F278" s="14" t="n">
        <v>34.8943000304371</v>
      </c>
      <c r="G278" s="13" t="n">
        <v>-35564.3702969902</v>
      </c>
      <c r="H278" s="15" t="n">
        <v>-0.0755872286263512</v>
      </c>
      <c r="I278" s="15" t="n">
        <v>-0.0755872286263512</v>
      </c>
      <c r="J278" s="16" t="n">
        <v>2014</v>
      </c>
      <c r="K278" s="16" t="n">
        <v>10</v>
      </c>
      <c r="L278" s="16" t="n">
        <v>40</v>
      </c>
      <c r="M278" s="16" t="s">
        <v>35</v>
      </c>
      <c r="N278" s="17" t="b">
        <f aca="false">FALSE()</f>
        <v>0</v>
      </c>
      <c r="O278" s="14" t="n">
        <v>33.5605761469822</v>
      </c>
      <c r="P278" s="13" t="n">
        <v>8498.78571428571</v>
      </c>
      <c r="Q278" s="15" t="n">
        <v>-0.0333273168850372</v>
      </c>
      <c r="R278" s="15" t="n">
        <v>0.70647907684291</v>
      </c>
      <c r="S278" s="17" t="b">
        <f aca="false">FALSE()</f>
        <v>0</v>
      </c>
    </row>
    <row r="279" customFormat="false" ht="15" hidden="false" customHeight="true" outlineLevel="0" collapsed="false">
      <c r="A279" s="12" t="n">
        <v>41915</v>
      </c>
      <c r="B279" s="13" t="n">
        <v>518693.528664873</v>
      </c>
      <c r="C279" s="13" t="n">
        <v>557939.369276369</v>
      </c>
      <c r="D279" s="13" t="n">
        <v>15986</v>
      </c>
      <c r="E279" s="14" t="n">
        <v>32.446736435936</v>
      </c>
      <c r="F279" s="14" t="n">
        <v>34.9017496106824</v>
      </c>
      <c r="G279" s="13" t="n">
        <v>-39245.8406114963</v>
      </c>
      <c r="H279" s="15" t="n">
        <v>-0.0756628691946782</v>
      </c>
      <c r="I279" s="15" t="n">
        <v>-0.0756628691946781</v>
      </c>
      <c r="J279" s="16" t="n">
        <v>2014</v>
      </c>
      <c r="K279" s="16" t="n">
        <v>10</v>
      </c>
      <c r="L279" s="16" t="n">
        <v>40</v>
      </c>
      <c r="M279" s="16" t="s">
        <v>36</v>
      </c>
      <c r="N279" s="17" t="b">
        <f aca="false">FALSE()</f>
        <v>0</v>
      </c>
      <c r="O279" s="14" t="n">
        <v>33.3758702801294</v>
      </c>
      <c r="P279" s="13" t="n">
        <v>9393.14285714286</v>
      </c>
      <c r="Q279" s="15" t="n">
        <v>-0.0278384903942592</v>
      </c>
      <c r="R279" s="15" t="n">
        <v>0.701879790728799</v>
      </c>
      <c r="S279" s="17" t="b">
        <f aca="false">FALSE()</f>
        <v>0</v>
      </c>
    </row>
    <row r="280" customFormat="false" ht="15" hidden="false" customHeight="true" outlineLevel="0" collapsed="false">
      <c r="A280" s="12" t="n">
        <v>41916</v>
      </c>
      <c r="B280" s="13" t="n">
        <v>656245.828428666</v>
      </c>
      <c r="C280" s="13" t="n">
        <v>705891.300262452</v>
      </c>
      <c r="D280" s="13" t="n">
        <v>20223</v>
      </c>
      <c r="E280" s="14" t="n">
        <v>32.4504686954787</v>
      </c>
      <c r="F280" s="14" t="n">
        <v>34.905370136105</v>
      </c>
      <c r="G280" s="13" t="n">
        <v>-49645.4718337865</v>
      </c>
      <c r="H280" s="15" t="n">
        <v>-0.0756507236817932</v>
      </c>
      <c r="I280" s="15" t="n">
        <v>-0.0756507236817934</v>
      </c>
      <c r="J280" s="16" t="n">
        <v>2014</v>
      </c>
      <c r="K280" s="16" t="n">
        <v>10</v>
      </c>
      <c r="L280" s="16" t="n">
        <v>40</v>
      </c>
      <c r="M280" s="16" t="s">
        <v>37</v>
      </c>
      <c r="N280" s="17" t="b">
        <f aca="false">TRUE()</f>
        <v>1</v>
      </c>
      <c r="O280" s="14" t="n">
        <v>33.1911233189708</v>
      </c>
      <c r="P280" s="13" t="n">
        <v>10255.3571428571</v>
      </c>
      <c r="Q280" s="15" t="n">
        <v>-0.0223148405184823</v>
      </c>
      <c r="R280" s="15" t="n">
        <v>0.971944976493122</v>
      </c>
      <c r="S280" s="17" t="b">
        <f aca="false">FALSE()</f>
        <v>0</v>
      </c>
    </row>
    <row r="281" customFormat="false" ht="15" hidden="false" customHeight="true" outlineLevel="0" collapsed="false">
      <c r="A281" s="12" t="n">
        <v>41917</v>
      </c>
      <c r="B281" s="13" t="n">
        <v>280055.117716763</v>
      </c>
      <c r="C281" s="13" t="n">
        <v>301279.654982432</v>
      </c>
      <c r="D281" s="13" t="n">
        <v>8631</v>
      </c>
      <c r="E281" s="14" t="n">
        <v>32.4475863418797</v>
      </c>
      <c r="F281" s="14" t="n">
        <v>34.9066915748386</v>
      </c>
      <c r="G281" s="13" t="n">
        <v>-21224.5372656687</v>
      </c>
      <c r="H281" s="15" t="n">
        <v>-0.0757870002116312</v>
      </c>
      <c r="I281" s="15" t="n">
        <v>-0.0757870002116312</v>
      </c>
      <c r="J281" s="16" t="n">
        <v>2014</v>
      </c>
      <c r="K281" s="16" t="n">
        <v>10</v>
      </c>
      <c r="L281" s="16" t="n">
        <v>40</v>
      </c>
      <c r="M281" s="16" t="s">
        <v>38</v>
      </c>
      <c r="N281" s="17" t="b">
        <f aca="false">TRUE()</f>
        <v>1</v>
      </c>
      <c r="O281" s="14" t="n">
        <v>33.0063402677677</v>
      </c>
      <c r="P281" s="13" t="n">
        <v>11386.7857142857</v>
      </c>
      <c r="Q281" s="15" t="n">
        <v>-0.0169286846513447</v>
      </c>
      <c r="R281" s="15" t="n">
        <v>-0.24201612144403</v>
      </c>
      <c r="S281" s="17" t="b">
        <f aca="false">FALSE()</f>
        <v>0</v>
      </c>
    </row>
    <row r="282" customFormat="false" ht="15" hidden="false" customHeight="true" outlineLevel="0" collapsed="false">
      <c r="A282" s="12" t="n">
        <v>41918</v>
      </c>
      <c r="B282" s="13" t="n">
        <v>375648.017455954</v>
      </c>
      <c r="C282" s="13" t="n">
        <v>404178.921055228</v>
      </c>
      <c r="D282" s="13" t="n">
        <v>11579</v>
      </c>
      <c r="E282" s="14" t="n">
        <v>32.4421813158264</v>
      </c>
      <c r="F282" s="14" t="n">
        <v>34.9062026993029</v>
      </c>
      <c r="G282" s="13" t="n">
        <v>-28530.9035992742</v>
      </c>
      <c r="H282" s="15" t="n">
        <v>-0.0759511624538777</v>
      </c>
      <c r="I282" s="15" t="n">
        <v>-0.0759511624538777</v>
      </c>
      <c r="J282" s="16" t="n">
        <v>2014</v>
      </c>
      <c r="K282" s="16" t="n">
        <v>10</v>
      </c>
      <c r="L282" s="16" t="n">
        <v>41</v>
      </c>
      <c r="M282" s="16" t="s">
        <v>32</v>
      </c>
      <c r="N282" s="17" t="b">
        <f aca="false">FALSE()</f>
        <v>0</v>
      </c>
      <c r="O282" s="14" t="n">
        <v>32.8217646813001</v>
      </c>
      <c r="P282" s="13" t="n">
        <v>11849.0714285714</v>
      </c>
      <c r="Q282" s="15" t="n">
        <v>-0.0115649895476217</v>
      </c>
      <c r="R282" s="15" t="n">
        <v>-0.0227926238945789</v>
      </c>
      <c r="S282" s="17" t="b">
        <f aca="false">FALSE()</f>
        <v>0</v>
      </c>
    </row>
    <row r="283" customFormat="false" ht="15" hidden="false" customHeight="true" outlineLevel="0" collapsed="false">
      <c r="A283" s="12" t="n">
        <v>41919</v>
      </c>
      <c r="B283" s="13" t="n">
        <v>78111.7164631207</v>
      </c>
      <c r="C283" s="13" t="n">
        <v>74251.8747259655</v>
      </c>
      <c r="D283" s="13" t="n">
        <v>2127</v>
      </c>
      <c r="E283" s="14" t="n">
        <v>36.7238911439214</v>
      </c>
      <c r="F283" s="14" t="n">
        <v>34.9092029741258</v>
      </c>
      <c r="G283" s="13" t="n">
        <v>3859.84173715526</v>
      </c>
      <c r="H283" s="15" t="n">
        <v>0.0494143761259891</v>
      </c>
      <c r="I283" s="15" t="n">
        <v>0.0494143761259891</v>
      </c>
      <c r="J283" s="16" t="n">
        <v>2014</v>
      </c>
      <c r="K283" s="16" t="n">
        <v>10</v>
      </c>
      <c r="L283" s="16" t="n">
        <v>41</v>
      </c>
      <c r="M283" s="16" t="s">
        <v>33</v>
      </c>
      <c r="N283" s="17" t="b">
        <f aca="false">FALSE()</f>
        <v>0</v>
      </c>
      <c r="O283" s="14" t="n">
        <v>32.6364197782449</v>
      </c>
      <c r="P283" s="13" t="n">
        <v>12491</v>
      </c>
      <c r="Q283" s="15" t="n">
        <v>0.125242639770222</v>
      </c>
      <c r="R283" s="15" t="n">
        <v>-0.829717396525498</v>
      </c>
      <c r="S283" s="17" t="b">
        <f aca="false">FALSE()</f>
        <v>0</v>
      </c>
    </row>
    <row r="284" customFormat="false" ht="15" hidden="false" customHeight="true" outlineLevel="0" collapsed="false">
      <c r="A284" s="12" t="n">
        <v>41920</v>
      </c>
      <c r="B284" s="13" t="n">
        <v>70509.1327915404</v>
      </c>
      <c r="C284" s="13" t="n">
        <v>67141.979629084</v>
      </c>
      <c r="D284" s="13" t="n">
        <v>1923</v>
      </c>
      <c r="E284" s="14" t="n">
        <v>36.666215700229</v>
      </c>
      <c r="F284" s="14" t="n">
        <v>34.9152260161643</v>
      </c>
      <c r="G284" s="13" t="n">
        <v>3367.15316245634</v>
      </c>
      <c r="H284" s="15" t="n">
        <v>0.0477548514518154</v>
      </c>
      <c r="I284" s="15" t="n">
        <v>0.0477548514518156</v>
      </c>
      <c r="J284" s="16" t="n">
        <v>2014</v>
      </c>
      <c r="K284" s="16" t="n">
        <v>10</v>
      </c>
      <c r="L284" s="16" t="n">
        <v>41</v>
      </c>
      <c r="M284" s="16" t="s">
        <v>34</v>
      </c>
      <c r="N284" s="17" t="b">
        <f aca="false">FALSE()</f>
        <v>0</v>
      </c>
      <c r="O284" s="14" t="n">
        <v>32.7569832406756</v>
      </c>
      <c r="P284" s="13" t="n">
        <v>12418.4285714286</v>
      </c>
      <c r="Q284" s="15" t="n">
        <v>0.119340429820143</v>
      </c>
      <c r="R284" s="15" t="n">
        <v>-0.845149489813526</v>
      </c>
      <c r="S284" s="17" t="b">
        <f aca="false">FALSE()</f>
        <v>0</v>
      </c>
    </row>
    <row r="285" customFormat="false" ht="15" hidden="false" customHeight="true" outlineLevel="0" collapsed="false">
      <c r="A285" s="12" t="n">
        <v>41921</v>
      </c>
      <c r="B285" s="13" t="n">
        <v>103281.311047572</v>
      </c>
      <c r="C285" s="13" t="n">
        <v>98065.9390784509</v>
      </c>
      <c r="D285" s="13" t="n">
        <v>2809</v>
      </c>
      <c r="E285" s="14" t="n">
        <v>36.767999660937</v>
      </c>
      <c r="F285" s="14" t="n">
        <v>34.9113346665899</v>
      </c>
      <c r="G285" s="13" t="n">
        <v>5215.37196912117</v>
      </c>
      <c r="H285" s="15" t="n">
        <v>0.0504967638019132</v>
      </c>
      <c r="I285" s="15" t="n">
        <v>0.0504967638019131</v>
      </c>
      <c r="J285" s="16" t="n">
        <v>2014</v>
      </c>
      <c r="K285" s="16" t="n">
        <v>10</v>
      </c>
      <c r="L285" s="16" t="n">
        <v>41</v>
      </c>
      <c r="M285" s="16" t="s">
        <v>35</v>
      </c>
      <c r="N285" s="17" t="b">
        <f aca="false">FALSE()</f>
        <v>0</v>
      </c>
      <c r="O285" s="14" t="n">
        <v>33.0539518867157</v>
      </c>
      <c r="P285" s="13" t="n">
        <v>12094.5714285714</v>
      </c>
      <c r="Q285" s="15" t="n">
        <v>0.112363199019297</v>
      </c>
      <c r="R285" s="15" t="n">
        <v>-0.767747041175498</v>
      </c>
      <c r="S285" s="17" t="b">
        <f aca="false">FALSE()</f>
        <v>0</v>
      </c>
    </row>
    <row r="286" customFormat="false" ht="15" hidden="false" customHeight="true" outlineLevel="0" collapsed="false">
      <c r="A286" s="12" t="n">
        <v>41922</v>
      </c>
      <c r="B286" s="13" t="n">
        <v>179841.431779724</v>
      </c>
      <c r="C286" s="13" t="n">
        <v>170757.581177207</v>
      </c>
      <c r="D286" s="13" t="n">
        <v>4891</v>
      </c>
      <c r="E286" s="14" t="n">
        <v>36.7698695112909</v>
      </c>
      <c r="F286" s="14" t="n">
        <v>34.9126111587011</v>
      </c>
      <c r="G286" s="13" t="n">
        <v>9083.85060251667</v>
      </c>
      <c r="H286" s="15" t="n">
        <v>0.0505103329784591</v>
      </c>
      <c r="I286" s="15" t="n">
        <v>0.0505103329784592</v>
      </c>
      <c r="J286" s="16" t="n">
        <v>2014</v>
      </c>
      <c r="K286" s="16" t="n">
        <v>10</v>
      </c>
      <c r="L286" s="16" t="n">
        <v>41</v>
      </c>
      <c r="M286" s="16" t="s">
        <v>36</v>
      </c>
      <c r="N286" s="17" t="b">
        <f aca="false">FALSE()</f>
        <v>0</v>
      </c>
      <c r="O286" s="14" t="n">
        <v>33.3614089887325</v>
      </c>
      <c r="P286" s="13" t="n">
        <v>11506.7142857143</v>
      </c>
      <c r="Q286" s="15" t="n">
        <v>0.102167762869653</v>
      </c>
      <c r="R286" s="15" t="n">
        <v>-0.574943821619676</v>
      </c>
      <c r="S286" s="17" t="b">
        <f aca="false">FALSE()</f>
        <v>0</v>
      </c>
    </row>
    <row r="287" customFormat="false" ht="15" hidden="false" customHeight="true" outlineLevel="0" collapsed="false">
      <c r="A287" s="12" t="n">
        <v>41923</v>
      </c>
      <c r="B287" s="13" t="n">
        <v>138038.239752895</v>
      </c>
      <c r="C287" s="13" t="n">
        <v>131192.316771474</v>
      </c>
      <c r="D287" s="13" t="n">
        <v>3758</v>
      </c>
      <c r="E287" s="14" t="n">
        <v>36.7318360172685</v>
      </c>
      <c r="F287" s="14" t="n">
        <v>34.9101428343464</v>
      </c>
      <c r="G287" s="13" t="n">
        <v>6845.92298142123</v>
      </c>
      <c r="H287" s="15" t="n">
        <v>0.0495943949566168</v>
      </c>
      <c r="I287" s="15" t="n">
        <v>0.0495943949566169</v>
      </c>
      <c r="J287" s="16" t="n">
        <v>2014</v>
      </c>
      <c r="K287" s="16" t="n">
        <v>10</v>
      </c>
      <c r="L287" s="16" t="n">
        <v>41</v>
      </c>
      <c r="M287" s="16" t="s">
        <v>37</v>
      </c>
      <c r="N287" s="17" t="b">
        <f aca="false">TRUE()</f>
        <v>1</v>
      </c>
      <c r="O287" s="14" t="n">
        <v>33.6691956792336</v>
      </c>
      <c r="P287" s="13" t="n">
        <v>10567.7857142857</v>
      </c>
      <c r="Q287" s="15" t="n">
        <v>0.0909626819485871</v>
      </c>
      <c r="R287" s="15" t="n">
        <v>-0.64439097256487</v>
      </c>
      <c r="S287" s="17" t="b">
        <f aca="false">FALSE()</f>
        <v>0</v>
      </c>
    </row>
    <row r="288" customFormat="false" ht="15" hidden="false" customHeight="true" outlineLevel="0" collapsed="false">
      <c r="A288" s="12" t="n">
        <v>41924</v>
      </c>
      <c r="B288" s="13" t="n">
        <v>61037.5622299704</v>
      </c>
      <c r="C288" s="13" t="n">
        <v>57992.3415111877</v>
      </c>
      <c r="D288" s="13" t="n">
        <v>1661</v>
      </c>
      <c r="E288" s="14" t="n">
        <v>36.7474787657859</v>
      </c>
      <c r="F288" s="14" t="n">
        <v>34.9141128905405</v>
      </c>
      <c r="G288" s="13" t="n">
        <v>3045.22071878268</v>
      </c>
      <c r="H288" s="15" t="n">
        <v>0.0498909295772535</v>
      </c>
      <c r="I288" s="15" t="n">
        <v>0.0498909295772535</v>
      </c>
      <c r="J288" s="16" t="n">
        <v>2014</v>
      </c>
      <c r="K288" s="16" t="n">
        <v>10</v>
      </c>
      <c r="L288" s="16" t="n">
        <v>41</v>
      </c>
      <c r="M288" s="16" t="s">
        <v>38</v>
      </c>
      <c r="N288" s="17" t="b">
        <f aca="false">TRUE()</f>
        <v>1</v>
      </c>
      <c r="O288" s="14" t="n">
        <v>33.9753512017585</v>
      </c>
      <c r="P288" s="13" t="n">
        <v>9477.85714285714</v>
      </c>
      <c r="Q288" s="15" t="n">
        <v>0.0815923151924314</v>
      </c>
      <c r="R288" s="15" t="n">
        <v>-0.824749415931871</v>
      </c>
      <c r="S288" s="17" t="b">
        <f aca="false">FALSE()</f>
        <v>0</v>
      </c>
    </row>
    <row r="289" customFormat="false" ht="15" hidden="false" customHeight="true" outlineLevel="0" collapsed="false">
      <c r="A289" s="12" t="n">
        <v>41925</v>
      </c>
      <c r="B289" s="13" t="n">
        <v>86799.7594540417</v>
      </c>
      <c r="C289" s="13" t="n">
        <v>82392.3332646164</v>
      </c>
      <c r="D289" s="13" t="n">
        <v>2360</v>
      </c>
      <c r="E289" s="14" t="n">
        <v>36.7795590906956</v>
      </c>
      <c r="F289" s="14" t="n">
        <v>34.9120056206002</v>
      </c>
      <c r="G289" s="13" t="n">
        <v>4407.42618942533</v>
      </c>
      <c r="H289" s="15" t="n">
        <v>0.0507769401337909</v>
      </c>
      <c r="I289" s="15" t="n">
        <v>0.050776940133791</v>
      </c>
      <c r="J289" s="16" t="n">
        <v>2014</v>
      </c>
      <c r="K289" s="16" t="n">
        <v>10</v>
      </c>
      <c r="L289" s="16" t="n">
        <v>42</v>
      </c>
      <c r="M289" s="16" t="s">
        <v>32</v>
      </c>
      <c r="N289" s="17" t="b">
        <f aca="false">FALSE()</f>
        <v>0</v>
      </c>
      <c r="O289" s="14" t="n">
        <v>34.2822286589996</v>
      </c>
      <c r="P289" s="13" t="n">
        <v>8971.71428571429</v>
      </c>
      <c r="Q289" s="15" t="n">
        <v>0.0728462101031028</v>
      </c>
      <c r="R289" s="15" t="n">
        <v>-0.736951052514251</v>
      </c>
      <c r="S289" s="17" t="b">
        <f aca="false">FALSE()</f>
        <v>0</v>
      </c>
    </row>
    <row r="290" customFormat="false" ht="15" hidden="false" customHeight="true" outlineLevel="0" collapsed="false">
      <c r="A290" s="12" t="n">
        <v>41926</v>
      </c>
      <c r="B290" s="13" t="n">
        <v>69570.5014667007</v>
      </c>
      <c r="C290" s="13" t="n">
        <v>66313.9409792702</v>
      </c>
      <c r="D290" s="13" t="n">
        <v>1894</v>
      </c>
      <c r="E290" s="14" t="n">
        <v>36.7320493488388</v>
      </c>
      <c r="F290" s="14" t="n">
        <v>35.0126404325608</v>
      </c>
      <c r="G290" s="13" t="n">
        <v>3256.56048743053</v>
      </c>
      <c r="H290" s="15" t="n">
        <v>0.0468095014233763</v>
      </c>
      <c r="I290" s="15" t="n">
        <v>0.0468095014233763</v>
      </c>
      <c r="J290" s="16" t="n">
        <v>2014</v>
      </c>
      <c r="K290" s="16" t="n">
        <v>10</v>
      </c>
      <c r="L290" s="16" t="n">
        <v>42</v>
      </c>
      <c r="M290" s="16" t="s">
        <v>33</v>
      </c>
      <c r="N290" s="17" t="b">
        <f aca="false">FALSE()</f>
        <v>0</v>
      </c>
      <c r="O290" s="14" t="n">
        <v>34.5919479031016</v>
      </c>
      <c r="P290" s="13" t="n">
        <v>8558.35714285714</v>
      </c>
      <c r="Q290" s="15" t="n">
        <v>0.0618670406110705</v>
      </c>
      <c r="R290" s="15" t="n">
        <v>-0.77869584449619</v>
      </c>
      <c r="S290" s="17" t="b">
        <f aca="false">FALSE()</f>
        <v>0</v>
      </c>
    </row>
    <row r="291" customFormat="false" ht="15" hidden="false" customHeight="true" outlineLevel="0" collapsed="false">
      <c r="A291" s="12" t="n">
        <v>41927</v>
      </c>
      <c r="B291" s="13" t="n">
        <v>130476.355345242</v>
      </c>
      <c r="C291" s="13" t="n">
        <v>124398.431629589</v>
      </c>
      <c r="D291" s="13" t="n">
        <v>3548</v>
      </c>
      <c r="E291" s="14" t="n">
        <v>36.7746210104967</v>
      </c>
      <c r="F291" s="14" t="n">
        <v>35.0615647208536</v>
      </c>
      <c r="G291" s="13" t="n">
        <v>6077.92371565393</v>
      </c>
      <c r="H291" s="15" t="n">
        <v>0.0465825681562889</v>
      </c>
      <c r="I291" s="15" t="n">
        <v>0.046582568156289</v>
      </c>
      <c r="J291" s="16" t="n">
        <v>2014</v>
      </c>
      <c r="K291" s="16" t="n">
        <v>10</v>
      </c>
      <c r="L291" s="16" t="n">
        <v>42</v>
      </c>
      <c r="M291" s="16" t="s">
        <v>34</v>
      </c>
      <c r="N291" s="17" t="b">
        <f aca="false">FALSE()</f>
        <v>0</v>
      </c>
      <c r="O291" s="14" t="n">
        <v>34.8984119122208</v>
      </c>
      <c r="P291" s="13" t="n">
        <v>7905.35714285714</v>
      </c>
      <c r="Q291" s="15" t="n">
        <v>0.0537620194006273</v>
      </c>
      <c r="R291" s="15" t="n">
        <v>-0.551190422407951</v>
      </c>
      <c r="S291" s="17" t="b">
        <f aca="false">FALSE()</f>
        <v>0</v>
      </c>
    </row>
    <row r="292" customFormat="false" ht="15" hidden="false" customHeight="true" outlineLevel="0" collapsed="false">
      <c r="A292" s="12" t="n">
        <v>41928</v>
      </c>
      <c r="B292" s="13" t="n">
        <v>95229.7734800812</v>
      </c>
      <c r="C292" s="13" t="n">
        <v>91087.8513355429</v>
      </c>
      <c r="D292" s="13" t="n">
        <v>2591</v>
      </c>
      <c r="E292" s="14" t="n">
        <v>36.7540615515559</v>
      </c>
      <c r="F292" s="14" t="n">
        <v>35.1554810249104</v>
      </c>
      <c r="G292" s="13" t="n">
        <v>4141.92214453835</v>
      </c>
      <c r="H292" s="15" t="n">
        <v>0.0434939829548654</v>
      </c>
      <c r="I292" s="15" t="n">
        <v>0.0434939829548655</v>
      </c>
      <c r="J292" s="16" t="n">
        <v>2014</v>
      </c>
      <c r="K292" s="16" t="n">
        <v>10</v>
      </c>
      <c r="L292" s="16" t="n">
        <v>42</v>
      </c>
      <c r="M292" s="16" t="s">
        <v>35</v>
      </c>
      <c r="N292" s="17" t="b">
        <f aca="false">FALSE()</f>
        <v>0</v>
      </c>
      <c r="O292" s="14" t="n">
        <v>35.2087560878194</v>
      </c>
      <c r="P292" s="13" t="n">
        <v>6849.5</v>
      </c>
      <c r="Q292" s="15" t="n">
        <v>0.0438898057029355</v>
      </c>
      <c r="R292" s="15" t="n">
        <v>-0.621724213446237</v>
      </c>
      <c r="S292" s="17" t="b">
        <f aca="false">FALSE()</f>
        <v>0</v>
      </c>
    </row>
    <row r="293" customFormat="false" ht="15" hidden="false" customHeight="true" outlineLevel="0" collapsed="false">
      <c r="A293" s="12" t="n">
        <v>41929</v>
      </c>
      <c r="B293" s="13" t="n">
        <v>121057.861283503</v>
      </c>
      <c r="C293" s="13" t="n">
        <v>116949.791274211</v>
      </c>
      <c r="D293" s="13" t="n">
        <v>3293</v>
      </c>
      <c r="E293" s="14" t="n">
        <v>36.7621807723969</v>
      </c>
      <c r="F293" s="14" t="n">
        <v>35.5146648266659</v>
      </c>
      <c r="G293" s="13" t="n">
        <v>4108.07000929232</v>
      </c>
      <c r="H293" s="15" t="n">
        <v>0.033934764465</v>
      </c>
      <c r="I293" s="15" t="n">
        <v>0.0339347644649999</v>
      </c>
      <c r="J293" s="16" t="n">
        <v>2014</v>
      </c>
      <c r="K293" s="16" t="n">
        <v>10</v>
      </c>
      <c r="L293" s="16" t="n">
        <v>42</v>
      </c>
      <c r="M293" s="16" t="s">
        <v>36</v>
      </c>
      <c r="N293" s="17" t="b">
        <f aca="false">FALSE()</f>
        <v>0</v>
      </c>
      <c r="O293" s="14" t="n">
        <v>35.5167538992957</v>
      </c>
      <c r="P293" s="13" t="n">
        <v>5998.64285714286</v>
      </c>
      <c r="Q293" s="15" t="n">
        <v>0.0350658981007234</v>
      </c>
      <c r="R293" s="15" t="n">
        <v>-0.451042497707815</v>
      </c>
      <c r="S293" s="17" t="b">
        <f aca="false">FALSE()</f>
        <v>0</v>
      </c>
    </row>
    <row r="294" customFormat="false" ht="15" hidden="false" customHeight="true" outlineLevel="0" collapsed="false">
      <c r="A294" s="12" t="n">
        <v>41930</v>
      </c>
      <c r="B294" s="13" t="n">
        <v>169498.916385325</v>
      </c>
      <c r="C294" s="13" t="n">
        <v>164492.946632849</v>
      </c>
      <c r="D294" s="13" t="n">
        <v>4611</v>
      </c>
      <c r="E294" s="14" t="n">
        <v>36.7596869193938</v>
      </c>
      <c r="F294" s="14" t="n">
        <v>35.6740287644434</v>
      </c>
      <c r="G294" s="13" t="n">
        <v>5005.96975247629</v>
      </c>
      <c r="H294" s="15" t="n">
        <v>0.0295339336630102</v>
      </c>
      <c r="I294" s="15" t="n">
        <v>0.0295339336630102</v>
      </c>
      <c r="J294" s="16" t="n">
        <v>2014</v>
      </c>
      <c r="K294" s="16" t="n">
        <v>10</v>
      </c>
      <c r="L294" s="16" t="n">
        <v>42</v>
      </c>
      <c r="M294" s="16" t="s">
        <v>37</v>
      </c>
      <c r="N294" s="17" t="b">
        <f aca="false">TRUE()</f>
        <v>1</v>
      </c>
      <c r="O294" s="14" t="n">
        <v>35.8249999233287</v>
      </c>
      <c r="P294" s="13" t="n">
        <v>5092</v>
      </c>
      <c r="Q294" s="15" t="n">
        <v>0.0260903558427226</v>
      </c>
      <c r="R294" s="15" t="n">
        <v>-0.0944619010212097</v>
      </c>
      <c r="S294" s="17" t="b">
        <f aca="false">FALSE()</f>
        <v>0</v>
      </c>
    </row>
    <row r="295" customFormat="false" ht="15" hidden="false" customHeight="true" outlineLevel="0" collapsed="false">
      <c r="A295" s="12" t="n">
        <v>41931</v>
      </c>
      <c r="B295" s="13" t="n">
        <v>90692.375875502</v>
      </c>
      <c r="C295" s="13" t="n">
        <v>87911.2115832055</v>
      </c>
      <c r="D295" s="13" t="n">
        <v>2468</v>
      </c>
      <c r="E295" s="14" t="n">
        <v>36.747315994936</v>
      </c>
      <c r="F295" s="14" t="n">
        <v>35.6204260871983</v>
      </c>
      <c r="G295" s="13" t="n">
        <v>2781.16429229647</v>
      </c>
      <c r="H295" s="15" t="n">
        <v>0.030665910617606</v>
      </c>
      <c r="I295" s="15" t="n">
        <v>0.030665910617606</v>
      </c>
      <c r="J295" s="16" t="n">
        <v>2014</v>
      </c>
      <c r="K295" s="16" t="n">
        <v>10</v>
      </c>
      <c r="L295" s="16" t="n">
        <v>42</v>
      </c>
      <c r="M295" s="16" t="s">
        <v>38</v>
      </c>
      <c r="N295" s="17" t="b">
        <f aca="false">TRUE()</f>
        <v>1</v>
      </c>
      <c r="O295" s="14" t="n">
        <v>36.1328012250369</v>
      </c>
      <c r="P295" s="13" t="n">
        <v>3976.85714285714</v>
      </c>
      <c r="Q295" s="15" t="n">
        <v>0.0170071167765778</v>
      </c>
      <c r="R295" s="15" t="n">
        <v>-0.379409440333357</v>
      </c>
      <c r="S295" s="17" t="b">
        <f aca="false">FALSE()</f>
        <v>0</v>
      </c>
    </row>
    <row r="296" customFormat="false" ht="15" hidden="false" customHeight="true" outlineLevel="0" collapsed="false">
      <c r="A296" s="12" t="n">
        <v>41932</v>
      </c>
      <c r="B296" s="13" t="n">
        <v>101723.915004092</v>
      </c>
      <c r="C296" s="13" t="n">
        <v>98870.8118771977</v>
      </c>
      <c r="D296" s="13" t="n">
        <v>2773</v>
      </c>
      <c r="E296" s="14" t="n">
        <v>36.6837053747178</v>
      </c>
      <c r="F296" s="14" t="n">
        <v>35.6548185637208</v>
      </c>
      <c r="G296" s="13" t="n">
        <v>2853.1031268946</v>
      </c>
      <c r="H296" s="15" t="n">
        <v>0.0280475159334933</v>
      </c>
      <c r="I296" s="15" t="n">
        <v>0.0280475159334932</v>
      </c>
      <c r="J296" s="16" t="n">
        <v>2014</v>
      </c>
      <c r="K296" s="16" t="n">
        <v>10</v>
      </c>
      <c r="L296" s="16" t="n">
        <v>43</v>
      </c>
      <c r="M296" s="16" t="s">
        <v>32</v>
      </c>
      <c r="N296" s="17" t="b">
        <f aca="false">FALSE()</f>
        <v>0</v>
      </c>
      <c r="O296" s="14" t="n">
        <v>36.4399247716838</v>
      </c>
      <c r="P296" s="13" t="n">
        <v>3536.64285714286</v>
      </c>
      <c r="Q296" s="15" t="n">
        <v>0.00668993156713126</v>
      </c>
      <c r="R296" s="15" t="n">
        <v>-0.215923090905419</v>
      </c>
      <c r="S296" s="17" t="b">
        <f aca="false">FALSE()</f>
        <v>0</v>
      </c>
    </row>
    <row r="297" customFormat="false" ht="15" hidden="false" customHeight="true" outlineLevel="0" collapsed="false">
      <c r="A297" s="12" t="n">
        <v>41933</v>
      </c>
      <c r="B297" s="13" t="n">
        <v>103395.691268742</v>
      </c>
      <c r="C297" s="13" t="n">
        <v>100424.155743323</v>
      </c>
      <c r="D297" s="13" t="n">
        <v>2815</v>
      </c>
      <c r="E297" s="14" t="n">
        <v>36.7302633281501</v>
      </c>
      <c r="F297" s="14" t="n">
        <v>35.6746556814646</v>
      </c>
      <c r="G297" s="13" t="n">
        <v>2971.5355254195</v>
      </c>
      <c r="H297" s="15" t="n">
        <v>0.0287394521856427</v>
      </c>
      <c r="I297" s="15" t="n">
        <v>0.0287394521856428</v>
      </c>
      <c r="J297" s="16" t="n">
        <v>2014</v>
      </c>
      <c r="K297" s="16" t="n">
        <v>10</v>
      </c>
      <c r="L297" s="16" t="n">
        <v>43</v>
      </c>
      <c r="M297" s="16" t="s">
        <v>33</v>
      </c>
      <c r="N297" s="17" t="b">
        <f aca="false">FALSE()</f>
        <v>0</v>
      </c>
      <c r="O297" s="14" t="n">
        <v>36.7428907758903</v>
      </c>
      <c r="P297" s="13" t="n">
        <v>2907.64285714286</v>
      </c>
      <c r="Q297" s="15" t="n">
        <v>-0.000343670502607831</v>
      </c>
      <c r="R297" s="15" t="n">
        <v>-0.0318618419436461</v>
      </c>
      <c r="S297" s="17" t="b">
        <f aca="false">FALSE()</f>
        <v>0</v>
      </c>
    </row>
    <row r="298" customFormat="false" ht="15" hidden="false" customHeight="true" outlineLevel="0" collapsed="false">
      <c r="A298" s="12" t="n">
        <v>41934</v>
      </c>
      <c r="B298" s="13" t="n">
        <v>99075.5990960218</v>
      </c>
      <c r="C298" s="13" t="n">
        <v>96511.7221575381</v>
      </c>
      <c r="D298" s="13" t="n">
        <v>2701</v>
      </c>
      <c r="E298" s="14" t="n">
        <v>36.6810807463983</v>
      </c>
      <c r="F298" s="14" t="n">
        <v>35.7318482626946</v>
      </c>
      <c r="G298" s="13" t="n">
        <v>2563.87693848368</v>
      </c>
      <c r="H298" s="15" t="n">
        <v>0.0258779857187523</v>
      </c>
      <c r="I298" s="15" t="n">
        <v>0.0258779857187521</v>
      </c>
      <c r="J298" s="16" t="n">
        <v>2014</v>
      </c>
      <c r="K298" s="16" t="n">
        <v>10</v>
      </c>
      <c r="L298" s="16" t="n">
        <v>43</v>
      </c>
      <c r="M298" s="16" t="s">
        <v>34</v>
      </c>
      <c r="N298" s="17" t="b">
        <f aca="false">FALSE()</f>
        <v>0</v>
      </c>
      <c r="O298" s="14" t="n">
        <v>36.7433459319066</v>
      </c>
      <c r="P298" s="13" t="n">
        <v>2956.78571428571</v>
      </c>
      <c r="Q298" s="15" t="n">
        <v>-0.00169459759118621</v>
      </c>
      <c r="R298" s="15" t="n">
        <v>-0.0865080323710593</v>
      </c>
      <c r="S298" s="17" t="b">
        <f aca="false">FALSE()</f>
        <v>0</v>
      </c>
    </row>
    <row r="299" customFormat="false" ht="15" hidden="false" customHeight="true" outlineLevel="0" collapsed="false">
      <c r="A299" s="12" t="n">
        <v>41935</v>
      </c>
      <c r="B299" s="13" t="n">
        <v>97476.1447195721</v>
      </c>
      <c r="C299" s="13" t="n">
        <v>94763.8425487659</v>
      </c>
      <c r="D299" s="13" t="n">
        <v>2651</v>
      </c>
      <c r="E299" s="14" t="n">
        <v>36.7695755260551</v>
      </c>
      <c r="F299" s="14" t="n">
        <v>35.7464513575126</v>
      </c>
      <c r="G299" s="13" t="n">
        <v>2712.30217080613</v>
      </c>
      <c r="H299" s="15" t="n">
        <v>0.0278252918045653</v>
      </c>
      <c r="I299" s="15" t="n">
        <v>0.0278252918045654</v>
      </c>
      <c r="J299" s="16" t="n">
        <v>2014</v>
      </c>
      <c r="K299" s="16" t="n">
        <v>10</v>
      </c>
      <c r="L299" s="16" t="n">
        <v>43</v>
      </c>
      <c r="M299" s="16" t="s">
        <v>35</v>
      </c>
      <c r="N299" s="17" t="b">
        <f aca="false">FALSE()</f>
        <v>0</v>
      </c>
      <c r="O299" s="14" t="n">
        <v>36.7444077209187</v>
      </c>
      <c r="P299" s="13" t="n">
        <v>3012.35714285714</v>
      </c>
      <c r="Q299" s="15" t="n">
        <v>0.000684942463286698</v>
      </c>
      <c r="R299" s="15" t="n">
        <v>-0.119958267137742</v>
      </c>
      <c r="S299" s="17" t="b">
        <f aca="false">FALSE()</f>
        <v>0</v>
      </c>
    </row>
    <row r="300" customFormat="false" ht="15" hidden="false" customHeight="true" outlineLevel="0" collapsed="false">
      <c r="A300" s="12" t="n">
        <v>41936</v>
      </c>
      <c r="B300" s="13" t="n">
        <v>248974.652782796</v>
      </c>
      <c r="C300" s="13" t="n">
        <v>241961.143245303</v>
      </c>
      <c r="D300" s="13" t="n">
        <v>6781</v>
      </c>
      <c r="E300" s="14" t="n">
        <v>36.716509774782</v>
      </c>
      <c r="F300" s="14" t="n">
        <v>35.6822213899576</v>
      </c>
      <c r="G300" s="13" t="n">
        <v>7013.50953749375</v>
      </c>
      <c r="H300" s="15" t="n">
        <v>0.0281695725211525</v>
      </c>
      <c r="I300" s="15" t="n">
        <v>0.0281695725211524</v>
      </c>
      <c r="J300" s="16" t="n">
        <v>2014</v>
      </c>
      <c r="K300" s="16" t="n">
        <v>10</v>
      </c>
      <c r="L300" s="16" t="n">
        <v>43</v>
      </c>
      <c r="M300" s="16" t="s">
        <v>36</v>
      </c>
      <c r="N300" s="17" t="b">
        <f aca="false">FALSE()</f>
        <v>0</v>
      </c>
      <c r="O300" s="14" t="n">
        <v>36.7445202827129</v>
      </c>
      <c r="P300" s="13" t="n">
        <v>3001.07142857143</v>
      </c>
      <c r="Q300" s="15" t="n">
        <v>-0.000762304357640515</v>
      </c>
      <c r="R300" s="15" t="n">
        <v>1.25952635963346</v>
      </c>
      <c r="S300" s="17" t="b">
        <f aca="false">FALSE()</f>
        <v>0</v>
      </c>
    </row>
    <row r="301" customFormat="false" ht="15" hidden="false" customHeight="true" outlineLevel="0" collapsed="false">
      <c r="A301" s="12" t="n">
        <v>41937</v>
      </c>
      <c r="B301" s="13" t="n">
        <v>302721.6833004</v>
      </c>
      <c r="C301" s="13" t="n">
        <v>294129.671123119</v>
      </c>
      <c r="D301" s="13" t="n">
        <v>8249</v>
      </c>
      <c r="E301" s="14" t="n">
        <v>36.6979856104256</v>
      </c>
      <c r="F301" s="14" t="n">
        <v>35.65640333654</v>
      </c>
      <c r="G301" s="13" t="n">
        <v>8592.01217728172</v>
      </c>
      <c r="H301" s="15" t="n">
        <v>0.0283825462504303</v>
      </c>
      <c r="I301" s="15" t="n">
        <v>0.0283825462504304</v>
      </c>
      <c r="J301" s="16" t="n">
        <v>2014</v>
      </c>
      <c r="K301" s="16" t="n">
        <v>10</v>
      </c>
      <c r="L301" s="16" t="n">
        <v>43</v>
      </c>
      <c r="M301" s="16" t="s">
        <v>37</v>
      </c>
      <c r="N301" s="17" t="b">
        <f aca="false">TRUE()</f>
        <v>1</v>
      </c>
      <c r="O301" s="14" t="n">
        <v>36.7407088729622</v>
      </c>
      <c r="P301" s="13" t="n">
        <v>3136.07142857143</v>
      </c>
      <c r="Q301" s="15" t="n">
        <v>-0.00116283174296953</v>
      </c>
      <c r="R301" s="15" t="n">
        <v>1.63036100671905</v>
      </c>
      <c r="S301" s="17" t="b">
        <f aca="false">FALSE()</f>
        <v>0</v>
      </c>
    </row>
    <row r="302" customFormat="false" ht="15" hidden="false" customHeight="true" outlineLevel="0" collapsed="false">
      <c r="A302" s="12" t="n">
        <v>41938</v>
      </c>
      <c r="B302" s="13" t="n">
        <v>128520.727803954</v>
      </c>
      <c r="C302" s="13" t="n">
        <v>124739.233948688</v>
      </c>
      <c r="D302" s="13" t="n">
        <v>3502</v>
      </c>
      <c r="E302" s="14" t="n">
        <v>36.6992369514431</v>
      </c>
      <c r="F302" s="14" t="n">
        <v>35.6194271698138</v>
      </c>
      <c r="G302" s="13" t="n">
        <v>3781.4938552657</v>
      </c>
      <c r="H302" s="15" t="n">
        <v>0.029423221606977</v>
      </c>
      <c r="I302" s="15" t="n">
        <v>0.0294232216069769</v>
      </c>
      <c r="J302" s="16" t="n">
        <v>2014</v>
      </c>
      <c r="K302" s="16" t="n">
        <v>10</v>
      </c>
      <c r="L302" s="16" t="n">
        <v>43</v>
      </c>
      <c r="M302" s="16" t="s">
        <v>38</v>
      </c>
      <c r="N302" s="17" t="b">
        <f aca="false">TRUE()</f>
        <v>1</v>
      </c>
      <c r="O302" s="14" t="n">
        <v>36.7382909867592</v>
      </c>
      <c r="P302" s="13" t="n">
        <v>3456.85714285714</v>
      </c>
      <c r="Q302" s="15" t="n">
        <v>-0.0010630335344171</v>
      </c>
      <c r="R302" s="15" t="n">
        <v>0.0130589304901232</v>
      </c>
      <c r="S302" s="17" t="b">
        <f aca="false">FALSE()</f>
        <v>0</v>
      </c>
    </row>
    <row r="303" customFormat="false" ht="15" hidden="false" customHeight="true" outlineLevel="0" collapsed="false">
      <c r="A303" s="12" t="n">
        <v>41939</v>
      </c>
      <c r="B303" s="13" t="n">
        <v>145185.268336085</v>
      </c>
      <c r="C303" s="13" t="n">
        <v>140651.93717842</v>
      </c>
      <c r="D303" s="13" t="n">
        <v>3949</v>
      </c>
      <c r="E303" s="14" t="n">
        <v>36.7650717488187</v>
      </c>
      <c r="F303" s="14" t="n">
        <v>35.617102349562</v>
      </c>
      <c r="G303" s="13" t="n">
        <v>4533.33115766462</v>
      </c>
      <c r="H303" s="15" t="n">
        <v>0.0312244569274794</v>
      </c>
      <c r="I303" s="15" t="n">
        <v>0.0312244569274795</v>
      </c>
      <c r="J303" s="16" t="n">
        <v>2014</v>
      </c>
      <c r="K303" s="16" t="n">
        <v>10</v>
      </c>
      <c r="L303" s="16" t="n">
        <v>44</v>
      </c>
      <c r="M303" s="16" t="s">
        <v>32</v>
      </c>
      <c r="N303" s="17" t="b">
        <f aca="false">FALSE()</f>
        <v>0</v>
      </c>
      <c r="O303" s="14" t="n">
        <v>36.7348451428775</v>
      </c>
      <c r="P303" s="13" t="n">
        <v>3588.35714285714</v>
      </c>
      <c r="Q303" s="15" t="n">
        <v>0.000822831995712858</v>
      </c>
      <c r="R303" s="15" t="n">
        <v>0.100503612874973</v>
      </c>
      <c r="S303" s="17" t="b">
        <f aca="false">FALSE()</f>
        <v>0</v>
      </c>
    </row>
    <row r="304" customFormat="false" ht="15" hidden="false" customHeight="true" outlineLevel="0" collapsed="false">
      <c r="A304" s="12" t="n">
        <v>41940</v>
      </c>
      <c r="B304" s="13" t="n">
        <v>89527.5566318617</v>
      </c>
      <c r="C304" s="13" t="n">
        <v>87067.0513189143</v>
      </c>
      <c r="D304" s="13" t="n">
        <v>2435</v>
      </c>
      <c r="E304" s="14" t="n">
        <v>36.7669637091835</v>
      </c>
      <c r="F304" s="14" t="n">
        <v>35.7564892480141</v>
      </c>
      <c r="G304" s="13" t="n">
        <v>2460.50531294743</v>
      </c>
      <c r="H304" s="15" t="n">
        <v>0.0274832175199983</v>
      </c>
      <c r="I304" s="15" t="n">
        <v>0.0274832175199983</v>
      </c>
      <c r="J304" s="16" t="n">
        <v>2014</v>
      </c>
      <c r="K304" s="16" t="n">
        <v>10</v>
      </c>
      <c r="L304" s="16" t="n">
        <v>44</v>
      </c>
      <c r="M304" s="16" t="s">
        <v>33</v>
      </c>
      <c r="N304" s="17" t="b">
        <f aca="false">FALSE()</f>
        <v>0</v>
      </c>
      <c r="O304" s="14" t="n">
        <v>36.7338103327435</v>
      </c>
      <c r="P304" s="13" t="n">
        <v>3701.85714285714</v>
      </c>
      <c r="Q304" s="15" t="n">
        <v>0.000902530288572447</v>
      </c>
      <c r="R304" s="15" t="n">
        <v>-0.342222050708139</v>
      </c>
      <c r="S304" s="17" t="b">
        <f aca="false">FALSE()</f>
        <v>0</v>
      </c>
    </row>
    <row r="305" customFormat="false" ht="15" hidden="false" customHeight="true" outlineLevel="0" collapsed="false">
      <c r="A305" s="12" t="n">
        <v>41941</v>
      </c>
      <c r="B305" s="13" t="n">
        <v>81991.8828414111</v>
      </c>
      <c r="C305" s="13" t="n">
        <v>80112.5480149883</v>
      </c>
      <c r="D305" s="13" t="n">
        <v>2232</v>
      </c>
      <c r="E305" s="14" t="n">
        <v>36.7347145346824</v>
      </c>
      <c r="F305" s="14" t="n">
        <v>35.892718644708</v>
      </c>
      <c r="G305" s="13" t="n">
        <v>1879.33482642284</v>
      </c>
      <c r="H305" s="15" t="n">
        <v>0.0229209863378532</v>
      </c>
      <c r="I305" s="15" t="n">
        <v>0.0229209863378532</v>
      </c>
      <c r="J305" s="16" t="n">
        <v>2014</v>
      </c>
      <c r="K305" s="16" t="n">
        <v>10</v>
      </c>
      <c r="L305" s="16" t="n">
        <v>44</v>
      </c>
      <c r="M305" s="16" t="s">
        <v>34</v>
      </c>
      <c r="N305" s="17" t="b">
        <f aca="false">FALSE()</f>
        <v>0</v>
      </c>
      <c r="O305" s="14" t="n">
        <v>36.7363042156252</v>
      </c>
      <c r="P305" s="13" t="n">
        <v>3740.5</v>
      </c>
      <c r="Q305" s="15" t="n">
        <v>-4.32727509417366E-005</v>
      </c>
      <c r="R305" s="15" t="n">
        <v>-0.403288330437107</v>
      </c>
      <c r="S305" s="17" t="b">
        <f aca="false">FALSE()</f>
        <v>0</v>
      </c>
    </row>
    <row r="306" customFormat="false" ht="15" hidden="false" customHeight="true" outlineLevel="0" collapsed="false">
      <c r="A306" s="12" t="n">
        <v>41942</v>
      </c>
      <c r="B306" s="13" t="n">
        <v>69704.4911125905</v>
      </c>
      <c r="C306" s="13" t="n">
        <v>68293.0963897961</v>
      </c>
      <c r="D306" s="13" t="n">
        <v>1898</v>
      </c>
      <c r="E306" s="14" t="n">
        <v>36.7252324091625</v>
      </c>
      <c r="F306" s="14" t="n">
        <v>35.9816103212835</v>
      </c>
      <c r="G306" s="13" t="n">
        <v>1411.39472279437</v>
      </c>
      <c r="H306" s="15" t="n">
        <v>0.0202482609121213</v>
      </c>
      <c r="I306" s="15" t="n">
        <v>0.0202482609121214</v>
      </c>
      <c r="J306" s="16" t="n">
        <v>2014</v>
      </c>
      <c r="K306" s="16" t="n">
        <v>10</v>
      </c>
      <c r="L306" s="16" t="n">
        <v>44</v>
      </c>
      <c r="M306" s="16" t="s">
        <v>35</v>
      </c>
      <c r="N306" s="17" t="b">
        <f aca="false">FALSE()</f>
        <v>0</v>
      </c>
      <c r="O306" s="14" t="n">
        <v>36.7334537530671</v>
      </c>
      <c r="P306" s="13" t="n">
        <v>3646.5</v>
      </c>
      <c r="Q306" s="15" t="n">
        <v>-0.000223810806350982</v>
      </c>
      <c r="R306" s="15" t="n">
        <v>-0.479500891265597</v>
      </c>
      <c r="S306" s="17" t="b">
        <f aca="false">FALSE()</f>
        <v>0</v>
      </c>
    </row>
    <row r="307" customFormat="false" ht="15" hidden="false" customHeight="true" outlineLevel="0" collapsed="false">
      <c r="A307" s="12" t="n">
        <v>41943</v>
      </c>
      <c r="B307" s="13" t="n">
        <v>166652.394819224</v>
      </c>
      <c r="C307" s="13" t="n">
        <v>163319.716470677</v>
      </c>
      <c r="D307" s="13" t="n">
        <v>4537</v>
      </c>
      <c r="E307" s="14" t="n">
        <v>36.7318480976909</v>
      </c>
      <c r="F307" s="14" t="n">
        <v>35.9972925877621</v>
      </c>
      <c r="G307" s="13" t="n">
        <v>3332.67834854705</v>
      </c>
      <c r="H307" s="15" t="n">
        <v>0.0199977825230905</v>
      </c>
      <c r="I307" s="15" t="n">
        <v>0.0199977825230905</v>
      </c>
      <c r="J307" s="16" t="n">
        <v>2014</v>
      </c>
      <c r="K307" s="16" t="n">
        <v>10</v>
      </c>
      <c r="L307" s="16" t="n">
        <v>44</v>
      </c>
      <c r="M307" s="16" t="s">
        <v>36</v>
      </c>
      <c r="N307" s="17" t="b">
        <f aca="false">FALSE()</f>
        <v>0</v>
      </c>
      <c r="O307" s="14" t="n">
        <v>36.7313945286104</v>
      </c>
      <c r="P307" s="13" t="n">
        <v>3597</v>
      </c>
      <c r="Q307" s="15" t="n">
        <v>1.23482673698205E-005</v>
      </c>
      <c r="R307" s="15" t="n">
        <v>0.261328885182096</v>
      </c>
      <c r="S307" s="17" t="b">
        <f aca="false">FALSE()</f>
        <v>0</v>
      </c>
    </row>
    <row r="308" customFormat="false" ht="15" hidden="false" customHeight="true" outlineLevel="0" collapsed="false">
      <c r="A308" s="12" t="n">
        <v>41944</v>
      </c>
      <c r="B308" s="13" t="n">
        <v>247453.102185248</v>
      </c>
      <c r="C308" s="13" t="n">
        <v>242638.801197468</v>
      </c>
      <c r="D308" s="13" t="n">
        <v>6730</v>
      </c>
      <c r="E308" s="14" t="n">
        <v>36.7686630290115</v>
      </c>
      <c r="F308" s="14" t="n">
        <v>36.0533136994753</v>
      </c>
      <c r="G308" s="13" t="n">
        <v>4814.30098777919</v>
      </c>
      <c r="H308" s="15" t="n">
        <v>0.019455407692465</v>
      </c>
      <c r="I308" s="15" t="n">
        <v>0.0194554076924649</v>
      </c>
      <c r="J308" s="16" t="n">
        <v>2014</v>
      </c>
      <c r="K308" s="16" t="n">
        <v>11</v>
      </c>
      <c r="L308" s="16" t="n">
        <v>44</v>
      </c>
      <c r="M308" s="16" t="s">
        <v>37</v>
      </c>
      <c r="N308" s="17" t="b">
        <f aca="false">TRUE()</f>
        <v>1</v>
      </c>
      <c r="O308" s="14" t="n">
        <v>36.7292279089885</v>
      </c>
      <c r="P308" s="13" t="n">
        <v>3685.85714285714</v>
      </c>
      <c r="Q308" s="15" t="n">
        <v>0.00107367135842612</v>
      </c>
      <c r="R308" s="15" t="n">
        <v>0.825898220999186</v>
      </c>
      <c r="S308" s="17" t="b">
        <f aca="false">FALSE()</f>
        <v>0</v>
      </c>
    </row>
    <row r="309" customFormat="false" ht="15" hidden="false" customHeight="true" outlineLevel="0" collapsed="false">
      <c r="A309" s="12" t="n">
        <v>41945</v>
      </c>
      <c r="B309" s="13" t="n">
        <v>148476.181209175</v>
      </c>
      <c r="C309" s="13" t="n">
        <v>145646.336801694</v>
      </c>
      <c r="D309" s="13" t="n">
        <v>4038</v>
      </c>
      <c r="E309" s="14" t="n">
        <v>36.7697328403108</v>
      </c>
      <c r="F309" s="14" t="n">
        <v>36.0689293713953</v>
      </c>
      <c r="G309" s="13" t="n">
        <v>2829.84440748068</v>
      </c>
      <c r="H309" s="15" t="n">
        <v>0.0190592483214123</v>
      </c>
      <c r="I309" s="15" t="n">
        <v>0.0190592483214122</v>
      </c>
      <c r="J309" s="16" t="n">
        <v>2014</v>
      </c>
      <c r="K309" s="16" t="n">
        <v>11</v>
      </c>
      <c r="L309" s="16" t="n">
        <v>44</v>
      </c>
      <c r="M309" s="16" t="s">
        <v>38</v>
      </c>
      <c r="N309" s="17" t="b">
        <f aca="false">TRUE()</f>
        <v>1</v>
      </c>
      <c r="O309" s="14" t="n">
        <v>36.7298690596755</v>
      </c>
      <c r="P309" s="13" t="n">
        <v>3837.21428571429</v>
      </c>
      <c r="Q309" s="15" t="n">
        <v>0.00108532324388298</v>
      </c>
      <c r="R309" s="15" t="n">
        <v>0.0523259060702518</v>
      </c>
      <c r="S309" s="17" t="b">
        <f aca="false">FALSE()</f>
        <v>0</v>
      </c>
    </row>
    <row r="310" customFormat="false" ht="15" hidden="false" customHeight="true" outlineLevel="0" collapsed="false">
      <c r="A310" s="12" t="n">
        <v>41946</v>
      </c>
      <c r="B310" s="13" t="n">
        <v>205368.922634401</v>
      </c>
      <c r="C310" s="13" t="n">
        <v>201281.239025563</v>
      </c>
      <c r="D310" s="13" t="n">
        <v>5581</v>
      </c>
      <c r="E310" s="14" t="n">
        <v>36.7978718212509</v>
      </c>
      <c r="F310" s="14" t="n">
        <v>36.0654432943134</v>
      </c>
      <c r="G310" s="13" t="n">
        <v>4087.68360883824</v>
      </c>
      <c r="H310" s="15" t="n">
        <v>0.0199041001744707</v>
      </c>
      <c r="I310" s="15" t="n">
        <v>0.0199041001744707</v>
      </c>
      <c r="J310" s="16" t="n">
        <v>2014</v>
      </c>
      <c r="K310" s="16" t="n">
        <v>11</v>
      </c>
      <c r="L310" s="16" t="n">
        <v>45</v>
      </c>
      <c r="M310" s="16" t="s">
        <v>32</v>
      </c>
      <c r="N310" s="17" t="b">
        <f aca="false">FALSE()</f>
        <v>0</v>
      </c>
      <c r="O310" s="14" t="n">
        <v>36.7314702629166</v>
      </c>
      <c r="P310" s="13" t="n">
        <v>3949.35714285714</v>
      </c>
      <c r="Q310" s="15" t="n">
        <v>0.0018077566146696</v>
      </c>
      <c r="R310" s="15" t="n">
        <v>0.413141379247979</v>
      </c>
      <c r="S310" s="17" t="b">
        <f aca="false">FALSE()</f>
        <v>0</v>
      </c>
    </row>
    <row r="311" customFormat="false" ht="15" hidden="false" customHeight="true" outlineLevel="0" collapsed="false">
      <c r="A311" s="12" t="n">
        <v>41947</v>
      </c>
      <c r="B311" s="13" t="n">
        <v>99244.6818460492</v>
      </c>
      <c r="C311" s="13" t="n">
        <v>90949.4422522011</v>
      </c>
      <c r="D311" s="13" t="n">
        <v>2519</v>
      </c>
      <c r="E311" s="14" t="n">
        <v>39.3984445597654</v>
      </c>
      <c r="F311" s="14" t="n">
        <v>36.105376042954</v>
      </c>
      <c r="G311" s="13" t="n">
        <v>8295.23959384806</v>
      </c>
      <c r="H311" s="15" t="n">
        <v>0.0835837189413922</v>
      </c>
      <c r="I311" s="15" t="n">
        <v>0.0835837189413922</v>
      </c>
      <c r="J311" s="16" t="n">
        <v>2014</v>
      </c>
      <c r="K311" s="16" t="n">
        <v>11</v>
      </c>
      <c r="L311" s="16" t="n">
        <v>45</v>
      </c>
      <c r="M311" s="16" t="s">
        <v>33</v>
      </c>
      <c r="N311" s="17" t="b">
        <f aca="false">FALSE()</f>
        <v>0</v>
      </c>
      <c r="O311" s="14" t="n">
        <v>36.7396250090975</v>
      </c>
      <c r="P311" s="13" t="n">
        <v>4149.92857142857</v>
      </c>
      <c r="Q311" s="15" t="n">
        <v>0.0723692620708446</v>
      </c>
      <c r="R311" s="15" t="n">
        <v>-0.393001600716019</v>
      </c>
      <c r="S311" s="17" t="b">
        <f aca="false">FALSE()</f>
        <v>0</v>
      </c>
    </row>
    <row r="312" customFormat="false" ht="15" hidden="false" customHeight="true" outlineLevel="0" collapsed="false">
      <c r="A312" s="12" t="n">
        <v>41948</v>
      </c>
      <c r="B312" s="13" t="n">
        <v>72756.8631000705</v>
      </c>
      <c r="C312" s="13" t="n">
        <v>67872.7743268852</v>
      </c>
      <c r="D312" s="13" t="n">
        <v>1847</v>
      </c>
      <c r="E312" s="14" t="n">
        <v>39.3919128857989</v>
      </c>
      <c r="F312" s="14" t="n">
        <v>36.7475767877018</v>
      </c>
      <c r="G312" s="13" t="n">
        <v>4884.08877318526</v>
      </c>
      <c r="H312" s="15" t="n">
        <v>0.0671289080518443</v>
      </c>
      <c r="I312" s="15" t="n">
        <v>0.0671289080518444</v>
      </c>
      <c r="J312" s="16" t="n">
        <v>2014</v>
      </c>
      <c r="K312" s="16" t="n">
        <v>11</v>
      </c>
      <c r="L312" s="16" t="n">
        <v>45</v>
      </c>
      <c r="M312" s="16" t="s">
        <v>34</v>
      </c>
      <c r="N312" s="17" t="b">
        <f aca="false">FALSE()</f>
        <v>0</v>
      </c>
      <c r="O312" s="14" t="n">
        <v>36.9302093827843</v>
      </c>
      <c r="P312" s="13" t="n">
        <v>4128.78571428572</v>
      </c>
      <c r="Q312" s="15" t="n">
        <v>0.0666582601116283</v>
      </c>
      <c r="R312" s="15" t="n">
        <v>-0.55265297648911</v>
      </c>
      <c r="S312" s="17" t="b">
        <f aca="false">FALSE()</f>
        <v>0</v>
      </c>
    </row>
    <row r="313" customFormat="false" ht="15" hidden="false" customHeight="true" outlineLevel="0" collapsed="false">
      <c r="A313" s="12" t="n">
        <v>41949</v>
      </c>
      <c r="B313" s="13" t="n">
        <v>86867.4580805951</v>
      </c>
      <c r="C313" s="13" t="n">
        <v>84486.0860860636</v>
      </c>
      <c r="D313" s="13" t="n">
        <v>2309</v>
      </c>
      <c r="E313" s="14" t="n">
        <v>37.6212464619295</v>
      </c>
      <c r="F313" s="14" t="n">
        <v>36.5899030255797</v>
      </c>
      <c r="G313" s="13" t="n">
        <v>2381.37199453154</v>
      </c>
      <c r="H313" s="15" t="n">
        <v>0.0274138560877667</v>
      </c>
      <c r="I313" s="15" t="n">
        <v>0.0274138560877667</v>
      </c>
      <c r="J313" s="16" t="n">
        <v>2014</v>
      </c>
      <c r="K313" s="16" t="n">
        <v>11</v>
      </c>
      <c r="L313" s="16" t="n">
        <v>45</v>
      </c>
      <c r="M313" s="16" t="s">
        <v>35</v>
      </c>
      <c r="N313" s="17" t="b">
        <f aca="false">FALSE()</f>
        <v>0</v>
      </c>
      <c r="O313" s="14" t="n">
        <v>37.1238402498844</v>
      </c>
      <c r="P313" s="13" t="n">
        <v>4067.78571428571</v>
      </c>
      <c r="Q313" s="15" t="n">
        <v>0.013398565684396</v>
      </c>
      <c r="R313" s="15" t="n">
        <v>-0.432369312893993</v>
      </c>
      <c r="S313" s="17" t="b">
        <f aca="false">FALSE()</f>
        <v>0</v>
      </c>
    </row>
    <row r="314" customFormat="false" ht="15" hidden="false" customHeight="true" outlineLevel="0" collapsed="false">
      <c r="A314" s="12" t="n">
        <v>41950</v>
      </c>
      <c r="B314" s="13" t="n">
        <v>140167.803862205</v>
      </c>
      <c r="C314" s="13" t="n">
        <v>136539.203296447</v>
      </c>
      <c r="D314" s="13" t="n">
        <v>3722</v>
      </c>
      <c r="E314" s="14" t="n">
        <v>37.6592702477714</v>
      </c>
      <c r="F314" s="14" t="n">
        <v>36.6843641312323</v>
      </c>
      <c r="G314" s="13" t="n">
        <v>3628.60056575848</v>
      </c>
      <c r="H314" s="15" t="n">
        <v>0.0258875466817305</v>
      </c>
      <c r="I314" s="15" t="n">
        <v>0.0258875466817305</v>
      </c>
      <c r="J314" s="16" t="n">
        <v>2014</v>
      </c>
      <c r="K314" s="16" t="n">
        <v>11</v>
      </c>
      <c r="L314" s="16" t="n">
        <v>45</v>
      </c>
      <c r="M314" s="16" t="s">
        <v>36</v>
      </c>
      <c r="N314" s="17" t="b">
        <f aca="false">FALSE()</f>
        <v>0</v>
      </c>
      <c r="O314" s="14" t="n">
        <v>37.1846738881611</v>
      </c>
      <c r="P314" s="13" t="n">
        <v>4043.35714285714</v>
      </c>
      <c r="Q314" s="15" t="n">
        <v>0.0127632250060261</v>
      </c>
      <c r="R314" s="15" t="n">
        <v>-0.0794778030985567</v>
      </c>
      <c r="S314" s="17" t="b">
        <f aca="false">FALSE()</f>
        <v>0</v>
      </c>
    </row>
    <row r="315" customFormat="false" ht="15" hidden="false" customHeight="true" outlineLevel="0" collapsed="false">
      <c r="A315" s="12" t="n">
        <v>41951</v>
      </c>
      <c r="B315" s="13" t="n">
        <v>160727.302782979</v>
      </c>
      <c r="C315" s="13" t="n">
        <v>156700.824995732</v>
      </c>
      <c r="D315" s="13" t="n">
        <v>4268</v>
      </c>
      <c r="E315" s="14" t="n">
        <v>37.6586932481207</v>
      </c>
      <c r="F315" s="14" t="n">
        <v>36.7152823326458</v>
      </c>
      <c r="G315" s="13" t="n">
        <v>4026.47778724664</v>
      </c>
      <c r="H315" s="15" t="n">
        <v>0.02505161050754</v>
      </c>
      <c r="I315" s="15" t="n">
        <v>0.0250516105075401</v>
      </c>
      <c r="J315" s="16" t="n">
        <v>2014</v>
      </c>
      <c r="K315" s="16" t="n">
        <v>11</v>
      </c>
      <c r="L315" s="16" t="n">
        <v>45</v>
      </c>
      <c r="M315" s="16" t="s">
        <v>37</v>
      </c>
      <c r="N315" s="17" t="b">
        <f aca="false">TRUE()</f>
        <v>1</v>
      </c>
      <c r="O315" s="14" t="n">
        <v>37.2520139219461</v>
      </c>
      <c r="P315" s="13" t="n">
        <v>3824.85714285714</v>
      </c>
      <c r="Q315" s="15" t="n">
        <v>0.0109169755768563</v>
      </c>
      <c r="R315" s="15" t="n">
        <v>0.115858668857847</v>
      </c>
      <c r="S315" s="17" t="b">
        <f aca="false">FALSE()</f>
        <v>0</v>
      </c>
    </row>
    <row r="316" customFormat="false" ht="15" hidden="false" customHeight="true" outlineLevel="0" collapsed="false">
      <c r="A316" s="12" t="n">
        <v>41952</v>
      </c>
      <c r="B316" s="13" t="n">
        <v>74115.6287764455</v>
      </c>
      <c r="C316" s="13" t="n">
        <v>71994.3463936532</v>
      </c>
      <c r="D316" s="13" t="n">
        <v>1968</v>
      </c>
      <c r="E316" s="14" t="n">
        <v>37.6603804758361</v>
      </c>
      <c r="F316" s="14" t="n">
        <v>36.5824930862059</v>
      </c>
      <c r="G316" s="13" t="n">
        <v>2121.28238279234</v>
      </c>
      <c r="H316" s="15" t="n">
        <v>0.0286212559727551</v>
      </c>
      <c r="I316" s="15" t="n">
        <v>0.0286212559727551</v>
      </c>
      <c r="J316" s="16" t="n">
        <v>2014</v>
      </c>
      <c r="K316" s="16" t="n">
        <v>11</v>
      </c>
      <c r="L316" s="16" t="n">
        <v>45</v>
      </c>
      <c r="M316" s="16" t="s">
        <v>38</v>
      </c>
      <c r="N316" s="17" t="b">
        <f aca="false">TRUE()</f>
        <v>1</v>
      </c>
      <c r="O316" s="14" t="n">
        <v>37.3206358960672</v>
      </c>
      <c r="P316" s="13" t="n">
        <v>3540.5</v>
      </c>
      <c r="Q316" s="15" t="n">
        <v>0.00910339739963482</v>
      </c>
      <c r="R316" s="15" t="n">
        <v>-0.444146307018783</v>
      </c>
      <c r="S316" s="17" t="b">
        <f aca="false">FALSE()</f>
        <v>0</v>
      </c>
    </row>
    <row r="317" customFormat="false" ht="15" hidden="false" customHeight="true" outlineLevel="0" collapsed="false">
      <c r="A317" s="12" t="n">
        <v>41953</v>
      </c>
      <c r="B317" s="13" t="n">
        <v>76103.2915165355</v>
      </c>
      <c r="C317" s="13" t="n">
        <v>73967.6056944314</v>
      </c>
      <c r="D317" s="13" t="n">
        <v>2016</v>
      </c>
      <c r="E317" s="14" t="n">
        <v>37.7496485697101</v>
      </c>
      <c r="F317" s="14" t="n">
        <v>36.6902806023965</v>
      </c>
      <c r="G317" s="13" t="n">
        <v>2135.68582210413</v>
      </c>
      <c r="H317" s="15" t="n">
        <v>0.0280629888608707</v>
      </c>
      <c r="I317" s="15" t="n">
        <v>0.0280629888608708</v>
      </c>
      <c r="J317" s="16" t="n">
        <v>2014</v>
      </c>
      <c r="K317" s="16" t="n">
        <v>11</v>
      </c>
      <c r="L317" s="16" t="n">
        <v>46</v>
      </c>
      <c r="M317" s="16" t="s">
        <v>32</v>
      </c>
      <c r="N317" s="17" t="b">
        <f aca="false">FALSE()</f>
        <v>0</v>
      </c>
      <c r="O317" s="14" t="n">
        <v>37.3892890049524</v>
      </c>
      <c r="P317" s="13" t="n">
        <v>3430.92857142857</v>
      </c>
      <c r="Q317" s="15" t="n">
        <v>0.00963804272153943</v>
      </c>
      <c r="R317" s="15" t="n">
        <v>-0.412403972269065</v>
      </c>
      <c r="S317" s="17" t="b">
        <f aca="false">FALSE()</f>
        <v>0</v>
      </c>
    </row>
    <row r="318" customFormat="false" ht="15" hidden="false" customHeight="true" outlineLevel="0" collapsed="false">
      <c r="A318" s="12" t="n">
        <v>41954</v>
      </c>
      <c r="B318" s="13" t="n">
        <v>56303.3665745804</v>
      </c>
      <c r="C318" s="13" t="n">
        <v>54996.8666075907</v>
      </c>
      <c r="D318" s="13" t="n">
        <v>1497</v>
      </c>
      <c r="E318" s="14" t="n">
        <v>37.610799315017</v>
      </c>
      <c r="F318" s="14" t="n">
        <v>36.738053846086</v>
      </c>
      <c r="G318" s="13" t="n">
        <v>1306.49996698964</v>
      </c>
      <c r="H318" s="15" t="n">
        <v>0.0232046509201014</v>
      </c>
      <c r="I318" s="15" t="n">
        <v>0.0232046509201014</v>
      </c>
      <c r="J318" s="16" t="n">
        <v>2014</v>
      </c>
      <c r="K318" s="16" t="n">
        <v>11</v>
      </c>
      <c r="L318" s="16" t="n">
        <v>46</v>
      </c>
      <c r="M318" s="16" t="s">
        <v>33</v>
      </c>
      <c r="N318" s="17" t="b">
        <f aca="false">FALSE()</f>
        <v>0</v>
      </c>
      <c r="O318" s="14" t="n">
        <v>37.4596159207303</v>
      </c>
      <c r="P318" s="13" t="n">
        <v>3292.85714285714</v>
      </c>
      <c r="Q318" s="15" t="n">
        <v>0.00403590348087279</v>
      </c>
      <c r="R318" s="15" t="n">
        <v>-0.545379609544469</v>
      </c>
      <c r="S318" s="17" t="b">
        <f aca="false">FALSE()</f>
        <v>0</v>
      </c>
    </row>
    <row r="319" customFormat="false" ht="15" hidden="false" customHeight="true" outlineLevel="0" collapsed="false">
      <c r="A319" s="12" t="n">
        <v>41955</v>
      </c>
      <c r="B319" s="13" t="n">
        <v>49436.8158645204</v>
      </c>
      <c r="C319" s="13" t="n">
        <v>48289.8922760948</v>
      </c>
      <c r="D319" s="13" t="n">
        <v>1314</v>
      </c>
      <c r="E319" s="14" t="n">
        <v>37.6231475376867</v>
      </c>
      <c r="F319" s="14" t="n">
        <v>36.7502985358408</v>
      </c>
      <c r="G319" s="13" t="n">
        <v>1146.92358842563</v>
      </c>
      <c r="H319" s="15" t="n">
        <v>0.0231997868060258</v>
      </c>
      <c r="I319" s="15" t="n">
        <v>0.0231997868060259</v>
      </c>
      <c r="J319" s="16" t="n">
        <v>2014</v>
      </c>
      <c r="K319" s="16" t="n">
        <v>11</v>
      </c>
      <c r="L319" s="16" t="n">
        <v>46</v>
      </c>
      <c r="M319" s="16" t="s">
        <v>34</v>
      </c>
      <c r="N319" s="17" t="b">
        <f aca="false">FALSE()</f>
        <v>0</v>
      </c>
      <c r="O319" s="14" t="n">
        <v>37.5198898925756</v>
      </c>
      <c r="P319" s="13" t="n">
        <v>3225.85714285714</v>
      </c>
      <c r="Q319" s="15" t="n">
        <v>0.00275207750893756</v>
      </c>
      <c r="R319" s="15" t="n">
        <v>-0.592666400956556</v>
      </c>
      <c r="S319" s="17" t="b">
        <f aca="false">FALSE()</f>
        <v>0</v>
      </c>
    </row>
    <row r="320" customFormat="false" ht="15" hidden="false" customHeight="true" outlineLevel="0" collapsed="false">
      <c r="A320" s="12" t="n">
        <v>41956</v>
      </c>
      <c r="B320" s="13" t="n">
        <v>55033.1224039804</v>
      </c>
      <c r="C320" s="13" t="n">
        <v>53997.2188731076</v>
      </c>
      <c r="D320" s="13" t="n">
        <v>1466</v>
      </c>
      <c r="E320" s="14" t="n">
        <v>37.539646933138</v>
      </c>
      <c r="F320" s="14" t="n">
        <v>36.833027880701</v>
      </c>
      <c r="G320" s="13" t="n">
        <v>1035.90353087278</v>
      </c>
      <c r="H320" s="15" t="n">
        <v>0.0188232737962522</v>
      </c>
      <c r="I320" s="15" t="n">
        <v>0.0188232737962522</v>
      </c>
      <c r="J320" s="16" t="n">
        <v>2014</v>
      </c>
      <c r="K320" s="16" t="n">
        <v>11</v>
      </c>
      <c r="L320" s="16" t="n">
        <v>46</v>
      </c>
      <c r="M320" s="16" t="s">
        <v>35</v>
      </c>
      <c r="N320" s="17" t="b">
        <f aca="false">FALSE()</f>
        <v>0</v>
      </c>
      <c r="O320" s="14" t="n">
        <v>37.5833493927902</v>
      </c>
      <c r="P320" s="13" t="n">
        <v>3160.28571428571</v>
      </c>
      <c r="Q320" s="15" t="n">
        <v>-0.00116281439409197</v>
      </c>
      <c r="R320" s="15" t="n">
        <v>-0.536117891691529</v>
      </c>
      <c r="S320" s="17" t="b">
        <f aca="false">FALSE()</f>
        <v>0</v>
      </c>
    </row>
    <row r="321" customFormat="false" ht="15" hidden="false" customHeight="true" outlineLevel="0" collapsed="false">
      <c r="A321" s="12" t="n">
        <v>41957</v>
      </c>
      <c r="B321" s="13" t="n">
        <v>149808.165944726</v>
      </c>
      <c r="C321" s="13" t="n">
        <v>146994.895501132</v>
      </c>
      <c r="D321" s="13" t="n">
        <v>3984</v>
      </c>
      <c r="E321" s="14" t="n">
        <v>37.602451291347</v>
      </c>
      <c r="F321" s="14" t="n">
        <v>36.8963091117298</v>
      </c>
      <c r="G321" s="13" t="n">
        <v>2813.27044359484</v>
      </c>
      <c r="H321" s="15" t="n">
        <v>0.0187791528309133</v>
      </c>
      <c r="I321" s="15" t="n">
        <v>0.0187791528309132</v>
      </c>
      <c r="J321" s="16" t="n">
        <v>2014</v>
      </c>
      <c r="K321" s="16" t="n">
        <v>11</v>
      </c>
      <c r="L321" s="16" t="n">
        <v>46</v>
      </c>
      <c r="M321" s="16" t="s">
        <v>36</v>
      </c>
      <c r="N321" s="17" t="b">
        <f aca="false">FALSE()</f>
        <v>0</v>
      </c>
      <c r="O321" s="14" t="n">
        <v>37.6415218587884</v>
      </c>
      <c r="P321" s="13" t="n">
        <v>3129.42857142857</v>
      </c>
      <c r="Q321" s="15" t="n">
        <v>-0.00103796460695738</v>
      </c>
      <c r="R321" s="15" t="n">
        <v>0.27307586962476</v>
      </c>
      <c r="S321" s="17" t="b">
        <f aca="false">FALSE()</f>
        <v>0</v>
      </c>
    </row>
    <row r="322" customFormat="false" ht="15" hidden="false" customHeight="true" outlineLevel="0" collapsed="false">
      <c r="A322" s="12" t="n">
        <v>41958</v>
      </c>
      <c r="B322" s="13" t="n">
        <v>180685.51072991</v>
      </c>
      <c r="C322" s="13" t="n">
        <v>176898.277820371</v>
      </c>
      <c r="D322" s="13" t="n">
        <v>4802</v>
      </c>
      <c r="E322" s="14" t="n">
        <v>37.6271367617473</v>
      </c>
      <c r="F322" s="14" t="n">
        <v>36.8384585215266</v>
      </c>
      <c r="G322" s="13" t="n">
        <v>3787.23290953957</v>
      </c>
      <c r="H322" s="15" t="n">
        <v>0.0209603575529681</v>
      </c>
      <c r="I322" s="15" t="n">
        <v>0.020960357552968</v>
      </c>
      <c r="J322" s="16" t="n">
        <v>2014</v>
      </c>
      <c r="K322" s="16" t="n">
        <v>11</v>
      </c>
      <c r="L322" s="16" t="n">
        <v>46</v>
      </c>
      <c r="M322" s="16" t="s">
        <v>37</v>
      </c>
      <c r="N322" s="17" t="b">
        <f aca="false">TRUE()</f>
        <v>1</v>
      </c>
      <c r="O322" s="14" t="n">
        <v>37.7037078011924</v>
      </c>
      <c r="P322" s="13" t="n">
        <v>3089.92857142857</v>
      </c>
      <c r="Q322" s="15" t="n">
        <v>-0.00203086231860593</v>
      </c>
      <c r="R322" s="15" t="n">
        <v>0.554081231651217</v>
      </c>
      <c r="S322" s="17" t="b">
        <f aca="false">FALSE()</f>
        <v>0</v>
      </c>
    </row>
    <row r="323" customFormat="false" ht="15" hidden="false" customHeight="true" outlineLevel="0" collapsed="false">
      <c r="A323" s="12" t="n">
        <v>41959</v>
      </c>
      <c r="B323" s="13" t="n">
        <v>75871.4367652205</v>
      </c>
      <c r="C323" s="13" t="n">
        <v>73905.81015882</v>
      </c>
      <c r="D323" s="13" t="n">
        <v>2017</v>
      </c>
      <c r="E323" s="14" t="n">
        <v>37.6159825310959</v>
      </c>
      <c r="F323" s="14" t="n">
        <v>36.6414527311949</v>
      </c>
      <c r="G323" s="13" t="n">
        <v>1965.62660640046</v>
      </c>
      <c r="H323" s="15" t="n">
        <v>0.0259073333813747</v>
      </c>
      <c r="I323" s="15" t="n">
        <v>0.0259073333813747</v>
      </c>
      <c r="J323" s="16" t="n">
        <v>2014</v>
      </c>
      <c r="K323" s="16" t="n">
        <v>11</v>
      </c>
      <c r="L323" s="16" t="n">
        <v>46</v>
      </c>
      <c r="M323" s="16" t="s">
        <v>38</v>
      </c>
      <c r="N323" s="17" t="b">
        <f aca="false">TRUE()</f>
        <v>1</v>
      </c>
      <c r="O323" s="14" t="n">
        <v>37.7650273535307</v>
      </c>
      <c r="P323" s="13" t="n">
        <v>2952.21428571429</v>
      </c>
      <c r="Q323" s="15" t="n">
        <v>-0.00394663615729734</v>
      </c>
      <c r="R323" s="15" t="n">
        <v>-0.316784012000678</v>
      </c>
      <c r="S323" s="17" t="b">
        <f aca="false">FALSE()</f>
        <v>0</v>
      </c>
    </row>
    <row r="324" customFormat="false" ht="15" hidden="false" customHeight="true" outlineLevel="0" collapsed="false">
      <c r="A324" s="12" t="n">
        <v>41960</v>
      </c>
      <c r="B324" s="13" t="n">
        <v>86313.3340831701</v>
      </c>
      <c r="C324" s="13" t="n">
        <v>84418.7891093106</v>
      </c>
      <c r="D324" s="13" t="n">
        <v>2297</v>
      </c>
      <c r="E324" s="14" t="n">
        <v>37.576549448485</v>
      </c>
      <c r="F324" s="14" t="n">
        <v>36.7517584280847</v>
      </c>
      <c r="G324" s="13" t="n">
        <v>1894.54497385949</v>
      </c>
      <c r="H324" s="15" t="n">
        <v>0.0219496210404054</v>
      </c>
      <c r="I324" s="15" t="n">
        <v>0.0219496210404053</v>
      </c>
      <c r="J324" s="16" t="n">
        <v>2014</v>
      </c>
      <c r="K324" s="16" t="n">
        <v>11</v>
      </c>
      <c r="L324" s="16" t="n">
        <v>47</v>
      </c>
      <c r="M324" s="16" t="s">
        <v>32</v>
      </c>
      <c r="N324" s="17" t="b">
        <f aca="false">FALSE()</f>
        <v>0</v>
      </c>
      <c r="O324" s="14" t="n">
        <v>37.8254737600154</v>
      </c>
      <c r="P324" s="13" t="n">
        <v>2807.85714285714</v>
      </c>
      <c r="Q324" s="15" t="n">
        <v>-0.00658086434315729</v>
      </c>
      <c r="R324" s="15" t="n">
        <v>-0.181938438056474</v>
      </c>
      <c r="S324" s="17" t="b">
        <f aca="false">FALSE()</f>
        <v>0</v>
      </c>
    </row>
    <row r="325" customFormat="false" ht="15" hidden="false" customHeight="true" outlineLevel="0" collapsed="false">
      <c r="A325" s="12" t="n">
        <v>41961</v>
      </c>
      <c r="B325" s="13" t="n">
        <v>62631.7987520704</v>
      </c>
      <c r="C325" s="13" t="n">
        <v>61158.3610901928</v>
      </c>
      <c r="D325" s="13" t="n">
        <v>1665</v>
      </c>
      <c r="E325" s="14" t="n">
        <v>37.6166959471894</v>
      </c>
      <c r="F325" s="14" t="n">
        <v>36.7317484025182</v>
      </c>
      <c r="G325" s="13" t="n">
        <v>1473.4376618776</v>
      </c>
      <c r="H325" s="15" t="n">
        <v>0.0235253927116199</v>
      </c>
      <c r="I325" s="15" t="n">
        <v>0.02352539271162</v>
      </c>
      <c r="J325" s="16" t="n">
        <v>2014</v>
      </c>
      <c r="K325" s="16" t="n">
        <v>11</v>
      </c>
      <c r="L325" s="16" t="n">
        <v>47</v>
      </c>
      <c r="M325" s="16" t="s">
        <v>33</v>
      </c>
      <c r="N325" s="17" t="b">
        <f aca="false">FALSE()</f>
        <v>0</v>
      </c>
      <c r="O325" s="14" t="n">
        <v>37.8810935905321</v>
      </c>
      <c r="P325" s="13" t="n">
        <v>2573.28571428571</v>
      </c>
      <c r="Q325" s="15" t="n">
        <v>-0.00697967292604099</v>
      </c>
      <c r="R325" s="15" t="n">
        <v>-0.352967301393438</v>
      </c>
      <c r="S325" s="17" t="b">
        <f aca="false">FALSE()</f>
        <v>0</v>
      </c>
    </row>
    <row r="326" customFormat="false" ht="15" hidden="false" customHeight="true" outlineLevel="0" collapsed="false">
      <c r="A326" s="12" t="n">
        <v>41962</v>
      </c>
      <c r="B326" s="13" t="n">
        <v>48529.1033603403</v>
      </c>
      <c r="C326" s="13" t="n">
        <v>47409.5540564672</v>
      </c>
      <c r="D326" s="13" t="n">
        <v>1291</v>
      </c>
      <c r="E326" s="14" t="n">
        <v>37.590320186166</v>
      </c>
      <c r="F326" s="14" t="n">
        <v>36.7231247532666</v>
      </c>
      <c r="G326" s="13" t="n">
        <v>1119.54930387308</v>
      </c>
      <c r="H326" s="15" t="n">
        <v>0.023069647414669</v>
      </c>
      <c r="I326" s="15" t="n">
        <v>0.023069647414669</v>
      </c>
      <c r="J326" s="16" t="n">
        <v>2014</v>
      </c>
      <c r="K326" s="16" t="n">
        <v>11</v>
      </c>
      <c r="L326" s="16" t="n">
        <v>47</v>
      </c>
      <c r="M326" s="16" t="s">
        <v>34</v>
      </c>
      <c r="N326" s="17" t="b">
        <f aca="false">FALSE()</f>
        <v>0</v>
      </c>
      <c r="O326" s="14" t="n">
        <v>37.7538258324909</v>
      </c>
      <c r="P326" s="13" t="n">
        <v>2512.28571428571</v>
      </c>
      <c r="Q326" s="15" t="n">
        <v>-0.00433083648397451</v>
      </c>
      <c r="R326" s="15" t="n">
        <v>-0.486125326964631</v>
      </c>
      <c r="S326" s="17" t="b">
        <f aca="false">FALSE()</f>
        <v>0</v>
      </c>
    </row>
    <row r="327" customFormat="false" ht="15" hidden="false" customHeight="true" outlineLevel="0" collapsed="false">
      <c r="A327" s="12" t="n">
        <v>41963</v>
      </c>
      <c r="B327" s="13" t="n">
        <v>51040.8813680703</v>
      </c>
      <c r="C327" s="13" t="n">
        <v>50038.1426341611</v>
      </c>
      <c r="D327" s="13" t="n">
        <v>1361</v>
      </c>
      <c r="E327" s="14" t="n">
        <v>37.5024844732331</v>
      </c>
      <c r="F327" s="14" t="n">
        <v>36.765718320471</v>
      </c>
      <c r="G327" s="13" t="n">
        <v>1002.73873390917</v>
      </c>
      <c r="H327" s="15" t="n">
        <v>0.019645795821552</v>
      </c>
      <c r="I327" s="15" t="n">
        <v>0.0196457958215521</v>
      </c>
      <c r="J327" s="16" t="n">
        <v>2014</v>
      </c>
      <c r="K327" s="16" t="n">
        <v>11</v>
      </c>
      <c r="L327" s="16" t="n">
        <v>47</v>
      </c>
      <c r="M327" s="16" t="s">
        <v>35</v>
      </c>
      <c r="N327" s="17" t="b">
        <f aca="false">FALSE()</f>
        <v>0</v>
      </c>
      <c r="O327" s="14" t="n">
        <v>37.62514063966</v>
      </c>
      <c r="P327" s="13" t="n">
        <v>2472.57142857143</v>
      </c>
      <c r="Q327" s="15" t="n">
        <v>-0.00325995237071912</v>
      </c>
      <c r="R327" s="15" t="n">
        <v>-0.44956089669517</v>
      </c>
      <c r="S327" s="17" t="b">
        <f aca="false">FALSE()</f>
        <v>0</v>
      </c>
    </row>
    <row r="328" customFormat="false" ht="15" hidden="false" customHeight="true" outlineLevel="0" collapsed="false">
      <c r="A328" s="12" t="n">
        <v>41964</v>
      </c>
      <c r="B328" s="13" t="n">
        <v>53973.92224002</v>
      </c>
      <c r="C328" s="13" t="n">
        <v>47192.4982841019</v>
      </c>
      <c r="D328" s="13" t="n">
        <v>1281</v>
      </c>
      <c r="E328" s="14" t="n">
        <v>42.1342093989227</v>
      </c>
      <c r="F328" s="14" t="n">
        <v>36.8403577549585</v>
      </c>
      <c r="G328" s="13" t="n">
        <v>6781.42395591812</v>
      </c>
      <c r="H328" s="15" t="n">
        <v>0.125642600620377</v>
      </c>
      <c r="I328" s="15" t="n">
        <v>0.125642600620377</v>
      </c>
      <c r="J328" s="16" t="n">
        <v>2014</v>
      </c>
      <c r="K328" s="16" t="n">
        <v>11</v>
      </c>
      <c r="L328" s="16" t="n">
        <v>47</v>
      </c>
      <c r="M328" s="16" t="s">
        <v>36</v>
      </c>
      <c r="N328" s="17" t="b">
        <f aca="false">FALSE()</f>
        <v>0</v>
      </c>
      <c r="O328" s="14" t="n">
        <v>37.6166576404674</v>
      </c>
      <c r="P328" s="13" t="n">
        <v>2404.85714285714</v>
      </c>
      <c r="Q328" s="15" t="n">
        <v>0.120094448625212</v>
      </c>
      <c r="R328" s="15" t="n">
        <v>-0.467328026612807</v>
      </c>
      <c r="S328" s="17" t="b">
        <f aca="false">FALSE()</f>
        <v>0</v>
      </c>
    </row>
    <row r="329" customFormat="false" ht="15" hidden="false" customHeight="true" outlineLevel="0" collapsed="false">
      <c r="A329" s="12" t="n">
        <v>41965</v>
      </c>
      <c r="B329" s="13" t="n">
        <v>47497.9825335099</v>
      </c>
      <c r="C329" s="13" t="n">
        <v>41179.0882454592</v>
      </c>
      <c r="D329" s="13" t="n">
        <v>1122</v>
      </c>
      <c r="E329" s="14" t="n">
        <v>42.3333177660516</v>
      </c>
      <c r="F329" s="14" t="n">
        <v>36.7015046750973</v>
      </c>
      <c r="G329" s="13" t="n">
        <v>6318.89428805072</v>
      </c>
      <c r="H329" s="15" t="n">
        <v>0.133035003825536</v>
      </c>
      <c r="I329" s="15" t="n">
        <v>0.133035003825536</v>
      </c>
      <c r="J329" s="16" t="n">
        <v>2014</v>
      </c>
      <c r="K329" s="16" t="n">
        <v>11</v>
      </c>
      <c r="L329" s="16" t="n">
        <v>47</v>
      </c>
      <c r="M329" s="16" t="s">
        <v>37</v>
      </c>
      <c r="N329" s="17" t="b">
        <f aca="false">TRUE()</f>
        <v>1</v>
      </c>
      <c r="O329" s="14" t="n">
        <v>37.9362961512639</v>
      </c>
      <c r="P329" s="13" t="n">
        <v>2230.5</v>
      </c>
      <c r="Q329" s="15" t="n">
        <v>0.115905400918829</v>
      </c>
      <c r="R329" s="15" t="n">
        <v>-0.496973772696705</v>
      </c>
      <c r="S329" s="17" t="b">
        <f aca="false">FALSE()</f>
        <v>0</v>
      </c>
    </row>
    <row r="330" customFormat="false" ht="15" hidden="false" customHeight="true" outlineLevel="0" collapsed="false">
      <c r="A330" s="12" t="n">
        <v>41966</v>
      </c>
      <c r="B330" s="13" t="n">
        <v>31219.9515287199</v>
      </c>
      <c r="C330" s="13" t="n">
        <v>26893.304677301</v>
      </c>
      <c r="D330" s="13" t="n">
        <v>737</v>
      </c>
      <c r="E330" s="14" t="n">
        <v>42.3608568910718</v>
      </c>
      <c r="F330" s="14" t="n">
        <v>36.4902370112633</v>
      </c>
      <c r="G330" s="13" t="n">
        <v>4326.64685141886</v>
      </c>
      <c r="H330" s="15" t="n">
        <v>0.138585956721896</v>
      </c>
      <c r="I330" s="15" t="n">
        <v>0.138585956721896</v>
      </c>
      <c r="J330" s="16" t="n">
        <v>2014</v>
      </c>
      <c r="K330" s="16" t="n">
        <v>11</v>
      </c>
      <c r="L330" s="16" t="n">
        <v>47</v>
      </c>
      <c r="M330" s="16" t="s">
        <v>38</v>
      </c>
      <c r="N330" s="17" t="b">
        <f aca="false">TRUE()</f>
        <v>1</v>
      </c>
      <c r="O330" s="14" t="n">
        <v>38.2701979025447</v>
      </c>
      <c r="P330" s="13" t="n">
        <v>2005.78571428571</v>
      </c>
      <c r="Q330" s="15" t="n">
        <v>0.10688889038264</v>
      </c>
      <c r="R330" s="15" t="n">
        <v>-0.632562942915138</v>
      </c>
      <c r="S330" s="17" t="b">
        <f aca="false">FALSE()</f>
        <v>0</v>
      </c>
    </row>
    <row r="331" customFormat="false" ht="15" hidden="false" customHeight="true" outlineLevel="0" collapsed="false">
      <c r="A331" s="12" t="n">
        <v>41967</v>
      </c>
      <c r="B331" s="13" t="n">
        <v>26870.32387347</v>
      </c>
      <c r="C331" s="13" t="n">
        <v>23516.0417180955</v>
      </c>
      <c r="D331" s="13" t="n">
        <v>641</v>
      </c>
      <c r="E331" s="14" t="n">
        <v>41.9193820178939</v>
      </c>
      <c r="F331" s="14" t="n">
        <v>36.6864925399306</v>
      </c>
      <c r="G331" s="13" t="n">
        <v>3354.2821553745</v>
      </c>
      <c r="H331" s="15" t="n">
        <v>0.124832219037237</v>
      </c>
      <c r="I331" s="15" t="n">
        <v>0.124832219037237</v>
      </c>
      <c r="J331" s="16" t="n">
        <v>2014</v>
      </c>
      <c r="K331" s="16" t="n">
        <v>11</v>
      </c>
      <c r="L331" s="16" t="n">
        <v>48</v>
      </c>
      <c r="M331" s="16" t="s">
        <v>32</v>
      </c>
      <c r="N331" s="17" t="b">
        <f aca="false">FALSE()</f>
        <v>0</v>
      </c>
      <c r="O331" s="14" t="n">
        <v>38.6059462179187</v>
      </c>
      <c r="P331" s="13" t="n">
        <v>1917.85714285714</v>
      </c>
      <c r="Q331" s="15" t="n">
        <v>0.0858270842857187</v>
      </c>
      <c r="R331" s="15" t="n">
        <v>-0.665772811918063</v>
      </c>
      <c r="S331" s="17" t="b">
        <f aca="false">FALSE()</f>
        <v>0</v>
      </c>
    </row>
    <row r="332" customFormat="false" ht="15" hidden="false" customHeight="true" outlineLevel="0" collapsed="false">
      <c r="A332" s="12" t="n">
        <v>41968</v>
      </c>
      <c r="B332" s="13" t="n">
        <v>40530.64229268</v>
      </c>
      <c r="C332" s="13" t="n">
        <v>35674.1907631663</v>
      </c>
      <c r="D332" s="13" t="n">
        <v>968</v>
      </c>
      <c r="E332" s="14" t="n">
        <v>41.8704982362397</v>
      </c>
      <c r="F332" s="14" t="n">
        <v>36.8535028545106</v>
      </c>
      <c r="G332" s="13" t="n">
        <v>4856.45152951371</v>
      </c>
      <c r="H332" s="15" t="n">
        <v>0.119821726348285</v>
      </c>
      <c r="I332" s="15" t="n">
        <v>0.119821726348285</v>
      </c>
      <c r="J332" s="16" t="n">
        <v>2014</v>
      </c>
      <c r="K332" s="16" t="n">
        <v>11</v>
      </c>
      <c r="L332" s="16" t="n">
        <v>48</v>
      </c>
      <c r="M332" s="16" t="s">
        <v>33</v>
      </c>
      <c r="N332" s="17" t="b">
        <f aca="false">FALSE()</f>
        <v>0</v>
      </c>
      <c r="O332" s="14" t="n">
        <v>38.9037843213604</v>
      </c>
      <c r="P332" s="13" t="n">
        <v>1819.64285714286</v>
      </c>
      <c r="Q332" s="15" t="n">
        <v>0.0762577205953303</v>
      </c>
      <c r="R332" s="15" t="n">
        <v>-0.468027477919529</v>
      </c>
      <c r="S332" s="17" t="b">
        <f aca="false">FALSE()</f>
        <v>0</v>
      </c>
    </row>
    <row r="333" customFormat="false" ht="15" hidden="false" customHeight="true" outlineLevel="0" collapsed="false">
      <c r="A333" s="12" t="n">
        <v>41969</v>
      </c>
      <c r="B333" s="13" t="n">
        <v>30371.4313350499</v>
      </c>
      <c r="C333" s="13" t="n">
        <v>26054.8491682814</v>
      </c>
      <c r="D333" s="13" t="n">
        <v>709</v>
      </c>
      <c r="E333" s="14" t="n">
        <v>42.8369976516924</v>
      </c>
      <c r="F333" s="14" t="n">
        <v>36.7487294334012</v>
      </c>
      <c r="G333" s="13" t="n">
        <v>4316.58216676844</v>
      </c>
      <c r="H333" s="15" t="n">
        <v>0.142126398955288</v>
      </c>
      <c r="I333" s="15" t="n">
        <v>0.142126398955288</v>
      </c>
      <c r="J333" s="16" t="n">
        <v>2014</v>
      </c>
      <c r="K333" s="16" t="n">
        <v>11</v>
      </c>
      <c r="L333" s="16" t="n">
        <v>48</v>
      </c>
      <c r="M333" s="16" t="s">
        <v>34</v>
      </c>
      <c r="N333" s="17" t="b">
        <f aca="false">FALSE()</f>
        <v>0</v>
      </c>
      <c r="O333" s="14" t="n">
        <v>39.2080485300192</v>
      </c>
      <c r="P333" s="13" t="n">
        <v>1781.85714285714</v>
      </c>
      <c r="Q333" s="15" t="n">
        <v>0.0925562290838002</v>
      </c>
      <c r="R333" s="15" t="n">
        <v>-0.602100537160266</v>
      </c>
      <c r="S333" s="17" t="b">
        <f aca="false">FALSE()</f>
        <v>0</v>
      </c>
    </row>
    <row r="334" customFormat="false" ht="15" hidden="false" customHeight="true" outlineLevel="0" collapsed="false">
      <c r="A334" s="12" t="n">
        <v>41970</v>
      </c>
      <c r="B334" s="13" t="n">
        <v>37776.6587667499</v>
      </c>
      <c r="C334" s="13" t="n">
        <v>32719.6896364216</v>
      </c>
      <c r="D334" s="13" t="n">
        <v>880</v>
      </c>
      <c r="E334" s="14" t="n">
        <v>42.9280213258521</v>
      </c>
      <c r="F334" s="14" t="n">
        <v>37.1814654959337</v>
      </c>
      <c r="G334" s="13" t="n">
        <v>5056.96913032824</v>
      </c>
      <c r="H334" s="15" t="n">
        <v>0.13386491276405</v>
      </c>
      <c r="I334" s="15" t="n">
        <v>0.133864912764049</v>
      </c>
      <c r="J334" s="16" t="n">
        <v>2014</v>
      </c>
      <c r="K334" s="16" t="n">
        <v>11</v>
      </c>
      <c r="L334" s="16" t="n">
        <v>48</v>
      </c>
      <c r="M334" s="16" t="s">
        <v>35</v>
      </c>
      <c r="N334" s="17" t="b">
        <f aca="false">FALSE()</f>
        <v>0</v>
      </c>
      <c r="O334" s="14" t="n">
        <v>39.5804663953053</v>
      </c>
      <c r="P334" s="13" t="n">
        <v>1738.64285714286</v>
      </c>
      <c r="Q334" s="15" t="n">
        <v>0.0845759344297149</v>
      </c>
      <c r="R334" s="15" t="n">
        <v>-0.493858099502896</v>
      </c>
      <c r="S334" s="17" t="b">
        <f aca="false">FALSE()</f>
        <v>0</v>
      </c>
    </row>
    <row r="335" customFormat="false" ht="15" hidden="false" customHeight="true" outlineLevel="0" collapsed="false">
      <c r="A335" s="12" t="n">
        <v>41971</v>
      </c>
      <c r="B335" s="13" t="n">
        <v>46818.20532261</v>
      </c>
      <c r="C335" s="13" t="n">
        <v>40652.5764088514</v>
      </c>
      <c r="D335" s="13" t="n">
        <v>1096</v>
      </c>
      <c r="E335" s="14" t="n">
        <v>42.7173406228193</v>
      </c>
      <c r="F335" s="14" t="n">
        <v>37.0917667963972</v>
      </c>
      <c r="G335" s="13" t="n">
        <v>6165.62891375862</v>
      </c>
      <c r="H335" s="15" t="n">
        <v>0.131692978645233</v>
      </c>
      <c r="I335" s="15" t="n">
        <v>0.131692978645233</v>
      </c>
      <c r="J335" s="16" t="n">
        <v>2014</v>
      </c>
      <c r="K335" s="16" t="n">
        <v>11</v>
      </c>
      <c r="L335" s="16" t="n">
        <v>48</v>
      </c>
      <c r="M335" s="16" t="s">
        <v>36</v>
      </c>
      <c r="N335" s="17" t="b">
        <f aca="false">FALSE()</f>
        <v>0</v>
      </c>
      <c r="O335" s="14" t="n">
        <v>39.9653502804991</v>
      </c>
      <c r="P335" s="13" t="n">
        <v>1696.78571428571</v>
      </c>
      <c r="Q335" s="15" t="n">
        <v>0.0688594075369091</v>
      </c>
      <c r="R335" s="15" t="n">
        <v>-0.354072826773311</v>
      </c>
      <c r="S335" s="17" t="b">
        <f aca="false">FALSE()</f>
        <v>0</v>
      </c>
    </row>
    <row r="336" customFormat="false" ht="15" hidden="false" customHeight="true" outlineLevel="0" collapsed="false">
      <c r="A336" s="12" t="n">
        <v>41972</v>
      </c>
      <c r="B336" s="13" t="n">
        <v>88321.6255497607</v>
      </c>
      <c r="C336" s="13" t="n">
        <v>79880.2436829365</v>
      </c>
      <c r="D336" s="13" t="n">
        <v>2068</v>
      </c>
      <c r="E336" s="14" t="n">
        <v>42.7087164167122</v>
      </c>
      <c r="F336" s="14" t="n">
        <v>38.6268102915554</v>
      </c>
      <c r="G336" s="13" t="n">
        <v>8441.38186682426</v>
      </c>
      <c r="H336" s="15" t="n">
        <v>0.0955754812513992</v>
      </c>
      <c r="I336" s="15" t="n">
        <v>0.0955754812513992</v>
      </c>
      <c r="J336" s="16" t="n">
        <v>2014</v>
      </c>
      <c r="K336" s="16" t="n">
        <v>11</v>
      </c>
      <c r="L336" s="16" t="n">
        <v>48</v>
      </c>
      <c r="M336" s="16" t="s">
        <v>37</v>
      </c>
      <c r="N336" s="17" t="b">
        <f aca="false">TRUE()</f>
        <v>1</v>
      </c>
      <c r="O336" s="14" t="n">
        <v>40.3306995184614</v>
      </c>
      <c r="P336" s="13" t="n">
        <v>1490.5</v>
      </c>
      <c r="Q336" s="15" t="n">
        <v>0.0589629470017543</v>
      </c>
      <c r="R336" s="15" t="n">
        <v>0.387453874538745</v>
      </c>
      <c r="S336" s="17" t="b">
        <f aca="false">FALSE()</f>
        <v>0</v>
      </c>
    </row>
    <row r="337" customFormat="false" ht="15" hidden="false" customHeight="true" outlineLevel="0" collapsed="false">
      <c r="A337" s="12" t="n">
        <v>41973</v>
      </c>
      <c r="B337" s="13" t="n">
        <v>101037.827829792</v>
      </c>
      <c r="C337" s="13" t="n">
        <v>93177.8847043903</v>
      </c>
      <c r="D337" s="13" t="n">
        <v>2375</v>
      </c>
      <c r="E337" s="14" t="n">
        <v>42.5422432967544</v>
      </c>
      <c r="F337" s="14" t="n">
        <v>39.2327935597433</v>
      </c>
      <c r="G337" s="13" t="n">
        <v>7859.94312540132</v>
      </c>
      <c r="H337" s="15" t="n">
        <v>0.0777920833634922</v>
      </c>
      <c r="I337" s="15" t="n">
        <v>0.0777920833634921</v>
      </c>
      <c r="J337" s="16" t="n">
        <v>2014</v>
      </c>
      <c r="K337" s="16" t="n">
        <v>11</v>
      </c>
      <c r="L337" s="16" t="n">
        <v>48</v>
      </c>
      <c r="M337" s="16" t="s">
        <v>38</v>
      </c>
      <c r="N337" s="17" t="b">
        <f aca="false">TRUE()</f>
        <v>1</v>
      </c>
      <c r="O337" s="14" t="n">
        <v>40.6936694938161</v>
      </c>
      <c r="P337" s="13" t="n">
        <v>1295.21428571429</v>
      </c>
      <c r="Q337" s="15" t="n">
        <v>0.0454265694377647</v>
      </c>
      <c r="R337" s="15" t="n">
        <v>0.833673413114212</v>
      </c>
      <c r="S337" s="17" t="b">
        <f aca="false">FALSE()</f>
        <v>0</v>
      </c>
    </row>
    <row r="338" customFormat="false" ht="15" hidden="false" customHeight="true" outlineLevel="0" collapsed="false">
      <c r="A338" s="12" t="n">
        <v>41974</v>
      </c>
      <c r="B338" s="13" t="n">
        <v>105100.667648512</v>
      </c>
      <c r="C338" s="13" t="n">
        <v>97257.3946657294</v>
      </c>
      <c r="D338" s="13" t="n">
        <v>2492</v>
      </c>
      <c r="E338" s="14" t="n">
        <v>42.1752277883272</v>
      </c>
      <c r="F338" s="14" t="n">
        <v>39.0278469766169</v>
      </c>
      <c r="G338" s="13" t="n">
        <v>7843.2729827821</v>
      </c>
      <c r="H338" s="15" t="n">
        <v>0.0746262907578512</v>
      </c>
      <c r="I338" s="15" t="n">
        <v>0.0746262907578512</v>
      </c>
      <c r="J338" s="16" t="n">
        <v>2014</v>
      </c>
      <c r="K338" s="16" t="n">
        <v>12</v>
      </c>
      <c r="L338" s="16" t="n">
        <v>49</v>
      </c>
      <c r="M338" s="16" t="s">
        <v>32</v>
      </c>
      <c r="N338" s="17" t="b">
        <f aca="false">FALSE()</f>
        <v>0</v>
      </c>
      <c r="O338" s="14" t="n">
        <v>41.0455452627917</v>
      </c>
      <c r="P338" s="13" t="n">
        <v>1320.78571428571</v>
      </c>
      <c r="Q338" s="15" t="n">
        <v>0.0275226585078317</v>
      </c>
      <c r="R338" s="15" t="n">
        <v>0.886755718998432</v>
      </c>
      <c r="S338" s="17" t="b">
        <f aca="false">FALSE()</f>
        <v>0</v>
      </c>
    </row>
    <row r="339" customFormat="false" ht="15" hidden="false" customHeight="true" outlineLevel="0" collapsed="false">
      <c r="A339" s="12" t="n">
        <v>41975</v>
      </c>
      <c r="B339" s="13" t="n">
        <v>88219.5254881299</v>
      </c>
      <c r="C339" s="13" t="n">
        <v>85533.4289233185</v>
      </c>
      <c r="D339" s="13" t="n">
        <v>2170</v>
      </c>
      <c r="E339" s="14" t="n">
        <v>40.6541592111198</v>
      </c>
      <c r="F339" s="14" t="n">
        <v>39.4163266927735</v>
      </c>
      <c r="G339" s="13" t="n">
        <v>2686.09656481138</v>
      </c>
      <c r="H339" s="15" t="n">
        <v>0.0304478691077612</v>
      </c>
      <c r="I339" s="15" t="n">
        <v>0.030447869107761</v>
      </c>
      <c r="J339" s="16" t="n">
        <v>2014</v>
      </c>
      <c r="K339" s="16" t="n">
        <v>12</v>
      </c>
      <c r="L339" s="16" t="n">
        <v>49</v>
      </c>
      <c r="M339" s="16" t="s">
        <v>33</v>
      </c>
      <c r="N339" s="17" t="b">
        <f aca="false">FALSE()</f>
        <v>0</v>
      </c>
      <c r="O339" s="14" t="n">
        <v>41.3740222870661</v>
      </c>
      <c r="P339" s="13" t="n">
        <v>1334.71428571429</v>
      </c>
      <c r="Q339" s="15" t="n">
        <v>-0.0173989144916034</v>
      </c>
      <c r="R339" s="15" t="n">
        <v>0.625816119019587</v>
      </c>
      <c r="S339" s="17" t="b">
        <f aca="false">FALSE()</f>
        <v>0</v>
      </c>
    </row>
    <row r="340" customFormat="false" ht="15" hidden="false" customHeight="true" outlineLevel="0" collapsed="false">
      <c r="A340" s="12" t="n">
        <v>41976</v>
      </c>
      <c r="B340" s="13" t="n">
        <v>71590.3692892204</v>
      </c>
      <c r="C340" s="13" t="n">
        <v>69654.930305904</v>
      </c>
      <c r="D340" s="13" t="n">
        <v>1784</v>
      </c>
      <c r="E340" s="14" t="n">
        <v>40.1291307675002</v>
      </c>
      <c r="F340" s="14" t="n">
        <v>39.0442434450135</v>
      </c>
      <c r="G340" s="13" t="n">
        <v>1935.43898331636</v>
      </c>
      <c r="H340" s="15" t="n">
        <v>0.0270349071045759</v>
      </c>
      <c r="I340" s="15" t="n">
        <v>0.027034907104576</v>
      </c>
      <c r="J340" s="16" t="n">
        <v>2014</v>
      </c>
      <c r="K340" s="16" t="n">
        <v>12</v>
      </c>
      <c r="L340" s="16" t="n">
        <v>49</v>
      </c>
      <c r="M340" s="16" t="s">
        <v>34</v>
      </c>
      <c r="N340" s="17" t="b">
        <f aca="false">FALSE()</f>
        <v>0</v>
      </c>
      <c r="O340" s="14" t="n">
        <v>41.5909839487754</v>
      </c>
      <c r="P340" s="13" t="n">
        <v>1370.78571428571</v>
      </c>
      <c r="Q340" s="15" t="n">
        <v>-0.0351483192385081</v>
      </c>
      <c r="R340" s="15" t="n">
        <v>0.301443384920015</v>
      </c>
      <c r="S340" s="17" t="b">
        <f aca="false">FALSE()</f>
        <v>0</v>
      </c>
    </row>
    <row r="341" customFormat="false" ht="15" hidden="false" customHeight="true" outlineLevel="0" collapsed="false">
      <c r="A341" s="12" t="n">
        <v>41977</v>
      </c>
      <c r="B341" s="13" t="n">
        <v>54996.6216926203</v>
      </c>
      <c r="C341" s="13" t="n">
        <v>54503.0285475046</v>
      </c>
      <c r="D341" s="13" t="n">
        <v>1368</v>
      </c>
      <c r="E341" s="14" t="n">
        <v>40.2022088396347</v>
      </c>
      <c r="F341" s="14" t="n">
        <v>39.8413951370647</v>
      </c>
      <c r="G341" s="13" t="n">
        <v>493.593145115687</v>
      </c>
      <c r="H341" s="15" t="n">
        <v>0.0089749720969119</v>
      </c>
      <c r="I341" s="15" t="n">
        <v>0.00897497209691197</v>
      </c>
      <c r="J341" s="16" t="n">
        <v>2014</v>
      </c>
      <c r="K341" s="16" t="n">
        <v>12</v>
      </c>
      <c r="L341" s="16" t="n">
        <v>49</v>
      </c>
      <c r="M341" s="16" t="s">
        <v>35</v>
      </c>
      <c r="N341" s="17" t="b">
        <f aca="false">FALSE()</f>
        <v>0</v>
      </c>
      <c r="O341" s="14" t="n">
        <v>41.7723275617279</v>
      </c>
      <c r="P341" s="13" t="n">
        <v>1406</v>
      </c>
      <c r="Q341" s="15" t="n">
        <v>-0.0375875325542488</v>
      </c>
      <c r="R341" s="15" t="n">
        <v>-0.027027027027027</v>
      </c>
      <c r="S341" s="17" t="b">
        <f aca="false">FALSE()</f>
        <v>0</v>
      </c>
    </row>
    <row r="342" customFormat="false" ht="15" hidden="false" customHeight="true" outlineLevel="0" collapsed="false">
      <c r="A342" s="12" t="n">
        <v>41978</v>
      </c>
      <c r="B342" s="13" t="n">
        <v>77884.1816098255</v>
      </c>
      <c r="C342" s="13" t="n">
        <v>77619.2948893904</v>
      </c>
      <c r="D342" s="13" t="n">
        <v>1914</v>
      </c>
      <c r="E342" s="14" t="n">
        <v>40.6918399215389</v>
      </c>
      <c r="F342" s="14" t="n">
        <v>40.5534456057421</v>
      </c>
      <c r="G342" s="13" t="n">
        <v>264.886720435083</v>
      </c>
      <c r="H342" s="15" t="n">
        <v>0.00340103362403009</v>
      </c>
      <c r="I342" s="15" t="n">
        <v>0.00340103362403004</v>
      </c>
      <c r="J342" s="16" t="n">
        <v>2014</v>
      </c>
      <c r="K342" s="16" t="n">
        <v>12</v>
      </c>
      <c r="L342" s="16" t="n">
        <v>49</v>
      </c>
      <c r="M342" s="16" t="s">
        <v>36</v>
      </c>
      <c r="N342" s="17" t="b">
        <f aca="false">FALSE()</f>
        <v>0</v>
      </c>
      <c r="O342" s="14" t="n">
        <v>41.9651650164708</v>
      </c>
      <c r="P342" s="13" t="n">
        <v>1406.5</v>
      </c>
      <c r="Q342" s="15" t="n">
        <v>-0.0303424303093329</v>
      </c>
      <c r="R342" s="15" t="n">
        <v>0.360824742268041</v>
      </c>
      <c r="S342" s="17" t="b">
        <f aca="false">FALSE()</f>
        <v>0</v>
      </c>
    </row>
    <row r="343" customFormat="false" ht="15" hidden="false" customHeight="true" outlineLevel="0" collapsed="false">
      <c r="A343" s="12" t="n">
        <v>41979</v>
      </c>
      <c r="B343" s="13" t="n">
        <v>150370.116723676</v>
      </c>
      <c r="C343" s="13" t="n">
        <v>154998.834581877</v>
      </c>
      <c r="D343" s="13" t="n">
        <v>3765</v>
      </c>
      <c r="E343" s="14" t="n">
        <v>39.9389420248808</v>
      </c>
      <c r="F343" s="14" t="n">
        <v>41.168349158533</v>
      </c>
      <c r="G343" s="13" t="n">
        <v>-4628.71785820046</v>
      </c>
      <c r="H343" s="15" t="n">
        <v>-0.0307821657590803</v>
      </c>
      <c r="I343" s="15" t="n">
        <v>-0.0307821657590803</v>
      </c>
      <c r="J343" s="16" t="n">
        <v>2014</v>
      </c>
      <c r="K343" s="16" t="n">
        <v>12</v>
      </c>
      <c r="L343" s="16" t="n">
        <v>49</v>
      </c>
      <c r="M343" s="16" t="s">
        <v>37</v>
      </c>
      <c r="N343" s="17" t="b">
        <f aca="false">TRUE()</f>
        <v>1</v>
      </c>
      <c r="O343" s="14" t="n">
        <v>41.8621386252291</v>
      </c>
      <c r="P343" s="13" t="n">
        <v>1451.71428571429</v>
      </c>
      <c r="Q343" s="15" t="n">
        <v>-0.045941193247811</v>
      </c>
      <c r="R343" s="15" t="n">
        <v>1.59348553434363</v>
      </c>
      <c r="S343" s="17" t="b">
        <f aca="false">FALSE()</f>
        <v>0</v>
      </c>
    </row>
    <row r="344" customFormat="false" ht="15" hidden="false" customHeight="true" outlineLevel="0" collapsed="false">
      <c r="A344" s="12" t="n">
        <v>41980</v>
      </c>
      <c r="B344" s="13" t="n">
        <v>104675.376115349</v>
      </c>
      <c r="C344" s="13" t="n">
        <v>111903.737902479</v>
      </c>
      <c r="D344" s="13" t="n">
        <v>2712</v>
      </c>
      <c r="E344" s="14" t="n">
        <v>38.5971150867807</v>
      </c>
      <c r="F344" s="14" t="n">
        <v>41.2624402295278</v>
      </c>
      <c r="G344" s="13" t="n">
        <v>-7228.36178713013</v>
      </c>
      <c r="H344" s="15" t="n">
        <v>-0.0690550352469208</v>
      </c>
      <c r="I344" s="15" t="n">
        <v>-0.0690550352469207</v>
      </c>
      <c r="J344" s="16" t="n">
        <v>2014</v>
      </c>
      <c r="K344" s="16" t="n">
        <v>12</v>
      </c>
      <c r="L344" s="16" t="n">
        <v>49</v>
      </c>
      <c r="M344" s="16" t="s">
        <v>38</v>
      </c>
      <c r="N344" s="17" t="b">
        <f aca="false">TRUE()</f>
        <v>1</v>
      </c>
      <c r="O344" s="14" t="n">
        <v>41.6911117865741</v>
      </c>
      <c r="P344" s="13" t="n">
        <v>1640.5</v>
      </c>
      <c r="Q344" s="15" t="n">
        <v>-0.0742123816614023</v>
      </c>
      <c r="R344" s="15" t="n">
        <v>0.653154526059128</v>
      </c>
      <c r="S344" s="17" t="b">
        <f aca="false">TRUE()</f>
        <v>1</v>
      </c>
    </row>
    <row r="345" customFormat="false" ht="15" hidden="false" customHeight="true" outlineLevel="0" collapsed="false">
      <c r="A345" s="12" t="n">
        <v>41981</v>
      </c>
      <c r="B345" s="13" t="n">
        <v>90121.5304750648</v>
      </c>
      <c r="C345" s="13" t="n">
        <v>91081.6681940862</v>
      </c>
      <c r="D345" s="13" t="n">
        <v>2222</v>
      </c>
      <c r="E345" s="14" t="n">
        <v>40.558744588238</v>
      </c>
      <c r="F345" s="14" t="n">
        <v>40.990849772316</v>
      </c>
      <c r="G345" s="13" t="n">
        <v>-960.137719021397</v>
      </c>
      <c r="H345" s="15" t="n">
        <v>-0.0106538106261639</v>
      </c>
      <c r="I345" s="15" t="n">
        <v>-0.010653810626164</v>
      </c>
      <c r="J345" s="16" t="n">
        <v>2014</v>
      </c>
      <c r="K345" s="16" t="n">
        <v>12</v>
      </c>
      <c r="L345" s="16" t="n">
        <v>50</v>
      </c>
      <c r="M345" s="16" t="s">
        <v>32</v>
      </c>
      <c r="N345" s="17" t="b">
        <f aca="false">FALSE()</f>
        <v>0</v>
      </c>
      <c r="O345" s="14" t="n">
        <v>41.4222730862676</v>
      </c>
      <c r="P345" s="13" t="n">
        <v>1781.57142857143</v>
      </c>
      <c r="Q345" s="15" t="n">
        <v>-0.0208469606733366</v>
      </c>
      <c r="R345" s="15" t="n">
        <v>0.247213535402133</v>
      </c>
      <c r="S345" s="17" t="b">
        <f aca="false">FALSE()</f>
        <v>0</v>
      </c>
    </row>
    <row r="346" customFormat="false" ht="15" hidden="false" customHeight="true" outlineLevel="0" collapsed="false">
      <c r="A346" s="12" t="n">
        <v>41982</v>
      </c>
      <c r="B346" s="13" t="n">
        <v>75425.4436982905</v>
      </c>
      <c r="C346" s="13" t="n">
        <v>77014.2559603056</v>
      </c>
      <c r="D346" s="13" t="n">
        <v>1861</v>
      </c>
      <c r="E346" s="14" t="n">
        <v>40.5295237497531</v>
      </c>
      <c r="F346" s="14" t="n">
        <v>41.3832648900084</v>
      </c>
      <c r="G346" s="13" t="n">
        <v>-1588.81226201508</v>
      </c>
      <c r="H346" s="15" t="n">
        <v>-0.0210646723984879</v>
      </c>
      <c r="I346" s="15" t="n">
        <v>-0.021064672398488</v>
      </c>
      <c r="J346" s="16" t="n">
        <v>2014</v>
      </c>
      <c r="K346" s="16" t="n">
        <v>12</v>
      </c>
      <c r="L346" s="16" t="n">
        <v>50</v>
      </c>
      <c r="M346" s="16" t="s">
        <v>33</v>
      </c>
      <c r="N346" s="17" t="b">
        <f aca="false">FALSE()</f>
        <v>0</v>
      </c>
      <c r="O346" s="14" t="n">
        <v>41.325084698435</v>
      </c>
      <c r="P346" s="13" t="n">
        <v>1894.5</v>
      </c>
      <c r="Q346" s="15" t="n">
        <v>-0.0192512841652341</v>
      </c>
      <c r="R346" s="15" t="n">
        <v>-0.0176827659012932</v>
      </c>
      <c r="S346" s="17" t="b">
        <f aca="false">FALSE()</f>
        <v>0</v>
      </c>
    </row>
    <row r="347" customFormat="false" ht="15" hidden="false" customHeight="true" outlineLevel="0" collapsed="false">
      <c r="A347" s="12" t="n">
        <v>41983</v>
      </c>
      <c r="B347" s="13" t="n">
        <v>161844.809435674</v>
      </c>
      <c r="C347" s="13" t="n">
        <v>169348.518584865</v>
      </c>
      <c r="D347" s="13" t="n">
        <v>4095</v>
      </c>
      <c r="E347" s="14" t="n">
        <v>39.5225419867335</v>
      </c>
      <c r="F347" s="14" t="n">
        <v>41.3549495933736</v>
      </c>
      <c r="G347" s="13" t="n">
        <v>-7503.7091491911</v>
      </c>
      <c r="H347" s="15" t="n">
        <v>-0.0463636070588566</v>
      </c>
      <c r="I347" s="15" t="n">
        <v>-0.0463636070588566</v>
      </c>
      <c r="J347" s="16" t="n">
        <v>2014</v>
      </c>
      <c r="K347" s="16" t="n">
        <v>12</v>
      </c>
      <c r="L347" s="16" t="n">
        <v>50</v>
      </c>
      <c r="M347" s="16" t="s">
        <v>34</v>
      </c>
      <c r="N347" s="17" t="b">
        <f aca="false">FALSE()</f>
        <v>0</v>
      </c>
      <c r="O347" s="14" t="n">
        <v>41.2293008065431</v>
      </c>
      <c r="P347" s="13" t="n">
        <v>1958.28571428571</v>
      </c>
      <c r="Q347" s="15" t="n">
        <v>-0.0413967442188289</v>
      </c>
      <c r="R347" s="15" t="n">
        <v>1.09111467756055</v>
      </c>
      <c r="S347" s="17" t="b">
        <f aca="false">FALSE()</f>
        <v>0</v>
      </c>
    </row>
    <row r="348" customFormat="false" ht="15" hidden="false" customHeight="true" outlineLevel="0" collapsed="false">
      <c r="A348" s="12" t="n">
        <v>41984</v>
      </c>
      <c r="B348" s="13" t="n">
        <v>158603.356968004</v>
      </c>
      <c r="C348" s="13" t="n">
        <v>171692.993606534</v>
      </c>
      <c r="D348" s="13" t="n">
        <v>4157</v>
      </c>
      <c r="E348" s="14" t="n">
        <v>38.1533213779176</v>
      </c>
      <c r="F348" s="14" t="n">
        <v>41.3021394290434</v>
      </c>
      <c r="G348" s="13" t="n">
        <v>-13089.6366385298</v>
      </c>
      <c r="H348" s="15" t="n">
        <v>-0.0825306405158279</v>
      </c>
      <c r="I348" s="15" t="n">
        <v>-0.0825306405158279</v>
      </c>
      <c r="J348" s="16" t="n">
        <v>2014</v>
      </c>
      <c r="K348" s="16" t="n">
        <v>12</v>
      </c>
      <c r="L348" s="16" t="n">
        <v>50</v>
      </c>
      <c r="M348" s="16" t="s">
        <v>35</v>
      </c>
      <c r="N348" s="17" t="b">
        <f aca="false">FALSE()</f>
        <v>0</v>
      </c>
      <c r="O348" s="14" t="n">
        <v>40.9925539733318</v>
      </c>
      <c r="P348" s="13" t="n">
        <v>2200.14285714286</v>
      </c>
      <c r="Q348" s="15" t="n">
        <v>-0.0692621542258926</v>
      </c>
      <c r="R348" s="15" t="n">
        <v>0.889422764755535</v>
      </c>
      <c r="S348" s="17" t="b">
        <f aca="false">TRUE()</f>
        <v>1</v>
      </c>
    </row>
    <row r="349" customFormat="false" ht="15" hidden="false" customHeight="true" outlineLevel="0" collapsed="false">
      <c r="A349" s="12" t="n">
        <v>41985</v>
      </c>
      <c r="B349" s="13" t="n">
        <v>279092.09595645</v>
      </c>
      <c r="C349" s="13" t="n">
        <v>301236.10987981</v>
      </c>
      <c r="D349" s="13" t="n">
        <v>7259</v>
      </c>
      <c r="E349" s="14" t="n">
        <v>38.4477332905979</v>
      </c>
      <c r="F349" s="14" t="n">
        <v>41.4982931367695</v>
      </c>
      <c r="G349" s="13" t="n">
        <v>-22144.0139233599</v>
      </c>
      <c r="H349" s="15" t="n">
        <v>-0.079343034948633</v>
      </c>
      <c r="I349" s="15" t="n">
        <v>-0.079343034948633</v>
      </c>
      <c r="J349" s="16" t="n">
        <v>2014</v>
      </c>
      <c r="K349" s="16" t="n">
        <v>12</v>
      </c>
      <c r="L349" s="16" t="n">
        <v>50</v>
      </c>
      <c r="M349" s="16" t="s">
        <v>36</v>
      </c>
      <c r="N349" s="17" t="b">
        <f aca="false">FALSE()</f>
        <v>0</v>
      </c>
      <c r="O349" s="14" t="n">
        <v>40.6515039770507</v>
      </c>
      <c r="P349" s="13" t="n">
        <v>2434.21428571429</v>
      </c>
      <c r="Q349" s="15" t="n">
        <v>-0.05421129529911</v>
      </c>
      <c r="R349" s="15" t="n">
        <v>1.98207107016051</v>
      </c>
      <c r="S349" s="17" t="b">
        <f aca="false">TRUE()</f>
        <v>1</v>
      </c>
    </row>
    <row r="350" customFormat="false" ht="15" hidden="false" customHeight="true" outlineLevel="0" collapsed="false">
      <c r="A350" s="12" t="n">
        <v>41986</v>
      </c>
      <c r="B350" s="13" t="n">
        <v>369350.989480898</v>
      </c>
      <c r="C350" s="13" t="n">
        <v>402564.678627585</v>
      </c>
      <c r="D350" s="13" t="n">
        <v>9654</v>
      </c>
      <c r="E350" s="14" t="n">
        <v>38.2588553429561</v>
      </c>
      <c r="F350" s="14" t="n">
        <v>41.6992623397126</v>
      </c>
      <c r="G350" s="13" t="n">
        <v>-33213.689146687</v>
      </c>
      <c r="H350" s="15" t="n">
        <v>-0.0899244623477711</v>
      </c>
      <c r="I350" s="15" t="n">
        <v>-0.089924462347771</v>
      </c>
      <c r="J350" s="16" t="n">
        <v>2014</v>
      </c>
      <c r="K350" s="16" t="n">
        <v>12</v>
      </c>
      <c r="L350" s="16" t="n">
        <v>50</v>
      </c>
      <c r="M350" s="16" t="s">
        <v>37</v>
      </c>
      <c r="N350" s="17" t="b">
        <f aca="false">TRUE()</f>
        <v>1</v>
      </c>
      <c r="O350" s="14" t="n">
        <v>40.3465320247492</v>
      </c>
      <c r="P350" s="13" t="n">
        <v>2874.42857142857</v>
      </c>
      <c r="Q350" s="15" t="n">
        <v>-0.0517436462819775</v>
      </c>
      <c r="R350" s="15" t="n">
        <v>2.35858058744595</v>
      </c>
      <c r="S350" s="17" t="b">
        <f aca="false">TRUE()</f>
        <v>1</v>
      </c>
    </row>
    <row r="351" customFormat="false" ht="15" hidden="false" customHeight="true" outlineLevel="0" collapsed="false">
      <c r="A351" s="12" t="n">
        <v>41987</v>
      </c>
      <c r="B351" s="13" t="n">
        <v>177500.107725609</v>
      </c>
      <c r="C351" s="13" t="n">
        <v>192327.320656122</v>
      </c>
      <c r="D351" s="13" t="n">
        <v>4632</v>
      </c>
      <c r="E351" s="14" t="n">
        <v>38.3204032222817</v>
      </c>
      <c r="F351" s="14" t="n">
        <v>41.5214422832733</v>
      </c>
      <c r="G351" s="13" t="n">
        <v>-14827.2129305131</v>
      </c>
      <c r="H351" s="15" t="n">
        <v>-0.0835335432778101</v>
      </c>
      <c r="I351" s="15" t="n">
        <v>-0.0835335432778101</v>
      </c>
      <c r="J351" s="16" t="n">
        <v>2014</v>
      </c>
      <c r="K351" s="16" t="n">
        <v>12</v>
      </c>
      <c r="L351" s="16" t="n">
        <v>50</v>
      </c>
      <c r="M351" s="16" t="s">
        <v>38</v>
      </c>
      <c r="N351" s="17" t="b">
        <f aca="false">TRUE()</f>
        <v>1</v>
      </c>
      <c r="O351" s="14" t="n">
        <v>40.0286848051952</v>
      </c>
      <c r="P351" s="13" t="n">
        <v>3416.28571428571</v>
      </c>
      <c r="Q351" s="15" t="n">
        <v>-0.0426764354419115</v>
      </c>
      <c r="R351" s="15" t="n">
        <v>0.35585849293301</v>
      </c>
      <c r="S351" s="17" t="b">
        <f aca="false">FALSE()</f>
        <v>0</v>
      </c>
    </row>
    <row r="352" customFormat="false" ht="15" hidden="false" customHeight="true" outlineLevel="0" collapsed="false">
      <c r="A352" s="12" t="n">
        <v>41988</v>
      </c>
      <c r="B352" s="13" t="n">
        <v>282246.628678288</v>
      </c>
      <c r="C352" s="13" t="n">
        <v>304489.638251931</v>
      </c>
      <c r="D352" s="13" t="n">
        <v>7341</v>
      </c>
      <c r="E352" s="14" t="n">
        <v>38.4479810214259</v>
      </c>
      <c r="F352" s="14" t="n">
        <v>41.477950994678</v>
      </c>
      <c r="G352" s="13" t="n">
        <v>-22243.0095736435</v>
      </c>
      <c r="H352" s="15" t="n">
        <v>-0.0788069982546953</v>
      </c>
      <c r="I352" s="15" t="n">
        <v>-0.0788069982546954</v>
      </c>
      <c r="J352" s="16" t="n">
        <v>2014</v>
      </c>
      <c r="K352" s="16" t="n">
        <v>12</v>
      </c>
      <c r="L352" s="16" t="n">
        <v>51</v>
      </c>
      <c r="M352" s="16" t="s">
        <v>32</v>
      </c>
      <c r="N352" s="17" t="b">
        <f aca="false">FALSE()</f>
        <v>0</v>
      </c>
      <c r="O352" s="14" t="n">
        <v>39.7271247998757</v>
      </c>
      <c r="P352" s="13" t="n">
        <v>3577.5</v>
      </c>
      <c r="Q352" s="15" t="n">
        <v>-0.0321982470388552</v>
      </c>
      <c r="R352" s="15" t="n">
        <v>1.05199161425577</v>
      </c>
      <c r="S352" s="17" t="b">
        <f aca="false">FALSE()</f>
        <v>0</v>
      </c>
    </row>
    <row r="353" customFormat="false" ht="15" hidden="false" customHeight="true" outlineLevel="0" collapsed="false">
      <c r="A353" s="12" t="n">
        <v>41989</v>
      </c>
      <c r="B353" s="13" t="n">
        <v>166037.925729514</v>
      </c>
      <c r="C353" s="13" t="n">
        <v>179571.129079941</v>
      </c>
      <c r="D353" s="13" t="n">
        <v>4308</v>
      </c>
      <c r="E353" s="14" t="n">
        <v>38.5417654896736</v>
      </c>
      <c r="F353" s="14" t="n">
        <v>41.6831775951581</v>
      </c>
      <c r="G353" s="13" t="n">
        <v>-13533.2033504273</v>
      </c>
      <c r="H353" s="15" t="n">
        <v>-0.0815066996950669</v>
      </c>
      <c r="I353" s="15" t="n">
        <v>-0.081506699695067</v>
      </c>
      <c r="J353" s="16" t="n">
        <v>2014</v>
      </c>
      <c r="K353" s="16" t="n">
        <v>12</v>
      </c>
      <c r="L353" s="16" t="n">
        <v>51</v>
      </c>
      <c r="M353" s="16" t="s">
        <v>33</v>
      </c>
      <c r="N353" s="17" t="b">
        <f aca="false">FALSE()</f>
        <v>0</v>
      </c>
      <c r="O353" s="14" t="n">
        <v>39.4608928879542</v>
      </c>
      <c r="P353" s="13" t="n">
        <v>3923.85714285714</v>
      </c>
      <c r="Q353" s="15" t="n">
        <v>-0.0232921084905612</v>
      </c>
      <c r="R353" s="15" t="n">
        <v>0.0978992973386246</v>
      </c>
      <c r="S353" s="17" t="b">
        <f aca="false">FALSE()</f>
        <v>0</v>
      </c>
    </row>
    <row r="354" customFormat="false" ht="15" hidden="false" customHeight="true" outlineLevel="0" collapsed="false">
      <c r="A354" s="12" t="n">
        <v>41990</v>
      </c>
      <c r="B354" s="13" t="n">
        <v>148910.998360159</v>
      </c>
      <c r="C354" s="13" t="n">
        <v>161137.522003048</v>
      </c>
      <c r="D354" s="13" t="n">
        <v>3865</v>
      </c>
      <c r="E354" s="14" t="n">
        <v>38.5280720207396</v>
      </c>
      <c r="F354" s="14" t="n">
        <v>41.6914675298959</v>
      </c>
      <c r="G354" s="13" t="n">
        <v>-12226.5236428889</v>
      </c>
      <c r="H354" s="15" t="n">
        <v>-0.0821062498910765</v>
      </c>
      <c r="I354" s="15" t="n">
        <v>-0.0821062498910766</v>
      </c>
      <c r="J354" s="16" t="n">
        <v>2014</v>
      </c>
      <c r="K354" s="16" t="n">
        <v>12</v>
      </c>
      <c r="L354" s="16" t="n">
        <v>51</v>
      </c>
      <c r="M354" s="16" t="s">
        <v>34</v>
      </c>
      <c r="N354" s="17" t="b">
        <f aca="false">FALSE()</f>
        <v>0</v>
      </c>
      <c r="O354" s="14" t="n">
        <v>39.3100076221366</v>
      </c>
      <c r="P354" s="13" t="n">
        <v>4076.57142857143</v>
      </c>
      <c r="Q354" s="15" t="n">
        <v>-0.0198915148761421</v>
      </c>
      <c r="R354" s="15" t="n">
        <v>-0.0518993552004485</v>
      </c>
      <c r="S354" s="17" t="b">
        <f aca="false">FALSE()</f>
        <v>0</v>
      </c>
    </row>
    <row r="355" customFormat="false" ht="15" hidden="false" customHeight="true" outlineLevel="0" collapsed="false">
      <c r="A355" s="12" t="n">
        <v>41991</v>
      </c>
      <c r="B355" s="13" t="n">
        <v>202359.142899871</v>
      </c>
      <c r="C355" s="13" t="n">
        <v>221435.768649636</v>
      </c>
      <c r="D355" s="13" t="n">
        <v>5288</v>
      </c>
      <c r="E355" s="14" t="n">
        <v>38.267614012835</v>
      </c>
      <c r="F355" s="14" t="n">
        <v>41.8751453573442</v>
      </c>
      <c r="G355" s="13" t="n">
        <v>-19076.6257497648</v>
      </c>
      <c r="H355" s="15" t="n">
        <v>-0.0942711333740134</v>
      </c>
      <c r="I355" s="15" t="n">
        <v>-0.0942711333740134</v>
      </c>
      <c r="J355" s="16" t="n">
        <v>2014</v>
      </c>
      <c r="K355" s="16" t="n">
        <v>12</v>
      </c>
      <c r="L355" s="16" t="n">
        <v>51</v>
      </c>
      <c r="M355" s="16" t="s">
        <v>35</v>
      </c>
      <c r="N355" s="17" t="b">
        <f aca="false">FALSE()</f>
        <v>0</v>
      </c>
      <c r="O355" s="14" t="n">
        <v>39.1956462830823</v>
      </c>
      <c r="P355" s="13" t="n">
        <v>4225.21428571429</v>
      </c>
      <c r="Q355" s="15" t="n">
        <v>-0.023676922266948</v>
      </c>
      <c r="R355" s="15" t="n">
        <v>0.251534157185604</v>
      </c>
      <c r="S355" s="17" t="b">
        <f aca="false">FALSE()</f>
        <v>0</v>
      </c>
    </row>
    <row r="356" customFormat="false" ht="15" hidden="false" customHeight="true" outlineLevel="0" collapsed="false">
      <c r="A356" s="12" t="n">
        <v>41992</v>
      </c>
      <c r="B356" s="13" t="n">
        <v>274343.654345234</v>
      </c>
      <c r="C356" s="13" t="n">
        <v>299516.837764983</v>
      </c>
      <c r="D356" s="13" t="n">
        <v>7141</v>
      </c>
      <c r="E356" s="14" t="n">
        <v>38.4181003144145</v>
      </c>
      <c r="F356" s="14" t="n">
        <v>41.9432625353568</v>
      </c>
      <c r="G356" s="13" t="n">
        <v>-25173.1834197489</v>
      </c>
      <c r="H356" s="15" t="n">
        <v>-0.0917578483082789</v>
      </c>
      <c r="I356" s="15" t="n">
        <v>-0.0917578483082789</v>
      </c>
      <c r="J356" s="16" t="n">
        <v>2014</v>
      </c>
      <c r="K356" s="16" t="n">
        <v>12</v>
      </c>
      <c r="L356" s="16" t="n">
        <v>51</v>
      </c>
      <c r="M356" s="16" t="s">
        <v>36</v>
      </c>
      <c r="N356" s="17" t="b">
        <f aca="false">FALSE()</f>
        <v>0</v>
      </c>
      <c r="O356" s="14" t="n">
        <v>39.0574609383109</v>
      </c>
      <c r="P356" s="13" t="n">
        <v>4505.21428571429</v>
      </c>
      <c r="Q356" s="15" t="n">
        <v>-0.0163697436683413</v>
      </c>
      <c r="R356" s="15" t="n">
        <v>0.585052241054017</v>
      </c>
      <c r="S356" s="17" t="b">
        <f aca="false">FALSE()</f>
        <v>0</v>
      </c>
    </row>
    <row r="357" customFormat="false" ht="15" hidden="false" customHeight="true" outlineLevel="0" collapsed="false">
      <c r="A357" s="12" t="n">
        <v>41993</v>
      </c>
      <c r="B357" s="13" t="n">
        <v>316167.074658573</v>
      </c>
      <c r="C357" s="13" t="n">
        <v>346378.304767848</v>
      </c>
      <c r="D357" s="13" t="n">
        <v>8268</v>
      </c>
      <c r="E357" s="14" t="n">
        <v>38.2398493781535</v>
      </c>
      <c r="F357" s="14" t="n">
        <v>41.8938443115443</v>
      </c>
      <c r="G357" s="13" t="n">
        <v>-30211.2301092755</v>
      </c>
      <c r="H357" s="15" t="n">
        <v>-0.0955546371863688</v>
      </c>
      <c r="I357" s="15" t="n">
        <v>-0.0955546371863687</v>
      </c>
      <c r="J357" s="16" t="n">
        <v>2014</v>
      </c>
      <c r="K357" s="16" t="n">
        <v>12</v>
      </c>
      <c r="L357" s="16" t="n">
        <v>51</v>
      </c>
      <c r="M357" s="16" t="s">
        <v>37</v>
      </c>
      <c r="N357" s="17" t="b">
        <f aca="false">TRUE()</f>
        <v>1</v>
      </c>
      <c r="O357" s="14" t="n">
        <v>38.8950509663734</v>
      </c>
      <c r="P357" s="13" t="n">
        <v>4878.57142857143</v>
      </c>
      <c r="Q357" s="15" t="n">
        <v>-0.016845371633178</v>
      </c>
      <c r="R357" s="15" t="n">
        <v>0.694758418740849</v>
      </c>
      <c r="S357" s="17" t="b">
        <f aca="false">FALSE()</f>
        <v>0</v>
      </c>
    </row>
    <row r="358" customFormat="false" ht="15" hidden="false" customHeight="true" outlineLevel="0" collapsed="false">
      <c r="A358" s="12" t="n">
        <v>41994</v>
      </c>
      <c r="B358" s="13" t="n">
        <v>173833.400128414</v>
      </c>
      <c r="C358" s="13" t="n">
        <v>190644.501568692</v>
      </c>
      <c r="D358" s="13" t="n">
        <v>4541</v>
      </c>
      <c r="E358" s="14" t="n">
        <v>38.2808632742598</v>
      </c>
      <c r="F358" s="14" t="n">
        <v>41.9829336200598</v>
      </c>
      <c r="G358" s="13" t="n">
        <v>-16811.101440278</v>
      </c>
      <c r="H358" s="15" t="n">
        <v>-0.0967081206940633</v>
      </c>
      <c r="I358" s="15" t="n">
        <v>-0.0967081206940634</v>
      </c>
      <c r="J358" s="16" t="n">
        <v>2014</v>
      </c>
      <c r="K358" s="16" t="n">
        <v>12</v>
      </c>
      <c r="L358" s="16" t="n">
        <v>51</v>
      </c>
      <c r="M358" s="16" t="s">
        <v>38</v>
      </c>
      <c r="N358" s="17" t="b">
        <f aca="false">TRUE()</f>
        <v>1</v>
      </c>
      <c r="O358" s="14" t="n">
        <v>38.7736872058929</v>
      </c>
      <c r="P358" s="13" t="n">
        <v>5200.21428571429</v>
      </c>
      <c r="Q358" s="15" t="n">
        <v>-0.0127102673783938</v>
      </c>
      <c r="R358" s="15" t="n">
        <v>-0.126766754117275</v>
      </c>
      <c r="S358" s="17" t="b">
        <f aca="false">FALSE()</f>
        <v>0</v>
      </c>
    </row>
    <row r="359" customFormat="false" ht="15" hidden="false" customHeight="true" outlineLevel="0" collapsed="false">
      <c r="A359" s="12" t="n">
        <v>41995</v>
      </c>
      <c r="B359" s="13" t="n">
        <v>204565.081835412</v>
      </c>
      <c r="C359" s="13" t="n">
        <v>210188.909410448</v>
      </c>
      <c r="D359" s="13" t="n">
        <v>5014</v>
      </c>
      <c r="E359" s="14" t="n">
        <v>40.798779783688</v>
      </c>
      <c r="F359" s="14" t="n">
        <v>41.920404748793</v>
      </c>
      <c r="G359" s="13" t="n">
        <v>-5623.82757503638</v>
      </c>
      <c r="H359" s="15" t="n">
        <v>-0.0274916301676607</v>
      </c>
      <c r="I359" s="15" t="n">
        <v>-0.0274916301676608</v>
      </c>
      <c r="J359" s="16" t="n">
        <v>2014</v>
      </c>
      <c r="K359" s="16" t="n">
        <v>12</v>
      </c>
      <c r="L359" s="16" t="n">
        <v>52</v>
      </c>
      <c r="M359" s="16" t="s">
        <v>32</v>
      </c>
      <c r="N359" s="17" t="b">
        <f aca="false">FALSE()</f>
        <v>0</v>
      </c>
      <c r="O359" s="14" t="n">
        <v>38.7510977907128</v>
      </c>
      <c r="P359" s="13" t="n">
        <v>5330.85714285714</v>
      </c>
      <c r="Q359" s="15" t="n">
        <v>0.0528419092546561</v>
      </c>
      <c r="R359" s="15" t="n">
        <v>-0.0594383106442277</v>
      </c>
      <c r="S359" s="17" t="b">
        <f aca="false">FALSE()</f>
        <v>0</v>
      </c>
    </row>
    <row r="360" customFormat="false" ht="15" hidden="false" customHeight="true" outlineLevel="0" collapsed="false">
      <c r="A360" s="12" t="n">
        <v>41996</v>
      </c>
      <c r="B360" s="13" t="n">
        <v>316394.730857309</v>
      </c>
      <c r="C360" s="13" t="n">
        <v>326627.138416376</v>
      </c>
      <c r="D360" s="13" t="n">
        <v>7778</v>
      </c>
      <c r="E360" s="14" t="n">
        <v>40.6781603056453</v>
      </c>
      <c r="F360" s="14" t="n">
        <v>41.9937179758776</v>
      </c>
      <c r="G360" s="13" t="n">
        <v>-10232.4075590664</v>
      </c>
      <c r="H360" s="15" t="n">
        <v>-0.0323406383264994</v>
      </c>
      <c r="I360" s="15" t="n">
        <v>-0.0323406383264994</v>
      </c>
      <c r="J360" s="16" t="n">
        <v>2014</v>
      </c>
      <c r="K360" s="16" t="n">
        <v>12</v>
      </c>
      <c r="L360" s="16" t="n">
        <v>52</v>
      </c>
      <c r="M360" s="16" t="s">
        <v>33</v>
      </c>
      <c r="N360" s="17" t="b">
        <f aca="false">FALSE()</f>
        <v>0</v>
      </c>
      <c r="O360" s="14" t="n">
        <v>38.7682431618164</v>
      </c>
      <c r="P360" s="13" t="n">
        <v>5530.28571428572</v>
      </c>
      <c r="Q360" s="15" t="n">
        <v>0.0492649908291443</v>
      </c>
      <c r="R360" s="15" t="n">
        <v>0.406437280429841</v>
      </c>
      <c r="S360" s="17" t="b">
        <f aca="false">FALSE()</f>
        <v>0</v>
      </c>
    </row>
    <row r="361" customFormat="false" ht="15" hidden="false" customHeight="true" outlineLevel="0" collapsed="false">
      <c r="A361" s="12" t="n">
        <v>41997</v>
      </c>
      <c r="B361" s="13" t="n">
        <v>486230.320193628</v>
      </c>
      <c r="C361" s="13" t="n">
        <v>495909.089563396</v>
      </c>
      <c r="D361" s="13" t="n">
        <v>11809</v>
      </c>
      <c r="E361" s="14" t="n">
        <v>41.17455501682</v>
      </c>
      <c r="F361" s="14" t="n">
        <v>41.9941645832328</v>
      </c>
      <c r="G361" s="13" t="n">
        <v>-9678.76936976827</v>
      </c>
      <c r="H361" s="15" t="n">
        <v>-0.0199057297905938</v>
      </c>
      <c r="I361" s="15" t="n">
        <v>-0.0199057297905938</v>
      </c>
      <c r="J361" s="16" t="n">
        <v>2014</v>
      </c>
      <c r="K361" s="16" t="n">
        <v>12</v>
      </c>
      <c r="L361" s="16" t="n">
        <v>52</v>
      </c>
      <c r="M361" s="16" t="s">
        <v>34</v>
      </c>
      <c r="N361" s="17" t="b">
        <f aca="false">FALSE()</f>
        <v>0</v>
      </c>
      <c r="O361" s="14" t="n">
        <v>38.7788600586658</v>
      </c>
      <c r="P361" s="13" t="n">
        <v>5952.92857142857</v>
      </c>
      <c r="Q361" s="15" t="n">
        <v>0.0617783749839449</v>
      </c>
      <c r="R361" s="15" t="n">
        <v>0.983729496886286</v>
      </c>
      <c r="S361" s="17" t="b">
        <f aca="false">FALSE()</f>
        <v>0</v>
      </c>
    </row>
    <row r="362" customFormat="false" ht="15" hidden="false" customHeight="true" outlineLevel="0" collapsed="false">
      <c r="A362" s="12" t="n">
        <v>41998</v>
      </c>
      <c r="B362" s="13" t="n">
        <v>137686.532100606</v>
      </c>
      <c r="C362" s="13" t="n">
        <v>140525.786741103</v>
      </c>
      <c r="D362" s="13" t="n">
        <v>3344</v>
      </c>
      <c r="E362" s="14" t="n">
        <v>41.1742021831957</v>
      </c>
      <c r="F362" s="14" t="n">
        <v>42.0232615852582</v>
      </c>
      <c r="G362" s="13" t="n">
        <v>-2839.25464049703</v>
      </c>
      <c r="H362" s="15" t="n">
        <v>-0.0206211500658787</v>
      </c>
      <c r="I362" s="15" t="n">
        <v>-0.0206211500658789</v>
      </c>
      <c r="J362" s="16" t="n">
        <v>2014</v>
      </c>
      <c r="K362" s="16" t="n">
        <v>12</v>
      </c>
      <c r="L362" s="16" t="n">
        <v>52</v>
      </c>
      <c r="M362" s="16" t="s">
        <v>35</v>
      </c>
      <c r="N362" s="17" t="b">
        <f aca="false">FALSE()</f>
        <v>0</v>
      </c>
      <c r="O362" s="14" t="n">
        <v>38.8968609893863</v>
      </c>
      <c r="P362" s="13" t="n">
        <v>6503.92857142857</v>
      </c>
      <c r="Q362" s="15" t="n">
        <v>0.0585481999288014</v>
      </c>
      <c r="R362" s="15" t="n">
        <v>-0.485849212014716</v>
      </c>
      <c r="S362" s="17" t="b">
        <f aca="false">FALSE()</f>
        <v>0</v>
      </c>
    </row>
    <row r="363" customFormat="false" ht="15" hidden="false" customHeight="true" outlineLevel="0" collapsed="false">
      <c r="A363" s="12" t="n">
        <v>41999</v>
      </c>
      <c r="B363" s="13" t="n">
        <v>48102.9624090303</v>
      </c>
      <c r="C363" s="13" t="n">
        <v>49028.3650721838</v>
      </c>
      <c r="D363" s="13" t="n">
        <v>1169</v>
      </c>
      <c r="E363" s="14" t="n">
        <v>41.1488130102911</v>
      </c>
      <c r="F363" s="14" t="n">
        <v>41.9404320549049</v>
      </c>
      <c r="G363" s="13" t="n">
        <v>-925.40266315356</v>
      </c>
      <c r="H363" s="15" t="n">
        <v>-0.0192379557683923</v>
      </c>
      <c r="I363" s="15" t="n">
        <v>-0.0192379557683923</v>
      </c>
      <c r="J363" s="16" t="n">
        <v>2014</v>
      </c>
      <c r="K363" s="16" t="n">
        <v>12</v>
      </c>
      <c r="L363" s="16" t="n">
        <v>52</v>
      </c>
      <c r="M363" s="16" t="s">
        <v>36</v>
      </c>
      <c r="N363" s="17" t="b">
        <f aca="false">FALSE()</f>
        <v>0</v>
      </c>
      <c r="O363" s="14" t="n">
        <v>39.1126381897633</v>
      </c>
      <c r="P363" s="13" t="n">
        <v>6445.85714285714</v>
      </c>
      <c r="Q363" s="15" t="n">
        <v>0.0520592553907721</v>
      </c>
      <c r="R363" s="15" t="n">
        <v>-0.818643203829702</v>
      </c>
      <c r="S363" s="17" t="b">
        <f aca="false">FALSE()</f>
        <v>0</v>
      </c>
    </row>
    <row r="364" customFormat="false" ht="15" hidden="false" customHeight="true" outlineLevel="0" collapsed="false">
      <c r="A364" s="12" t="n">
        <v>42000</v>
      </c>
      <c r="B364" s="13" t="n">
        <v>110162.131982548</v>
      </c>
      <c r="C364" s="13" t="n">
        <v>112383.559247306</v>
      </c>
      <c r="D364" s="13" t="n">
        <v>2676</v>
      </c>
      <c r="E364" s="14" t="n">
        <v>41.1667159874993</v>
      </c>
      <c r="F364" s="14" t="n">
        <v>41.9968457575883</v>
      </c>
      <c r="G364" s="13" t="n">
        <v>-2221.42726475827</v>
      </c>
      <c r="H364" s="15" t="n">
        <v>-0.0201650714703868</v>
      </c>
      <c r="I364" s="15" t="n">
        <v>-0.020165071470387</v>
      </c>
      <c r="J364" s="16" t="n">
        <v>2014</v>
      </c>
      <c r="K364" s="16" t="n">
        <v>12</v>
      </c>
      <c r="L364" s="16" t="n">
        <v>52</v>
      </c>
      <c r="M364" s="16" t="s">
        <v>37</v>
      </c>
      <c r="N364" s="17" t="b">
        <f aca="false">TRUE()</f>
        <v>1</v>
      </c>
      <c r="O364" s="14" t="n">
        <v>39.3055724554557</v>
      </c>
      <c r="P364" s="13" t="n">
        <v>6010.85714285714</v>
      </c>
      <c r="Q364" s="15" t="n">
        <v>0.0473506278060904</v>
      </c>
      <c r="R364" s="15" t="n">
        <v>-0.55480558988497</v>
      </c>
      <c r="S364" s="17" t="b">
        <f aca="false">FALSE()</f>
        <v>0</v>
      </c>
    </row>
    <row r="365" customFormat="false" ht="15" hidden="false" customHeight="true" outlineLevel="0" collapsed="false">
      <c r="A365" s="12" t="n">
        <v>42001</v>
      </c>
      <c r="B365" s="13" t="n">
        <v>69051.3370934204</v>
      </c>
      <c r="C365" s="13" t="n">
        <v>70482.7178029691</v>
      </c>
      <c r="D365" s="13" t="n">
        <v>1677</v>
      </c>
      <c r="E365" s="14" t="n">
        <v>41.1755140688255</v>
      </c>
      <c r="F365" s="14" t="n">
        <v>42.0290505682583</v>
      </c>
      <c r="G365" s="13" t="n">
        <v>-1431.38070954871</v>
      </c>
      <c r="H365" s="15" t="n">
        <v>-0.0207292250925161</v>
      </c>
      <c r="I365" s="15" t="n">
        <v>-0.020729225092516</v>
      </c>
      <c r="J365" s="16" t="n">
        <v>2014</v>
      </c>
      <c r="K365" s="16" t="n">
        <v>12</v>
      </c>
      <c r="L365" s="16" t="n">
        <v>52</v>
      </c>
      <c r="M365" s="16" t="s">
        <v>38</v>
      </c>
      <c r="N365" s="17" t="b">
        <f aca="false">TRUE()</f>
        <v>1</v>
      </c>
      <c r="O365" s="14" t="n">
        <v>39.5132767872088</v>
      </c>
      <c r="P365" s="13" t="n">
        <v>5512.42857142857</v>
      </c>
      <c r="Q365" s="15" t="n">
        <v>0.0420678166118291</v>
      </c>
      <c r="R365" s="15" t="n">
        <v>-0.695778370953948</v>
      </c>
      <c r="S365" s="17" t="b">
        <f aca="false">FALSE()</f>
        <v>0</v>
      </c>
    </row>
    <row r="366" customFormat="false" ht="15" hidden="false" customHeight="true" outlineLevel="0" collapsed="false">
      <c r="A366" s="12" t="n">
        <v>42002</v>
      </c>
      <c r="B366" s="13" t="n">
        <v>133307.368962828</v>
      </c>
      <c r="C366" s="13" t="n">
        <v>136003.482525752</v>
      </c>
      <c r="D366" s="13" t="n">
        <v>3237</v>
      </c>
      <c r="E366" s="14" t="n">
        <v>41.1823815146208</v>
      </c>
      <c r="F366" s="14" t="n">
        <v>42.0152865386938</v>
      </c>
      <c r="G366" s="13" t="n">
        <v>-2696.11356292421</v>
      </c>
      <c r="H366" s="15" t="n">
        <v>-0.0202247901515183</v>
      </c>
      <c r="I366" s="15" t="n">
        <v>-0.0202247901515183</v>
      </c>
      <c r="J366" s="16" t="n">
        <v>2014</v>
      </c>
      <c r="K366" s="16" t="n">
        <v>12</v>
      </c>
      <c r="L366" s="16" t="n">
        <v>1</v>
      </c>
      <c r="M366" s="16" t="s">
        <v>32</v>
      </c>
      <c r="N366" s="17" t="b">
        <f aca="false">FALSE()</f>
        <v>0</v>
      </c>
      <c r="O366" s="14" t="n">
        <v>39.7172132762476</v>
      </c>
      <c r="P366" s="13" t="n">
        <v>5301.35714285714</v>
      </c>
      <c r="Q366" s="15" t="n">
        <v>0.0368900060581399</v>
      </c>
      <c r="R366" s="15" t="n">
        <v>-0.389401635699753</v>
      </c>
      <c r="S366" s="17" t="b">
        <f aca="false">FALSE()</f>
        <v>0</v>
      </c>
    </row>
    <row r="367" customFormat="false" ht="15" hidden="false" customHeight="true" outlineLevel="0" collapsed="false">
      <c r="A367" s="12" t="n">
        <v>42003</v>
      </c>
      <c r="B367" s="13" t="n">
        <v>216389.504268855</v>
      </c>
      <c r="C367" s="13" t="n">
        <v>235723.764753908</v>
      </c>
      <c r="D367" s="13" t="n">
        <v>5607</v>
      </c>
      <c r="E367" s="14" t="n">
        <v>38.5927419776806</v>
      </c>
      <c r="F367" s="14" t="n">
        <v>42.0409781975938</v>
      </c>
      <c r="G367" s="13" t="n">
        <v>-19334.2604850532</v>
      </c>
      <c r="H367" s="15" t="n">
        <v>-0.0893493450635717</v>
      </c>
      <c r="I367" s="15" t="n">
        <v>-0.0893493450635717</v>
      </c>
      <c r="J367" s="16" t="n">
        <v>2014</v>
      </c>
      <c r="K367" s="16" t="n">
        <v>12</v>
      </c>
      <c r="L367" s="16" t="n">
        <v>1</v>
      </c>
      <c r="M367" s="16" t="s">
        <v>33</v>
      </c>
      <c r="N367" s="17" t="b">
        <f aca="false">FALSE()</f>
        <v>0</v>
      </c>
      <c r="O367" s="14" t="n">
        <v>39.9125275971901</v>
      </c>
      <c r="P367" s="13" t="n">
        <v>5008.21428571429</v>
      </c>
      <c r="Q367" s="15" t="n">
        <v>-0.0330669516305562</v>
      </c>
      <c r="R367" s="15" t="n">
        <v>0.11956072167154</v>
      </c>
      <c r="S367" s="17" t="b">
        <f aca="false">FALSE()</f>
        <v>0</v>
      </c>
    </row>
    <row r="368" customFormat="false" ht="15" hidden="false" customHeight="true" outlineLevel="0" collapsed="false">
      <c r="A368" s="12" t="n">
        <v>42004</v>
      </c>
      <c r="B368" s="13" t="n">
        <v>365055.312012722</v>
      </c>
      <c r="C368" s="13" t="n">
        <v>398013.348330372</v>
      </c>
      <c r="D368" s="13" t="n">
        <v>9464</v>
      </c>
      <c r="E368" s="14" t="n">
        <v>38.5730464933138</v>
      </c>
      <c r="F368" s="14" t="n">
        <v>42.0555101786108</v>
      </c>
      <c r="G368" s="13" t="n">
        <v>-32958.0363176503</v>
      </c>
      <c r="H368" s="15" t="n">
        <v>-0.0902823085519208</v>
      </c>
      <c r="I368" s="15" t="n">
        <v>-0.0902823085519208</v>
      </c>
      <c r="J368" s="16" t="n">
        <v>2014</v>
      </c>
      <c r="K368" s="16" t="n">
        <v>12</v>
      </c>
      <c r="L368" s="16" t="n">
        <v>1</v>
      </c>
      <c r="M368" s="16" t="s">
        <v>34</v>
      </c>
      <c r="N368" s="17" t="b">
        <f aca="false">FALSE()</f>
        <v>0</v>
      </c>
      <c r="O368" s="14" t="n">
        <v>39.9161687749049</v>
      </c>
      <c r="P368" s="13" t="n">
        <v>5101</v>
      </c>
      <c r="Q368" s="15" t="n">
        <v>-0.0336485770757515</v>
      </c>
      <c r="R368" s="15" t="n">
        <v>0.855322485787101</v>
      </c>
      <c r="S368" s="17" t="b">
        <f aca="false">FALSE()</f>
        <v>0</v>
      </c>
    </row>
    <row r="369" customFormat="false" ht="15" hidden="false" customHeight="true" outlineLevel="0" collapsed="false">
      <c r="A369" s="12" t="n">
        <v>42005</v>
      </c>
      <c r="B369" s="13" t="n">
        <v>112161.419616753</v>
      </c>
      <c r="C369" s="13" t="n">
        <v>122170.431684628</v>
      </c>
      <c r="D369" s="13" t="n">
        <v>2905</v>
      </c>
      <c r="E369" s="14" t="n">
        <v>38.6097830006035</v>
      </c>
      <c r="F369" s="14" t="n">
        <v>42.0552260532281</v>
      </c>
      <c r="G369" s="13" t="n">
        <v>-10009.0120678747</v>
      </c>
      <c r="H369" s="15" t="n">
        <v>-0.0892375658410416</v>
      </c>
      <c r="I369" s="15" t="n">
        <v>-0.0892375658410417</v>
      </c>
      <c r="J369" s="16" t="n">
        <v>2015</v>
      </c>
      <c r="K369" s="16" t="n">
        <v>1</v>
      </c>
      <c r="L369" s="16" t="n">
        <v>1</v>
      </c>
      <c r="M369" s="16" t="s">
        <v>35</v>
      </c>
      <c r="N369" s="17" t="b">
        <f aca="false">FALSE()</f>
        <v>0</v>
      </c>
      <c r="O369" s="14" t="n">
        <v>39.9193812372316</v>
      </c>
      <c r="P369" s="13" t="n">
        <v>5500.92857142857</v>
      </c>
      <c r="Q369" s="15" t="n">
        <v>-0.0328060755462497</v>
      </c>
      <c r="R369" s="15" t="n">
        <v>-0.471907340319167</v>
      </c>
      <c r="S369" s="17" t="b">
        <f aca="false">FALSE()</f>
        <v>0</v>
      </c>
    </row>
    <row r="370" customFormat="false" ht="15" hidden="false" customHeight="true" outlineLevel="0" collapsed="false">
      <c r="A370" s="12" t="n">
        <v>42006</v>
      </c>
      <c r="B370" s="13" t="n">
        <v>271101.461670313</v>
      </c>
      <c r="C370" s="13" t="n">
        <v>295019.46942959</v>
      </c>
      <c r="D370" s="13" t="n">
        <v>7023</v>
      </c>
      <c r="E370" s="14" t="n">
        <v>38.6019452755678</v>
      </c>
      <c r="F370" s="14" t="n">
        <v>42.0076134742404</v>
      </c>
      <c r="G370" s="13" t="n">
        <v>-23918.0077592776</v>
      </c>
      <c r="H370" s="15" t="n">
        <v>-0.0882252999003168</v>
      </c>
      <c r="I370" s="15" t="n">
        <v>-0.0882252999003168</v>
      </c>
      <c r="J370" s="16" t="n">
        <v>2015</v>
      </c>
      <c r="K370" s="16" t="n">
        <v>1</v>
      </c>
      <c r="L370" s="16" t="n">
        <v>1</v>
      </c>
      <c r="M370" s="16" t="s">
        <v>36</v>
      </c>
      <c r="N370" s="17" t="b">
        <f aca="false">FALSE()</f>
        <v>0</v>
      </c>
      <c r="O370" s="14" t="n">
        <v>39.9438218792151</v>
      </c>
      <c r="P370" s="13" t="n">
        <v>5330.71428571429</v>
      </c>
      <c r="Q370" s="15" t="n">
        <v>-0.0335940964213424</v>
      </c>
      <c r="R370" s="15" t="n">
        <v>0.317459466702399</v>
      </c>
      <c r="S370" s="17" t="b">
        <f aca="false">FALSE()</f>
        <v>0</v>
      </c>
    </row>
    <row r="371" customFormat="false" ht="15" hidden="false" customHeight="true" outlineLevel="0" collapsed="false">
      <c r="A371" s="12" t="n">
        <v>42007</v>
      </c>
      <c r="B371" s="13" t="n">
        <v>245813.288312124</v>
      </c>
      <c r="C371" s="13" t="n">
        <v>267734.725255371</v>
      </c>
      <c r="D371" s="13" t="n">
        <v>6371</v>
      </c>
      <c r="E371" s="14" t="n">
        <v>38.5831562254158</v>
      </c>
      <c r="F371" s="14" t="n">
        <v>42.023971944023</v>
      </c>
      <c r="G371" s="13" t="n">
        <v>-21921.4369432468</v>
      </c>
      <c r="H371" s="15" t="n">
        <v>-0.0891792184782614</v>
      </c>
      <c r="I371" s="15" t="n">
        <v>-0.0891792184782614</v>
      </c>
      <c r="J371" s="16" t="n">
        <v>2015</v>
      </c>
      <c r="K371" s="16" t="n">
        <v>1</v>
      </c>
      <c r="L371" s="16" t="n">
        <v>1</v>
      </c>
      <c r="M371" s="16" t="s">
        <v>37</v>
      </c>
      <c r="N371" s="17" t="b">
        <f aca="false">TRUE()</f>
        <v>1</v>
      </c>
      <c r="O371" s="14" t="n">
        <v>39.9569536621546</v>
      </c>
      <c r="P371" s="13" t="n">
        <v>5322.28571428572</v>
      </c>
      <c r="Q371" s="15" t="n">
        <v>-0.0343819363296463</v>
      </c>
      <c r="R371" s="15" t="n">
        <v>0.197042087180588</v>
      </c>
      <c r="S371" s="17" t="b">
        <f aca="false">FALSE()</f>
        <v>0</v>
      </c>
    </row>
    <row r="372" customFormat="false" ht="15" hidden="false" customHeight="true" outlineLevel="0" collapsed="false">
      <c r="A372" s="12" t="n">
        <v>42008</v>
      </c>
      <c r="B372" s="13" t="n">
        <v>178394.811997549</v>
      </c>
      <c r="C372" s="13" t="n">
        <v>194427.447973502</v>
      </c>
      <c r="D372" s="13" t="n">
        <v>4624</v>
      </c>
      <c r="E372" s="14" t="n">
        <v>38.5801929060443</v>
      </c>
      <c r="F372" s="14" t="n">
        <v>42.0474584717782</v>
      </c>
      <c r="G372" s="13" t="n">
        <v>-16032.6359759536</v>
      </c>
      <c r="H372" s="15" t="n">
        <v>-0.089871649272928</v>
      </c>
      <c r="I372" s="15" t="n">
        <v>-0.0898716492729279</v>
      </c>
      <c r="J372" s="16" t="n">
        <v>2015</v>
      </c>
      <c r="K372" s="16" t="n">
        <v>1</v>
      </c>
      <c r="L372" s="16" t="n">
        <v>1</v>
      </c>
      <c r="M372" s="16" t="s">
        <v>38</v>
      </c>
      <c r="N372" s="17" t="b">
        <f aca="false">TRUE()</f>
        <v>1</v>
      </c>
      <c r="O372" s="14" t="n">
        <v>39.9814755798162</v>
      </c>
      <c r="P372" s="13" t="n">
        <v>5186.78571428572</v>
      </c>
      <c r="Q372" s="15" t="n">
        <v>-0.0350482980793073</v>
      </c>
      <c r="R372" s="15" t="n">
        <v>-0.108503752668182</v>
      </c>
      <c r="S372" s="17" t="b">
        <f aca="false">FALSE()</f>
        <v>0</v>
      </c>
    </row>
    <row r="373" customFormat="false" ht="15" hidden="false" customHeight="true" outlineLevel="0" collapsed="false">
      <c r="A373" s="12" t="n">
        <v>42009</v>
      </c>
      <c r="B373" s="13" t="n">
        <v>220443.631484265</v>
      </c>
      <c r="C373" s="13" t="n">
        <v>239988.027460387</v>
      </c>
      <c r="D373" s="13" t="n">
        <v>5717</v>
      </c>
      <c r="E373" s="14" t="n">
        <v>38.5593198328258</v>
      </c>
      <c r="F373" s="14" t="n">
        <v>41.9779652720636</v>
      </c>
      <c r="G373" s="13" t="n">
        <v>-19544.3959761223</v>
      </c>
      <c r="H373" s="15" t="n">
        <v>-0.0886593812873081</v>
      </c>
      <c r="I373" s="15" t="n">
        <v>-0.0886593812873081</v>
      </c>
      <c r="J373" s="16" t="n">
        <v>2015</v>
      </c>
      <c r="K373" s="16" t="n">
        <v>1</v>
      </c>
      <c r="L373" s="16" t="n">
        <v>2</v>
      </c>
      <c r="M373" s="16" t="s">
        <v>32</v>
      </c>
      <c r="N373" s="17" t="b">
        <f aca="false">FALSE()</f>
        <v>0</v>
      </c>
      <c r="O373" s="14" t="n">
        <v>40.0028562678008</v>
      </c>
      <c r="P373" s="13" t="n">
        <v>5192.71428571429</v>
      </c>
      <c r="Q373" s="15" t="n">
        <v>-0.0360858341042253</v>
      </c>
      <c r="R373" s="15" t="n">
        <v>0.100965638669565</v>
      </c>
      <c r="S373" s="17" t="b">
        <f aca="false">FALSE()</f>
        <v>0</v>
      </c>
    </row>
    <row r="374" customFormat="false" ht="15" hidden="false" customHeight="true" outlineLevel="0" collapsed="false">
      <c r="A374" s="12" t="n">
        <v>42010</v>
      </c>
      <c r="B374" s="13" t="n">
        <v>181534.188672679</v>
      </c>
      <c r="C374" s="13" t="n">
        <v>197328.943910811</v>
      </c>
      <c r="D374" s="13" t="n">
        <v>4705</v>
      </c>
      <c r="E374" s="14" t="n">
        <v>38.5832494522165</v>
      </c>
      <c r="F374" s="14" t="n">
        <v>41.9402643806186</v>
      </c>
      <c r="G374" s="13" t="n">
        <v>-15794.7552381321</v>
      </c>
      <c r="H374" s="15" t="n">
        <v>-0.0870070555503533</v>
      </c>
      <c r="I374" s="15" t="n">
        <v>-0.0870070555503532</v>
      </c>
      <c r="J374" s="16" t="n">
        <v>2015</v>
      </c>
      <c r="K374" s="16" t="n">
        <v>1</v>
      </c>
      <c r="L374" s="16" t="n">
        <v>2</v>
      </c>
      <c r="M374" s="16" t="s">
        <v>33</v>
      </c>
      <c r="N374" s="17" t="b">
        <f aca="false">FALSE()</f>
        <v>0</v>
      </c>
      <c r="O374" s="14" t="n">
        <v>39.8428948427392</v>
      </c>
      <c r="P374" s="13" t="n">
        <v>5242.92857142857</v>
      </c>
      <c r="Q374" s="15" t="n">
        <v>-0.0316153079612959</v>
      </c>
      <c r="R374" s="15" t="n">
        <v>-0.102600782005695</v>
      </c>
      <c r="S374" s="17" t="b">
        <f aca="false">FALSE()</f>
        <v>0</v>
      </c>
    </row>
    <row r="375" customFormat="false" ht="15" hidden="false" customHeight="true" outlineLevel="0" collapsed="false">
      <c r="A375" s="12" t="n">
        <v>42011</v>
      </c>
      <c r="B375" s="13" t="n">
        <v>83176.4813934002</v>
      </c>
      <c r="C375" s="13" t="n">
        <v>84728.8311966311</v>
      </c>
      <c r="D375" s="13" t="n">
        <v>2020</v>
      </c>
      <c r="E375" s="14" t="n">
        <v>41.1764759373269</v>
      </c>
      <c r="F375" s="14" t="n">
        <v>41.9449659389263</v>
      </c>
      <c r="G375" s="13" t="n">
        <v>-1552.34980323083</v>
      </c>
      <c r="H375" s="15" t="n">
        <v>-0.0186633261857841</v>
      </c>
      <c r="I375" s="15" t="n">
        <v>-0.018663326185784</v>
      </c>
      <c r="J375" s="16" t="n">
        <v>2015</v>
      </c>
      <c r="K375" s="16" t="n">
        <v>1</v>
      </c>
      <c r="L375" s="16" t="n">
        <v>2</v>
      </c>
      <c r="M375" s="16" t="s">
        <v>34</v>
      </c>
      <c r="N375" s="17" t="b">
        <f aca="false">FALSE()</f>
        <v>0</v>
      </c>
      <c r="O375" s="14" t="n">
        <v>39.6932583532086</v>
      </c>
      <c r="P375" s="13" t="n">
        <v>5023.42857142857</v>
      </c>
      <c r="Q375" s="15" t="n">
        <v>0.0373669899034218</v>
      </c>
      <c r="R375" s="15" t="n">
        <v>-0.597884199749744</v>
      </c>
      <c r="S375" s="17" t="b">
        <f aca="false">FALSE()</f>
        <v>0</v>
      </c>
    </row>
    <row r="376" customFormat="false" ht="15" hidden="false" customHeight="true" outlineLevel="0" collapsed="false">
      <c r="A376" s="12" t="n">
        <v>42012</v>
      </c>
      <c r="B376" s="13" t="n">
        <v>76894.7793487054</v>
      </c>
      <c r="C376" s="13" t="n">
        <v>78468.0954996875</v>
      </c>
      <c r="D376" s="13" t="n">
        <v>1868</v>
      </c>
      <c r="E376" s="14" t="n">
        <v>41.1642287733969</v>
      </c>
      <c r="F376" s="14" t="n">
        <v>42.0064751068991</v>
      </c>
      <c r="G376" s="13" t="n">
        <v>-1573.31615098209</v>
      </c>
      <c r="H376" s="15" t="n">
        <v>-0.020460636785852</v>
      </c>
      <c r="I376" s="15" t="n">
        <v>-0.0204606367858519</v>
      </c>
      <c r="J376" s="16" t="n">
        <v>2015</v>
      </c>
      <c r="K376" s="16" t="n">
        <v>1</v>
      </c>
      <c r="L376" s="16" t="n">
        <v>2</v>
      </c>
      <c r="M376" s="16" t="s">
        <v>35</v>
      </c>
      <c r="N376" s="17" t="b">
        <f aca="false">FALSE()</f>
        <v>0</v>
      </c>
      <c r="O376" s="14" t="n">
        <v>39.6933955618162</v>
      </c>
      <c r="P376" s="13" t="n">
        <v>4324.21428571429</v>
      </c>
      <c r="Q376" s="15" t="n">
        <v>0.0370548599020727</v>
      </c>
      <c r="R376" s="15" t="n">
        <v>-0.568014007499298</v>
      </c>
      <c r="S376" s="17" t="b">
        <f aca="false">FALSE()</f>
        <v>0</v>
      </c>
    </row>
    <row r="377" customFormat="false" ht="15" hidden="false" customHeight="true" outlineLevel="0" collapsed="false">
      <c r="A377" s="12" t="n">
        <v>42013</v>
      </c>
      <c r="B377" s="13" t="n">
        <v>123859.387956738</v>
      </c>
      <c r="C377" s="13" t="n">
        <v>126444.142518281</v>
      </c>
      <c r="D377" s="13" t="n">
        <v>3008</v>
      </c>
      <c r="E377" s="14" t="n">
        <v>41.1766582302984</v>
      </c>
      <c r="F377" s="14" t="n">
        <v>42.0359516350668</v>
      </c>
      <c r="G377" s="13" t="n">
        <v>-2584.75456154338</v>
      </c>
      <c r="H377" s="15" t="n">
        <v>-0.0208684590177872</v>
      </c>
      <c r="I377" s="15" t="n">
        <v>-0.0208684590177871</v>
      </c>
      <c r="J377" s="16" t="n">
        <v>2015</v>
      </c>
      <c r="K377" s="16" t="n">
        <v>1</v>
      </c>
      <c r="L377" s="16" t="n">
        <v>2</v>
      </c>
      <c r="M377" s="16" t="s">
        <v>36</v>
      </c>
      <c r="N377" s="17" t="b">
        <f aca="false">FALSE()</f>
        <v>0</v>
      </c>
      <c r="O377" s="14" t="n">
        <v>39.692683175402</v>
      </c>
      <c r="P377" s="13" t="n">
        <v>4218.78571428572</v>
      </c>
      <c r="Q377" s="15" t="n">
        <v>0.0373866147657159</v>
      </c>
      <c r="R377" s="15" t="n">
        <v>-0.286998628583039</v>
      </c>
      <c r="S377" s="17" t="b">
        <f aca="false">FALSE()</f>
        <v>0</v>
      </c>
    </row>
    <row r="378" customFormat="false" ht="15" hidden="false" customHeight="true" outlineLevel="0" collapsed="false">
      <c r="A378" s="12" t="n">
        <v>42014</v>
      </c>
      <c r="B378" s="13" t="n">
        <v>120807.574158327</v>
      </c>
      <c r="C378" s="13" t="n">
        <v>123392.804067781</v>
      </c>
      <c r="D378" s="13" t="n">
        <v>2934</v>
      </c>
      <c r="E378" s="14" t="n">
        <v>41.175042317085</v>
      </c>
      <c r="F378" s="14" t="n">
        <v>42.0561704389164</v>
      </c>
      <c r="G378" s="13" t="n">
        <v>-2585.22990945338</v>
      </c>
      <c r="H378" s="15" t="n">
        <v>-0.0213995680938452</v>
      </c>
      <c r="I378" s="15" t="n">
        <v>-0.0213995680938452</v>
      </c>
      <c r="J378" s="16" t="n">
        <v>2015</v>
      </c>
      <c r="K378" s="16" t="n">
        <v>1</v>
      </c>
      <c r="L378" s="16" t="n">
        <v>2</v>
      </c>
      <c r="M378" s="16" t="s">
        <v>37</v>
      </c>
      <c r="N378" s="17" t="b">
        <f aca="false">TRUE()</f>
        <v>1</v>
      </c>
      <c r="O378" s="14" t="n">
        <v>39.6946721196883</v>
      </c>
      <c r="P378" s="13" t="n">
        <v>4350.14285714286</v>
      </c>
      <c r="Q378" s="15" t="n">
        <v>0.0372939268255717</v>
      </c>
      <c r="R378" s="15" t="n">
        <v>-0.325539391153</v>
      </c>
      <c r="S378" s="17" t="b">
        <f aca="false">FALSE()</f>
        <v>0</v>
      </c>
    </row>
    <row r="379" customFormat="false" ht="15" hidden="false" customHeight="true" outlineLevel="0" collapsed="false">
      <c r="A379" s="12" t="n">
        <v>42015</v>
      </c>
      <c r="B379" s="13" t="n">
        <v>69597.3673493304</v>
      </c>
      <c r="C379" s="13" t="n">
        <v>71051.3635029328</v>
      </c>
      <c r="D379" s="13" t="n">
        <v>1690</v>
      </c>
      <c r="E379" s="14" t="n">
        <v>41.1818741712014</v>
      </c>
      <c r="F379" s="14" t="n">
        <v>42.0422269248123</v>
      </c>
      <c r="G379" s="13" t="n">
        <v>-1453.99615360238</v>
      </c>
      <c r="H379" s="15" t="n">
        <v>-0.0208915395650575</v>
      </c>
      <c r="I379" s="15" t="n">
        <v>-0.0208915395650576</v>
      </c>
      <c r="J379" s="16" t="n">
        <v>2015</v>
      </c>
      <c r="K379" s="16" t="n">
        <v>1</v>
      </c>
      <c r="L379" s="16" t="n">
        <v>2</v>
      </c>
      <c r="M379" s="16" t="s">
        <v>38</v>
      </c>
      <c r="N379" s="17" t="b">
        <f aca="false">TRUE()</f>
        <v>1</v>
      </c>
      <c r="O379" s="14" t="n">
        <v>39.6952668575158</v>
      </c>
      <c r="P379" s="13" t="n">
        <v>4368.57142857143</v>
      </c>
      <c r="Q379" s="15" t="n">
        <v>0.0374504930026469</v>
      </c>
      <c r="R379" s="15" t="n">
        <v>-0.613145846958797</v>
      </c>
      <c r="S379" s="17" t="b">
        <f aca="false">FALSE()</f>
        <v>0</v>
      </c>
    </row>
    <row r="380" customFormat="false" ht="15" hidden="false" customHeight="true" outlineLevel="0" collapsed="false">
      <c r="A380" s="12" t="n">
        <v>42016</v>
      </c>
      <c r="B380" s="13" t="n">
        <v>84738.2944112601</v>
      </c>
      <c r="C380" s="13" t="n">
        <v>86467.5377502817</v>
      </c>
      <c r="D380" s="13" t="n">
        <v>2058</v>
      </c>
      <c r="E380" s="14" t="n">
        <v>41.1750701706803</v>
      </c>
      <c r="F380" s="14" t="n">
        <v>42.0153244656374</v>
      </c>
      <c r="G380" s="13" t="n">
        <v>-1729.24333902156</v>
      </c>
      <c r="H380" s="15" t="n">
        <v>-0.0204068697751813</v>
      </c>
      <c r="I380" s="15" t="n">
        <v>-0.0204068697751812</v>
      </c>
      <c r="J380" s="16" t="n">
        <v>2015</v>
      </c>
      <c r="K380" s="16" t="n">
        <v>1</v>
      </c>
      <c r="L380" s="16" t="n">
        <v>3</v>
      </c>
      <c r="M380" s="16" t="s">
        <v>32</v>
      </c>
      <c r="N380" s="17" t="b">
        <f aca="false">FALSE()</f>
        <v>0</v>
      </c>
      <c r="O380" s="14" t="n">
        <v>39.6957211505427</v>
      </c>
      <c r="P380" s="13" t="n">
        <v>4369.5</v>
      </c>
      <c r="Q380" s="15" t="n">
        <v>0.0372672161447165</v>
      </c>
      <c r="R380" s="15" t="n">
        <v>-0.529007895640233</v>
      </c>
      <c r="S380" s="17" t="b">
        <f aca="false">FALSE()</f>
        <v>0</v>
      </c>
    </row>
    <row r="381" customFormat="false" ht="15" hidden="false" customHeight="true" outlineLevel="0" collapsed="false">
      <c r="A381" s="12" t="n">
        <v>42017</v>
      </c>
      <c r="B381" s="13" t="n">
        <v>64653.9721381404</v>
      </c>
      <c r="C381" s="13" t="n">
        <v>65980.4220898598</v>
      </c>
      <c r="D381" s="13" t="n">
        <v>1570</v>
      </c>
      <c r="E381" s="14" t="n">
        <v>41.1808739733378</v>
      </c>
      <c r="F381" s="14" t="n">
        <v>42.0257465540508</v>
      </c>
      <c r="G381" s="13" t="n">
        <v>-1326.44995171945</v>
      </c>
      <c r="H381" s="15" t="n">
        <v>-0.0205161401202906</v>
      </c>
      <c r="I381" s="15" t="n">
        <v>-0.0205161401202907</v>
      </c>
      <c r="J381" s="16" t="n">
        <v>2015</v>
      </c>
      <c r="K381" s="16" t="n">
        <v>1</v>
      </c>
      <c r="L381" s="16" t="n">
        <v>3</v>
      </c>
      <c r="M381" s="16" t="s">
        <v>33</v>
      </c>
      <c r="N381" s="17" t="b">
        <f aca="false">FALSE()</f>
        <v>0</v>
      </c>
      <c r="O381" s="14" t="n">
        <v>39.6951989116898</v>
      </c>
      <c r="P381" s="13" t="n">
        <v>4285.28571428572</v>
      </c>
      <c r="Q381" s="15" t="n">
        <v>0.0374270718469814</v>
      </c>
      <c r="R381" s="15" t="n">
        <v>-0.633630029669634</v>
      </c>
      <c r="S381" s="17" t="b">
        <f aca="false">FALSE()</f>
        <v>0</v>
      </c>
    </row>
    <row r="382" customFormat="false" ht="15" hidden="false" customHeight="true" outlineLevel="0" collapsed="false">
      <c r="A382" s="12" t="n">
        <v>42018</v>
      </c>
      <c r="B382" s="13" t="n">
        <v>59553.3860310203</v>
      </c>
      <c r="C382" s="13" t="n">
        <v>60703.3560287776</v>
      </c>
      <c r="D382" s="13" t="n">
        <v>1446</v>
      </c>
      <c r="E382" s="14" t="n">
        <v>41.1849142676489</v>
      </c>
      <c r="F382" s="14" t="n">
        <v>41.9801908912708</v>
      </c>
      <c r="G382" s="13" t="n">
        <v>-1149.96999775735</v>
      </c>
      <c r="H382" s="15" t="n">
        <v>-0.0193099011558864</v>
      </c>
      <c r="I382" s="15" t="n">
        <v>-0.0193099011558865</v>
      </c>
      <c r="J382" s="16" t="n">
        <v>2015</v>
      </c>
      <c r="K382" s="16" t="n">
        <v>1</v>
      </c>
      <c r="L382" s="16" t="n">
        <v>3</v>
      </c>
      <c r="M382" s="16" t="s">
        <v>34</v>
      </c>
      <c r="N382" s="17" t="b">
        <f aca="false">FALSE()</f>
        <v>0</v>
      </c>
      <c r="O382" s="14" t="n">
        <v>39.8800654828082</v>
      </c>
      <c r="P382" s="13" t="n">
        <v>3996.92857142857</v>
      </c>
      <c r="Q382" s="15" t="n">
        <v>0.0327193240292749</v>
      </c>
      <c r="R382" s="15" t="n">
        <v>-0.638222206337009</v>
      </c>
      <c r="S382" s="17" t="b">
        <f aca="false">FALSE()</f>
        <v>0</v>
      </c>
    </row>
    <row r="383" customFormat="false" ht="15" hidden="false" customHeight="true" outlineLevel="0" collapsed="false">
      <c r="A383" s="12" t="n">
        <v>42019</v>
      </c>
      <c r="B383" s="13" t="n">
        <v>79080.7569577304</v>
      </c>
      <c r="C383" s="13" t="n">
        <v>80337.7483121746</v>
      </c>
      <c r="D383" s="13" t="n">
        <v>1921</v>
      </c>
      <c r="E383" s="14" t="n">
        <v>41.1664533876785</v>
      </c>
      <c r="F383" s="14" t="n">
        <v>41.8207955815589</v>
      </c>
      <c r="G383" s="13" t="n">
        <v>-1256.99135444418</v>
      </c>
      <c r="H383" s="15" t="n">
        <v>-0.0158950344281107</v>
      </c>
      <c r="I383" s="15" t="n">
        <v>-0.0158950344281108</v>
      </c>
      <c r="J383" s="16" t="n">
        <v>2015</v>
      </c>
      <c r="K383" s="16" t="n">
        <v>1</v>
      </c>
      <c r="L383" s="16" t="n">
        <v>3</v>
      </c>
      <c r="M383" s="16" t="s">
        <v>35</v>
      </c>
      <c r="N383" s="17" t="b">
        <f aca="false">FALSE()</f>
        <v>0</v>
      </c>
      <c r="O383" s="14" t="n">
        <v>40.0666274666892</v>
      </c>
      <c r="P383" s="13" t="n">
        <v>3424.21428571429</v>
      </c>
      <c r="Q383" s="15" t="n">
        <v>0.0274499250505582</v>
      </c>
      <c r="R383" s="15" t="n">
        <v>-0.43899538997476</v>
      </c>
      <c r="S383" s="17" t="b">
        <f aca="false">FALSE()</f>
        <v>0</v>
      </c>
    </row>
    <row r="384" customFormat="false" ht="15" hidden="false" customHeight="true" outlineLevel="0" collapsed="false">
      <c r="A384" s="12" t="n">
        <v>42020</v>
      </c>
      <c r="B384" s="13" t="n">
        <v>149444.056787454</v>
      </c>
      <c r="C384" s="13" t="n">
        <v>152030.986480535</v>
      </c>
      <c r="D384" s="13" t="n">
        <v>3629</v>
      </c>
      <c r="E384" s="14" t="n">
        <v>41.1805061414863</v>
      </c>
      <c r="F384" s="14" t="n">
        <v>41.8933553266837</v>
      </c>
      <c r="G384" s="13" t="n">
        <v>-2586.92969308127</v>
      </c>
      <c r="H384" s="15" t="n">
        <v>-0.017310355116768</v>
      </c>
      <c r="I384" s="15" t="n">
        <v>-0.0173103551167681</v>
      </c>
      <c r="J384" s="16" t="n">
        <v>2015</v>
      </c>
      <c r="K384" s="16" t="n">
        <v>1</v>
      </c>
      <c r="L384" s="16" t="n">
        <v>3</v>
      </c>
      <c r="M384" s="16" t="s">
        <v>36</v>
      </c>
      <c r="N384" s="17" t="b">
        <f aca="false">FALSE()</f>
        <v>0</v>
      </c>
      <c r="O384" s="14" t="n">
        <v>40.2492467800517</v>
      </c>
      <c r="P384" s="13" t="n">
        <v>3353.92857142857</v>
      </c>
      <c r="Q384" s="15" t="n">
        <v>0.0231373115259428</v>
      </c>
      <c r="R384" s="15" t="n">
        <v>0.0820146949206687</v>
      </c>
      <c r="S384" s="17" t="b">
        <f aca="false">FALSE()</f>
        <v>0</v>
      </c>
    </row>
    <row r="385" customFormat="false" ht="15" hidden="false" customHeight="true" outlineLevel="0" collapsed="false">
      <c r="A385" s="12" t="n">
        <v>42021</v>
      </c>
      <c r="B385" s="13" t="n">
        <v>170624.079935892</v>
      </c>
      <c r="C385" s="13" t="n">
        <v>173547.027110042</v>
      </c>
      <c r="D385" s="13" t="n">
        <v>4144</v>
      </c>
      <c r="E385" s="14" t="n">
        <v>41.1737644632943</v>
      </c>
      <c r="F385" s="14" t="n">
        <v>41.879108858601</v>
      </c>
      <c r="G385" s="13" t="n">
        <v>-2922.9471741509</v>
      </c>
      <c r="H385" s="15" t="n">
        <v>-0.0171309183044336</v>
      </c>
      <c r="I385" s="15" t="n">
        <v>-0.0171309183044335</v>
      </c>
      <c r="J385" s="16" t="n">
        <v>2015</v>
      </c>
      <c r="K385" s="16" t="n">
        <v>1</v>
      </c>
      <c r="L385" s="16" t="n">
        <v>3</v>
      </c>
      <c r="M385" s="16" t="s">
        <v>37</v>
      </c>
      <c r="N385" s="17" t="b">
        <f aca="false">TRUE()</f>
        <v>1</v>
      </c>
      <c r="O385" s="14" t="n">
        <v>40.4334296990459</v>
      </c>
      <c r="P385" s="13" t="n">
        <v>3111.5</v>
      </c>
      <c r="Q385" s="15" t="n">
        <v>0.0183099670188464</v>
      </c>
      <c r="R385" s="15" t="n">
        <v>0.331833520809899</v>
      </c>
      <c r="S385" s="17" t="b">
        <f aca="false">FALSE()</f>
        <v>0</v>
      </c>
    </row>
    <row r="386" customFormat="false" ht="15" hidden="false" customHeight="true" outlineLevel="0" collapsed="false">
      <c r="A386" s="12" t="n">
        <v>42022</v>
      </c>
      <c r="B386" s="13" t="n">
        <v>74744.2831492605</v>
      </c>
      <c r="C386" s="13" t="n">
        <v>76003.9282542138</v>
      </c>
      <c r="D386" s="13" t="n">
        <v>1815</v>
      </c>
      <c r="E386" s="14" t="n">
        <v>41.1814232227331</v>
      </c>
      <c r="F386" s="14" t="n">
        <v>41.8754425643051</v>
      </c>
      <c r="G386" s="13" t="n">
        <v>-1259.64510495334</v>
      </c>
      <c r="H386" s="15" t="n">
        <v>-0.016852728421221</v>
      </c>
      <c r="I386" s="15" t="n">
        <v>-0.0168527284212211</v>
      </c>
      <c r="J386" s="16" t="n">
        <v>2015</v>
      </c>
      <c r="K386" s="16" t="n">
        <v>1</v>
      </c>
      <c r="L386" s="16" t="n">
        <v>3</v>
      </c>
      <c r="M386" s="16" t="s">
        <v>38</v>
      </c>
      <c r="N386" s="17" t="b">
        <f aca="false">TRUE()</f>
        <v>1</v>
      </c>
      <c r="O386" s="14" t="n">
        <v>40.6184731446087</v>
      </c>
      <c r="P386" s="13" t="n">
        <v>2952.42857142857</v>
      </c>
      <c r="Q386" s="15" t="n">
        <v>0.0138594593676676</v>
      </c>
      <c r="R386" s="15" t="n">
        <v>-0.3852518507766</v>
      </c>
      <c r="S386" s="17" t="b">
        <f aca="false">FALSE()</f>
        <v>0</v>
      </c>
    </row>
    <row r="387" customFormat="false" ht="15" hidden="false" customHeight="true" outlineLevel="0" collapsed="false">
      <c r="A387" s="12" t="n">
        <v>42023</v>
      </c>
      <c r="B387" s="13" t="n">
        <v>90144.1614014898</v>
      </c>
      <c r="C387" s="13" t="n">
        <v>91110.9693479948</v>
      </c>
      <c r="D387" s="13" t="n">
        <v>2189</v>
      </c>
      <c r="E387" s="14" t="n">
        <v>41.1805214259889</v>
      </c>
      <c r="F387" s="14" t="n">
        <v>41.622187915941</v>
      </c>
      <c r="G387" s="13" t="n">
        <v>-966.80794650504</v>
      </c>
      <c r="H387" s="15" t="n">
        <v>-0.0107251310730931</v>
      </c>
      <c r="I387" s="15" t="n">
        <v>-0.0107251310730931</v>
      </c>
      <c r="J387" s="16" t="n">
        <v>2015</v>
      </c>
      <c r="K387" s="16" t="n">
        <v>1</v>
      </c>
      <c r="L387" s="16" t="n">
        <v>4</v>
      </c>
      <c r="M387" s="16" t="s">
        <v>32</v>
      </c>
      <c r="N387" s="17" t="b">
        <f aca="false">FALSE()</f>
        <v>0</v>
      </c>
      <c r="O387" s="14" t="n">
        <v>40.8042753100864</v>
      </c>
      <c r="P387" s="13" t="n">
        <v>2751.78571428571</v>
      </c>
      <c r="Q387" s="15" t="n">
        <v>0.00922075231193953</v>
      </c>
      <c r="R387" s="15" t="n">
        <v>-0.204516547696301</v>
      </c>
      <c r="S387" s="17" t="b">
        <f aca="false">FALSE()</f>
        <v>0</v>
      </c>
    </row>
    <row r="388" customFormat="false" ht="15" hidden="false" customHeight="true" outlineLevel="0" collapsed="false">
      <c r="A388" s="12" t="n">
        <v>42024</v>
      </c>
      <c r="B388" s="13" t="n">
        <v>97826.808800979</v>
      </c>
      <c r="C388" s="13" t="n">
        <v>99134.3069885935</v>
      </c>
      <c r="D388" s="13" t="n">
        <v>2376</v>
      </c>
      <c r="E388" s="14" t="n">
        <v>41.1728993270114</v>
      </c>
      <c r="F388" s="14" t="n">
        <v>41.7231931770175</v>
      </c>
      <c r="G388" s="13" t="n">
        <v>-1307.4981876145</v>
      </c>
      <c r="H388" s="15" t="n">
        <v>-0.0133654384073236</v>
      </c>
      <c r="I388" s="15" t="n">
        <v>-0.0133654384073236</v>
      </c>
      <c r="J388" s="16" t="n">
        <v>2015</v>
      </c>
      <c r="K388" s="16" t="n">
        <v>1</v>
      </c>
      <c r="L388" s="16" t="n">
        <v>4</v>
      </c>
      <c r="M388" s="16" t="s">
        <v>33</v>
      </c>
      <c r="N388" s="17" t="b">
        <f aca="false">FALSE()</f>
        <v>0</v>
      </c>
      <c r="O388" s="14" t="n">
        <v>40.9915039953124</v>
      </c>
      <c r="P388" s="13" t="n">
        <v>2499.78571428571</v>
      </c>
      <c r="Q388" s="15" t="n">
        <v>0.00442519336982039</v>
      </c>
      <c r="R388" s="15" t="n">
        <v>-0.049518530159728</v>
      </c>
      <c r="S388" s="17" t="b">
        <f aca="false">FALSE()</f>
        <v>0</v>
      </c>
    </row>
    <row r="389" customFormat="false" ht="15" hidden="false" customHeight="true" outlineLevel="0" collapsed="false">
      <c r="A389" s="12" t="n">
        <v>42025</v>
      </c>
      <c r="B389" s="13" t="n">
        <v>62795.9791459204</v>
      </c>
      <c r="C389" s="13" t="n">
        <v>64144.0888752459</v>
      </c>
      <c r="D389" s="13" t="n">
        <v>1525</v>
      </c>
      <c r="E389" s="14" t="n">
        <v>41.1776912432265</v>
      </c>
      <c r="F389" s="14" t="n">
        <v>42.0616976231121</v>
      </c>
      <c r="G389" s="13" t="n">
        <v>-1348.10972932555</v>
      </c>
      <c r="H389" s="15" t="n">
        <v>-0.0214680899583223</v>
      </c>
      <c r="I389" s="15" t="n">
        <v>-0.0214680899583224</v>
      </c>
      <c r="J389" s="16" t="n">
        <v>2015</v>
      </c>
      <c r="K389" s="16" t="n">
        <v>1</v>
      </c>
      <c r="L389" s="16" t="n">
        <v>4</v>
      </c>
      <c r="M389" s="16" t="s">
        <v>34</v>
      </c>
      <c r="N389" s="17" t="b">
        <f aca="false">FALSE()</f>
        <v>0</v>
      </c>
      <c r="O389" s="14" t="n">
        <v>41.1764789863691</v>
      </c>
      <c r="P389" s="13" t="n">
        <v>2333.42857142857</v>
      </c>
      <c r="Q389" s="15" t="n">
        <v>2.94405176736301E-005</v>
      </c>
      <c r="R389" s="15" t="n">
        <v>-0.346455246724624</v>
      </c>
      <c r="S389" s="17" t="b">
        <f aca="false">FALSE()</f>
        <v>0</v>
      </c>
    </row>
    <row r="390" customFormat="false" ht="15" hidden="false" customHeight="true" outlineLevel="0" collapsed="false">
      <c r="A390" s="12" t="n">
        <v>42026</v>
      </c>
      <c r="B390" s="13" t="n">
        <v>66550.9898270804</v>
      </c>
      <c r="C390" s="13" t="n">
        <v>67952.1505548415</v>
      </c>
      <c r="D390" s="13" t="n">
        <v>1616</v>
      </c>
      <c r="E390" s="14" t="n">
        <v>41.182543209827</v>
      </c>
      <c r="F390" s="14" t="n">
        <v>42.0495981156197</v>
      </c>
      <c r="G390" s="13" t="n">
        <v>-1401.16072776113</v>
      </c>
      <c r="H390" s="15" t="n">
        <v>-0.0210539427197367</v>
      </c>
      <c r="I390" s="15" t="n">
        <v>-0.0210539427197367</v>
      </c>
      <c r="J390" s="16" t="n">
        <v>2015</v>
      </c>
      <c r="K390" s="16" t="n">
        <v>1</v>
      </c>
      <c r="L390" s="16" t="n">
        <v>4</v>
      </c>
      <c r="M390" s="16" t="s">
        <v>35</v>
      </c>
      <c r="N390" s="17" t="b">
        <f aca="false">FALSE()</f>
        <v>0</v>
      </c>
      <c r="O390" s="14" t="n">
        <v>41.1765657939334</v>
      </c>
      <c r="P390" s="13" t="n">
        <v>2298.07142857143</v>
      </c>
      <c r="Q390" s="15" t="n">
        <v>0.000145165478915408</v>
      </c>
      <c r="R390" s="15" t="n">
        <v>-0.296801665993224</v>
      </c>
      <c r="S390" s="17" t="b">
        <f aca="false">FALSE()</f>
        <v>0</v>
      </c>
    </row>
    <row r="391" customFormat="false" ht="15" hidden="false" customHeight="true" outlineLevel="0" collapsed="false">
      <c r="A391" s="12" t="n">
        <v>42027</v>
      </c>
      <c r="B391" s="13" t="n">
        <v>154670.890700754</v>
      </c>
      <c r="C391" s="13" t="n">
        <v>158031.791043172</v>
      </c>
      <c r="D391" s="13" t="n">
        <v>3757</v>
      </c>
      <c r="E391" s="14" t="n">
        <v>41.1687225714011</v>
      </c>
      <c r="F391" s="14" t="n">
        <v>42.0632927982891</v>
      </c>
      <c r="G391" s="13" t="n">
        <v>-3360.90034241811</v>
      </c>
      <c r="H391" s="15" t="n">
        <v>-0.0217293656692037</v>
      </c>
      <c r="I391" s="15" t="n">
        <v>-0.0217293656692036</v>
      </c>
      <c r="J391" s="16" t="n">
        <v>2015</v>
      </c>
      <c r="K391" s="16" t="n">
        <v>1</v>
      </c>
      <c r="L391" s="16" t="n">
        <v>4</v>
      </c>
      <c r="M391" s="16" t="s">
        <v>36</v>
      </c>
      <c r="N391" s="17" t="b">
        <f aca="false">FALSE()</f>
        <v>0</v>
      </c>
      <c r="O391" s="14" t="n">
        <v>41.1778739679641</v>
      </c>
      <c r="P391" s="13" t="n">
        <v>2280.07142857143</v>
      </c>
      <c r="Q391" s="15" t="n">
        <v>-0.000222240627821933</v>
      </c>
      <c r="R391" s="15" t="n">
        <v>0.647755396134206</v>
      </c>
      <c r="S391" s="17" t="b">
        <f aca="false">FALSE()</f>
        <v>0</v>
      </c>
    </row>
    <row r="392" customFormat="false" ht="15" hidden="false" customHeight="true" outlineLevel="0" collapsed="false">
      <c r="A392" s="12" t="n">
        <v>42028</v>
      </c>
      <c r="B392" s="13" t="n">
        <v>158722.105625364</v>
      </c>
      <c r="C392" s="13" t="n">
        <v>162082.418438514</v>
      </c>
      <c r="D392" s="13" t="n">
        <v>3855</v>
      </c>
      <c r="E392" s="14" t="n">
        <v>41.1730494488622</v>
      </c>
      <c r="F392" s="14" t="n">
        <v>42.0447259243877</v>
      </c>
      <c r="G392" s="13" t="n">
        <v>-3360.31281315044</v>
      </c>
      <c r="H392" s="15" t="n">
        <v>-0.0211710448264961</v>
      </c>
      <c r="I392" s="15" t="n">
        <v>-0.0211710448264961</v>
      </c>
      <c r="J392" s="16" t="n">
        <v>2015</v>
      </c>
      <c r="K392" s="16" t="n">
        <v>1</v>
      </c>
      <c r="L392" s="16" t="n">
        <v>4</v>
      </c>
      <c r="M392" s="16" t="s">
        <v>37</v>
      </c>
      <c r="N392" s="17" t="b">
        <f aca="false">TRUE()</f>
        <v>1</v>
      </c>
      <c r="O392" s="14" t="n">
        <v>41.1773071351857</v>
      </c>
      <c r="P392" s="13" t="n">
        <v>2333.57142857143</v>
      </c>
      <c r="Q392" s="15" t="n">
        <v>-0.000103398852904909</v>
      </c>
      <c r="R392" s="15" t="n">
        <v>0.651974288337925</v>
      </c>
      <c r="S392" s="17" t="b">
        <f aca="false">FALSE()</f>
        <v>0</v>
      </c>
    </row>
    <row r="393" customFormat="false" ht="15" hidden="false" customHeight="true" outlineLevel="0" collapsed="false">
      <c r="A393" s="12" t="n">
        <v>42029</v>
      </c>
      <c r="B393" s="13" t="n">
        <v>78092.2769220305</v>
      </c>
      <c r="C393" s="13" t="n">
        <v>79795.0431031607</v>
      </c>
      <c r="D393" s="13" t="n">
        <v>1897</v>
      </c>
      <c r="E393" s="14" t="n">
        <v>41.1661976394468</v>
      </c>
      <c r="F393" s="14" t="n">
        <v>42.063807645314</v>
      </c>
      <c r="G393" s="13" t="n">
        <v>-1702.76618113021</v>
      </c>
      <c r="H393" s="15" t="n">
        <v>-0.0218045400677752</v>
      </c>
      <c r="I393" s="15" t="n">
        <v>-0.0218045400677752</v>
      </c>
      <c r="J393" s="16" t="n">
        <v>2015</v>
      </c>
      <c r="K393" s="16" t="n">
        <v>1</v>
      </c>
      <c r="L393" s="16" t="n">
        <v>4</v>
      </c>
      <c r="M393" s="16" t="s">
        <v>38</v>
      </c>
      <c r="N393" s="17" t="b">
        <f aca="false">TRUE()</f>
        <v>1</v>
      </c>
      <c r="O393" s="14" t="n">
        <v>41.1771647874556</v>
      </c>
      <c r="P393" s="13" t="n">
        <v>2399.35714285714</v>
      </c>
      <c r="Q393" s="15" t="n">
        <v>-0.000266340532802698</v>
      </c>
      <c r="R393" s="15" t="n">
        <v>-0.20937155785776</v>
      </c>
      <c r="S393" s="17" t="b">
        <f aca="false">FALSE()</f>
        <v>0</v>
      </c>
    </row>
    <row r="394" customFormat="false" ht="15" hidden="false" customHeight="true" outlineLevel="0" collapsed="false">
      <c r="A394" s="12" t="n">
        <v>42030</v>
      </c>
      <c r="B394" s="13" t="n">
        <v>91830.4020437799</v>
      </c>
      <c r="C394" s="13" t="n">
        <v>93808.0867468724</v>
      </c>
      <c r="D394" s="13" t="n">
        <v>2230</v>
      </c>
      <c r="E394" s="14" t="n">
        <v>41.1795524859999</v>
      </c>
      <c r="F394" s="14" t="n">
        <v>42.0664066129473</v>
      </c>
      <c r="G394" s="13" t="n">
        <v>-1977.68470309251</v>
      </c>
      <c r="H394" s="15" t="n">
        <v>-0.0215362740342752</v>
      </c>
      <c r="I394" s="15" t="n">
        <v>-0.0215362740342754</v>
      </c>
      <c r="J394" s="16" t="n">
        <v>2015</v>
      </c>
      <c r="K394" s="16" t="n">
        <v>1</v>
      </c>
      <c r="L394" s="16" t="n">
        <v>5</v>
      </c>
      <c r="M394" s="16" t="s">
        <v>32</v>
      </c>
      <c r="N394" s="17" t="b">
        <f aca="false">FALSE()</f>
        <v>0</v>
      </c>
      <c r="O394" s="14" t="n">
        <v>41.1760450351874</v>
      </c>
      <c r="P394" s="13" t="n">
        <v>2414.14285714286</v>
      </c>
      <c r="Q394" s="15" t="n">
        <v>8.51818286478752E-005</v>
      </c>
      <c r="R394" s="15" t="n">
        <v>-0.0762767027634772</v>
      </c>
      <c r="S394" s="17" t="b">
        <f aca="false">FALSE()</f>
        <v>0</v>
      </c>
    </row>
    <row r="395" customFormat="false" ht="15" hidden="false" customHeight="true" outlineLevel="0" collapsed="false">
      <c r="A395" s="12" t="n">
        <v>42031</v>
      </c>
      <c r="B395" s="13" t="n">
        <v>76992.9356832105</v>
      </c>
      <c r="C395" s="13" t="n">
        <v>78614.4577533758</v>
      </c>
      <c r="D395" s="13" t="n">
        <v>1870</v>
      </c>
      <c r="E395" s="14" t="n">
        <v>41.1726928787222</v>
      </c>
      <c r="F395" s="14" t="n">
        <v>42.0398169804149</v>
      </c>
      <c r="G395" s="13" t="n">
        <v>-1621.52207016535</v>
      </c>
      <c r="H395" s="15" t="n">
        <v>-0.0210606603810659</v>
      </c>
      <c r="I395" s="15" t="n">
        <v>-0.021060660381066</v>
      </c>
      <c r="J395" s="16" t="n">
        <v>2015</v>
      </c>
      <c r="K395" s="16" t="n">
        <v>1</v>
      </c>
      <c r="L395" s="16" t="n">
        <v>5</v>
      </c>
      <c r="M395" s="16" t="s">
        <v>33</v>
      </c>
      <c r="N395" s="17" t="b">
        <f aca="false">FALSE()</f>
        <v>0</v>
      </c>
      <c r="O395" s="14" t="n">
        <v>41.1763652005673</v>
      </c>
      <c r="P395" s="13" t="n">
        <v>2426.42857142857</v>
      </c>
      <c r="Q395" s="15" t="n">
        <v>-8.91851873582473E-005</v>
      </c>
      <c r="R395" s="15" t="n">
        <v>-0.229319988224904</v>
      </c>
      <c r="S395" s="17" t="b">
        <f aca="false">FALSE()</f>
        <v>0</v>
      </c>
    </row>
    <row r="396" customFormat="false" ht="15" hidden="false" customHeight="true" outlineLevel="0" collapsed="false">
      <c r="A396" s="12" t="n">
        <v>42032</v>
      </c>
      <c r="B396" s="13" t="n">
        <v>59897.7158799404</v>
      </c>
      <c r="C396" s="13" t="n">
        <v>61194.1802558896</v>
      </c>
      <c r="D396" s="13" t="n">
        <v>1455</v>
      </c>
      <c r="E396" s="14" t="n">
        <v>41.1668150377597</v>
      </c>
      <c r="F396" s="14" t="n">
        <v>42.0578558459722</v>
      </c>
      <c r="G396" s="13" t="n">
        <v>-1296.4643759492</v>
      </c>
      <c r="H396" s="15" t="n">
        <v>-0.0216446379783136</v>
      </c>
      <c r="I396" s="15" t="n">
        <v>-0.0216446379783137</v>
      </c>
      <c r="J396" s="16" t="n">
        <v>2015</v>
      </c>
      <c r="K396" s="16" t="n">
        <v>1</v>
      </c>
      <c r="L396" s="16" t="n">
        <v>5</v>
      </c>
      <c r="M396" s="16" t="s">
        <v>34</v>
      </c>
      <c r="N396" s="17" t="b">
        <f aca="false">FALSE()</f>
        <v>0</v>
      </c>
      <c r="O396" s="14" t="n">
        <v>41.1757808366662</v>
      </c>
      <c r="P396" s="13" t="n">
        <v>2447.85714285714</v>
      </c>
      <c r="Q396" s="15" t="n">
        <v>-0.000217744478048246</v>
      </c>
      <c r="R396" s="15" t="n">
        <v>-0.405602567843595</v>
      </c>
      <c r="S396" s="17" t="b">
        <f aca="false">FALSE()</f>
        <v>0</v>
      </c>
    </row>
    <row r="397" customFormat="false" ht="15" hidden="false" customHeight="true" outlineLevel="0" collapsed="false">
      <c r="A397" s="12" t="n">
        <v>42033</v>
      </c>
      <c r="B397" s="13" t="n">
        <v>57310.1940423204</v>
      </c>
      <c r="C397" s="13" t="n">
        <v>58531.4109851865</v>
      </c>
      <c r="D397" s="13" t="n">
        <v>1392</v>
      </c>
      <c r="E397" s="14" t="n">
        <v>41.1711164097129</v>
      </c>
      <c r="F397" s="14" t="n">
        <v>42.0484274318868</v>
      </c>
      <c r="G397" s="13" t="n">
        <v>-1221.21694286611</v>
      </c>
      <c r="H397" s="15" t="n">
        <v>-0.0213088956209834</v>
      </c>
      <c r="I397" s="15" t="n">
        <v>-0.0213088956209834</v>
      </c>
      <c r="J397" s="16" t="n">
        <v>2015</v>
      </c>
      <c r="K397" s="16" t="n">
        <v>1</v>
      </c>
      <c r="L397" s="16" t="n">
        <v>5</v>
      </c>
      <c r="M397" s="16" t="s">
        <v>35</v>
      </c>
      <c r="N397" s="17" t="b">
        <f aca="false">FALSE()</f>
        <v>0</v>
      </c>
      <c r="O397" s="14" t="n">
        <v>41.1744880345313</v>
      </c>
      <c r="P397" s="13" t="n">
        <v>2448.5</v>
      </c>
      <c r="Q397" s="15" t="n">
        <v>-8.18862596553282E-005</v>
      </c>
      <c r="R397" s="15" t="n">
        <v>-0.431488666530529</v>
      </c>
      <c r="S397" s="17" t="b">
        <f aca="false">FALSE()</f>
        <v>0</v>
      </c>
    </row>
    <row r="398" customFormat="false" ht="15" hidden="false" customHeight="true" outlineLevel="0" collapsed="false">
      <c r="A398" s="12" t="n">
        <v>42034</v>
      </c>
      <c r="B398" s="13" t="n">
        <v>134540.214465738</v>
      </c>
      <c r="C398" s="13" t="n">
        <v>137221.537473577</v>
      </c>
      <c r="D398" s="13" t="n">
        <v>3268</v>
      </c>
      <c r="E398" s="14" t="n">
        <v>41.1689762747055</v>
      </c>
      <c r="F398" s="14" t="n">
        <v>41.9894545512782</v>
      </c>
      <c r="G398" s="13" t="n">
        <v>-2681.32300783967</v>
      </c>
      <c r="H398" s="15" t="n">
        <v>-0.0199295282714337</v>
      </c>
      <c r="I398" s="15" t="n">
        <v>-0.0199295282714338</v>
      </c>
      <c r="J398" s="16" t="n">
        <v>2015</v>
      </c>
      <c r="K398" s="16" t="n">
        <v>1</v>
      </c>
      <c r="L398" s="16" t="n">
        <v>5</v>
      </c>
      <c r="M398" s="16" t="s">
        <v>36</v>
      </c>
      <c r="N398" s="17" t="b">
        <f aca="false">FALSE()</f>
        <v>0</v>
      </c>
      <c r="O398" s="14" t="n">
        <v>41.1748211075337</v>
      </c>
      <c r="P398" s="13" t="n">
        <v>2410.71428571429</v>
      </c>
      <c r="Q398" s="15" t="n">
        <v>-0.000141951626528244</v>
      </c>
      <c r="R398" s="15" t="n">
        <v>0.355614814814815</v>
      </c>
      <c r="S398" s="17" t="b">
        <f aca="false">FALSE()</f>
        <v>0</v>
      </c>
    </row>
    <row r="399" customFormat="false" ht="15" hidden="false" customHeight="true" outlineLevel="0" collapsed="false">
      <c r="A399" s="12" t="n">
        <v>42035</v>
      </c>
      <c r="B399" s="13" t="n">
        <v>200193.61199916</v>
      </c>
      <c r="C399" s="13" t="n">
        <v>203814.736389085</v>
      </c>
      <c r="D399" s="13" t="n">
        <v>4862</v>
      </c>
      <c r="E399" s="14" t="n">
        <v>41.1751567254546</v>
      </c>
      <c r="F399" s="14" t="n">
        <v>41.9199375543161</v>
      </c>
      <c r="G399" s="13" t="n">
        <v>-3621.12438992463</v>
      </c>
      <c r="H399" s="15" t="n">
        <v>-0.0180881115724103</v>
      </c>
      <c r="I399" s="15" t="n">
        <v>-0.0180881115724102</v>
      </c>
      <c r="J399" s="16" t="n">
        <v>2015</v>
      </c>
      <c r="K399" s="16" t="n">
        <v>1</v>
      </c>
      <c r="L399" s="16" t="n">
        <v>5</v>
      </c>
      <c r="M399" s="16" t="s">
        <v>37</v>
      </c>
      <c r="N399" s="17" t="b">
        <f aca="false">TRUE()</f>
        <v>1</v>
      </c>
      <c r="O399" s="14" t="n">
        <v>41.1739975456208</v>
      </c>
      <c r="P399" s="13" t="n">
        <v>2384.92857142857</v>
      </c>
      <c r="Q399" s="15" t="n">
        <v>2.81532011197506E-005</v>
      </c>
      <c r="R399" s="15" t="n">
        <v>1.03863547875049</v>
      </c>
      <c r="S399" s="17" t="b">
        <f aca="false">FALSE()</f>
        <v>0</v>
      </c>
    </row>
    <row r="400" customFormat="false" ht="15" hidden="false" customHeight="true" outlineLevel="0" collapsed="false">
      <c r="A400" s="12" t="n">
        <v>42036</v>
      </c>
      <c r="B400" s="13" t="n">
        <v>171469.930529663</v>
      </c>
      <c r="C400" s="13" t="n">
        <v>174652.457989964</v>
      </c>
      <c r="D400" s="13" t="n">
        <v>4165</v>
      </c>
      <c r="E400" s="14" t="n">
        <v>41.1692510275301</v>
      </c>
      <c r="F400" s="14" t="n">
        <v>41.9333632628966</v>
      </c>
      <c r="G400" s="13" t="n">
        <v>-3182.5274603015</v>
      </c>
      <c r="H400" s="15" t="n">
        <v>-0.0185602656423247</v>
      </c>
      <c r="I400" s="15" t="n">
        <v>-0.0185602656423246</v>
      </c>
      <c r="J400" s="16" t="n">
        <v>2015</v>
      </c>
      <c r="K400" s="16" t="n">
        <v>2</v>
      </c>
      <c r="L400" s="16" t="n">
        <v>5</v>
      </c>
      <c r="M400" s="16" t="s">
        <v>38</v>
      </c>
      <c r="N400" s="17" t="b">
        <f aca="false">TRUE()</f>
        <v>1</v>
      </c>
      <c r="O400" s="14" t="n">
        <v>41.174096992918</v>
      </c>
      <c r="P400" s="13" t="n">
        <v>2436.21428571429</v>
      </c>
      <c r="Q400" s="15" t="n">
        <v>-0.000117694515285526</v>
      </c>
      <c r="R400" s="15" t="n">
        <v>0.709619726155921</v>
      </c>
      <c r="S400" s="17" t="b">
        <f aca="false">FALSE()</f>
        <v>0</v>
      </c>
    </row>
    <row r="401" customFormat="false" ht="15" hidden="false" customHeight="true" outlineLevel="0" collapsed="false">
      <c r="A401" s="12" t="n">
        <v>42037</v>
      </c>
      <c r="B401" s="13" t="n">
        <v>151737.218832465</v>
      </c>
      <c r="C401" s="13" t="n">
        <v>154148.598813022</v>
      </c>
      <c r="D401" s="13" t="n">
        <v>3685</v>
      </c>
      <c r="E401" s="14" t="n">
        <v>41.1769928989051</v>
      </c>
      <c r="F401" s="14" t="n">
        <v>41.8313700985133</v>
      </c>
      <c r="G401" s="13" t="n">
        <v>-2411.37998055638</v>
      </c>
      <c r="H401" s="15" t="n">
        <v>-0.0158918161220472</v>
      </c>
      <c r="I401" s="15" t="n">
        <v>-0.0158918161220472</v>
      </c>
      <c r="J401" s="16" t="n">
        <v>2015</v>
      </c>
      <c r="K401" s="16" t="n">
        <v>2</v>
      </c>
      <c r="L401" s="16" t="n">
        <v>6</v>
      </c>
      <c r="M401" s="16" t="s">
        <v>32</v>
      </c>
      <c r="N401" s="17" t="b">
        <f aca="false">FALSE()</f>
        <v>0</v>
      </c>
      <c r="O401" s="14" t="n">
        <v>41.1732275504035</v>
      </c>
      <c r="P401" s="13" t="n">
        <v>2604.07142857143</v>
      </c>
      <c r="Q401" s="15" t="n">
        <v>9.14513805598209E-005</v>
      </c>
      <c r="R401" s="15" t="n">
        <v>0.415091751926928</v>
      </c>
      <c r="S401" s="17" t="b">
        <f aca="false">FALSE()</f>
        <v>0</v>
      </c>
    </row>
    <row r="402" customFormat="false" ht="15" hidden="false" customHeight="true" outlineLevel="0" collapsed="false">
      <c r="A402" s="12" t="n">
        <v>42038</v>
      </c>
      <c r="B402" s="13" t="n">
        <v>102072.443405579</v>
      </c>
      <c r="C402" s="13" t="n">
        <v>103634.964229016</v>
      </c>
      <c r="D402" s="13" t="n">
        <v>2479</v>
      </c>
      <c r="E402" s="14" t="n">
        <v>41.174846069213</v>
      </c>
      <c r="F402" s="14" t="n">
        <v>41.8051489427253</v>
      </c>
      <c r="G402" s="13" t="n">
        <v>-1562.52082343712</v>
      </c>
      <c r="H402" s="15" t="n">
        <v>-0.0153079594384602</v>
      </c>
      <c r="I402" s="15" t="n">
        <v>-0.0153079594384602</v>
      </c>
      <c r="J402" s="16" t="n">
        <v>2015</v>
      </c>
      <c r="K402" s="16" t="n">
        <v>2</v>
      </c>
      <c r="L402" s="16" t="n">
        <v>6</v>
      </c>
      <c r="M402" s="16" t="s">
        <v>33</v>
      </c>
      <c r="N402" s="17" t="b">
        <f aca="false">FALSE()</f>
        <v>0</v>
      </c>
      <c r="O402" s="14" t="n">
        <v>41.1729755127546</v>
      </c>
      <c r="P402" s="13" t="n">
        <v>2710.92857142857</v>
      </c>
      <c r="Q402" s="15" t="n">
        <v>4.54316559594289E-005</v>
      </c>
      <c r="R402" s="15" t="n">
        <v>-0.0855531842015124</v>
      </c>
      <c r="S402" s="17" t="b">
        <f aca="false">FALSE()</f>
        <v>0</v>
      </c>
    </row>
    <row r="403" customFormat="false" ht="15" hidden="false" customHeight="true" outlineLevel="0" collapsed="false">
      <c r="A403" s="12" t="n">
        <v>42039</v>
      </c>
      <c r="B403" s="13" t="n">
        <v>82514.1051200304</v>
      </c>
      <c r="C403" s="13" t="n">
        <v>83232.3913673621</v>
      </c>
      <c r="D403" s="13" t="n">
        <v>2005</v>
      </c>
      <c r="E403" s="14" t="n">
        <v>41.1541671421598</v>
      </c>
      <c r="F403" s="14" t="n">
        <v>41.5124146470634</v>
      </c>
      <c r="G403" s="13" t="n">
        <v>-718.286247331751</v>
      </c>
      <c r="H403" s="15" t="n">
        <v>-0.00870501166178661</v>
      </c>
      <c r="I403" s="15" t="n">
        <v>-0.00870501166178661</v>
      </c>
      <c r="J403" s="16" t="n">
        <v>2015</v>
      </c>
      <c r="K403" s="16" t="n">
        <v>2</v>
      </c>
      <c r="L403" s="16" t="n">
        <v>6</v>
      </c>
      <c r="M403" s="16" t="s">
        <v>34</v>
      </c>
      <c r="N403" s="17" t="b">
        <f aca="false">FALSE()</f>
        <v>0</v>
      </c>
      <c r="O403" s="14" t="n">
        <v>41.173114565769</v>
      </c>
      <c r="P403" s="13" t="n">
        <v>2718.28571428571</v>
      </c>
      <c r="Q403" s="15" t="n">
        <v>-0.000460189223212022</v>
      </c>
      <c r="R403" s="15" t="n">
        <v>-0.262402774858104</v>
      </c>
      <c r="S403" s="17" t="b">
        <f aca="false">FALSE()</f>
        <v>0</v>
      </c>
    </row>
    <row r="404" customFormat="false" ht="15" hidden="false" customHeight="true" outlineLevel="0" collapsed="false">
      <c r="A404" s="12" t="n">
        <v>42040</v>
      </c>
      <c r="B404" s="13" t="n">
        <v>46211.3324580703</v>
      </c>
      <c r="C404" s="13" t="n">
        <v>46407.299117269</v>
      </c>
      <c r="D404" s="13" t="n">
        <v>1122</v>
      </c>
      <c r="E404" s="14" t="n">
        <v>41.1865708182444</v>
      </c>
      <c r="F404" s="14" t="n">
        <v>41.3612291597763</v>
      </c>
      <c r="G404" s="13" t="n">
        <v>-195.966659198726</v>
      </c>
      <c r="H404" s="15" t="n">
        <v>-0.00424066238246941</v>
      </c>
      <c r="I404" s="15" t="n">
        <v>-0.00424066238246933</v>
      </c>
      <c r="J404" s="16" t="n">
        <v>2015</v>
      </c>
      <c r="K404" s="16" t="n">
        <v>2</v>
      </c>
      <c r="L404" s="16" t="n">
        <v>6</v>
      </c>
      <c r="M404" s="16" t="s">
        <v>35</v>
      </c>
      <c r="N404" s="17" t="b">
        <f aca="false">FALSE()</f>
        <v>0</v>
      </c>
      <c r="O404" s="14" t="n">
        <v>41.1714342728357</v>
      </c>
      <c r="P404" s="13" t="n">
        <v>2752.57142857143</v>
      </c>
      <c r="Q404" s="15" t="n">
        <v>0.000367646784137164</v>
      </c>
      <c r="R404" s="15" t="n">
        <v>-0.592381150093419</v>
      </c>
      <c r="S404" s="17" t="b">
        <f aca="false">FALSE()</f>
        <v>0</v>
      </c>
    </row>
    <row r="405" customFormat="false" ht="15" hidden="false" customHeight="true" outlineLevel="0" collapsed="false">
      <c r="A405" s="12" t="n">
        <v>42041</v>
      </c>
      <c r="B405" s="13" t="n">
        <v>85730.4148104601</v>
      </c>
      <c r="C405" s="13" t="n">
        <v>85765.7093360616</v>
      </c>
      <c r="D405" s="13" t="n">
        <v>2082</v>
      </c>
      <c r="E405" s="14" t="n">
        <v>41.1769523585303</v>
      </c>
      <c r="F405" s="14" t="n">
        <v>41.1939045802409</v>
      </c>
      <c r="G405" s="13" t="n">
        <v>-35.2945256014355</v>
      </c>
      <c r="H405" s="15" t="n">
        <v>-0.000411691996119085</v>
      </c>
      <c r="I405" s="15" t="n">
        <v>-0.000411691996119046</v>
      </c>
      <c r="J405" s="16" t="n">
        <v>2015</v>
      </c>
      <c r="K405" s="16" t="n">
        <v>2</v>
      </c>
      <c r="L405" s="16" t="n">
        <v>6</v>
      </c>
      <c r="M405" s="16" t="s">
        <v>36</v>
      </c>
      <c r="N405" s="17" t="b">
        <f aca="false">FALSE()</f>
        <v>0</v>
      </c>
      <c r="O405" s="14" t="n">
        <v>41.1717219591512</v>
      </c>
      <c r="P405" s="13" t="n">
        <v>2717.28571428571</v>
      </c>
      <c r="Q405" s="15" t="n">
        <v>0.000127038635505303</v>
      </c>
      <c r="R405" s="15" t="n">
        <v>-0.233794227432837</v>
      </c>
      <c r="S405" s="17" t="b">
        <f aca="false">FALSE()</f>
        <v>0</v>
      </c>
    </row>
    <row r="406" customFormat="false" ht="15" hidden="false" customHeight="true" outlineLevel="0" collapsed="false">
      <c r="A406" s="12" t="n">
        <v>42042</v>
      </c>
      <c r="B406" s="13" t="n">
        <v>105918.293290608</v>
      </c>
      <c r="C406" s="13" t="n">
        <v>105662.5562409</v>
      </c>
      <c r="D406" s="13" t="n">
        <v>2573</v>
      </c>
      <c r="E406" s="14" t="n">
        <v>41.1652908241774</v>
      </c>
      <c r="F406" s="14" t="n">
        <v>41.0658982669647</v>
      </c>
      <c r="G406" s="13" t="n">
        <v>255.737049708288</v>
      </c>
      <c r="H406" s="15" t="n">
        <v>0.00241447479715918</v>
      </c>
      <c r="I406" s="15" t="n">
        <v>0.00241447479715914</v>
      </c>
      <c r="J406" s="16" t="n">
        <v>2015</v>
      </c>
      <c r="K406" s="16" t="n">
        <v>2</v>
      </c>
      <c r="L406" s="16" t="n">
        <v>6</v>
      </c>
      <c r="M406" s="16" t="s">
        <v>37</v>
      </c>
      <c r="N406" s="17" t="b">
        <f aca="false">TRUE()</f>
        <v>1</v>
      </c>
      <c r="O406" s="14" t="n">
        <v>41.172309801089</v>
      </c>
      <c r="P406" s="13" t="n">
        <v>2597.64285714286</v>
      </c>
      <c r="Q406" s="15" t="n">
        <v>-0.000170478094271324</v>
      </c>
      <c r="R406" s="15" t="n">
        <v>-0.00948662248741999</v>
      </c>
      <c r="S406" s="17" t="b">
        <f aca="false">FALSE()</f>
        <v>0</v>
      </c>
    </row>
    <row r="407" customFormat="false" ht="15" hidden="false" customHeight="true" outlineLevel="0" collapsed="false">
      <c r="A407" s="12" t="n">
        <v>42043</v>
      </c>
      <c r="B407" s="13" t="n">
        <v>73041.6608712205</v>
      </c>
      <c r="C407" s="13" t="n">
        <v>73046.2338996768</v>
      </c>
      <c r="D407" s="13" t="n">
        <v>1774</v>
      </c>
      <c r="E407" s="14" t="n">
        <v>41.1734277740815</v>
      </c>
      <c r="F407" s="14" t="n">
        <v>41.1760055804266</v>
      </c>
      <c r="G407" s="13" t="n">
        <v>-4.57302845628874</v>
      </c>
      <c r="H407" s="15" t="n">
        <v>-6.26084949567539E-005</v>
      </c>
      <c r="I407" s="15" t="n">
        <v>-6.26084949568825E-005</v>
      </c>
      <c r="J407" s="16" t="n">
        <v>2015</v>
      </c>
      <c r="K407" s="16" t="n">
        <v>2</v>
      </c>
      <c r="L407" s="16" t="n">
        <v>6</v>
      </c>
      <c r="M407" s="16" t="s">
        <v>38</v>
      </c>
      <c r="N407" s="17" t="b">
        <f aca="false">TRUE()</f>
        <v>1</v>
      </c>
      <c r="O407" s="14" t="n">
        <v>41.1717556136115</v>
      </c>
      <c r="P407" s="13" t="n">
        <v>2506.07142857143</v>
      </c>
      <c r="Q407" s="15" t="n">
        <v>4.06142620099654E-005</v>
      </c>
      <c r="R407" s="15" t="n">
        <v>-0.292119139233291</v>
      </c>
      <c r="S407" s="17" t="b">
        <f aca="false">FALSE()</f>
        <v>0</v>
      </c>
    </row>
    <row r="408" customFormat="false" ht="15" hidden="false" customHeight="true" outlineLevel="0" collapsed="false">
      <c r="A408" s="12" t="n">
        <v>42044</v>
      </c>
      <c r="B408" s="13" t="n">
        <v>97908.5470960987</v>
      </c>
      <c r="C408" s="13" t="n">
        <v>97097.9365901931</v>
      </c>
      <c r="D408" s="13" t="n">
        <v>2378</v>
      </c>
      <c r="E408" s="14" t="n">
        <v>41.1726438587463</v>
      </c>
      <c r="F408" s="14" t="n">
        <v>40.8317647561788</v>
      </c>
      <c r="G408" s="13" t="n">
        <v>810.610505905599</v>
      </c>
      <c r="H408" s="15" t="n">
        <v>0.00827926192296545</v>
      </c>
      <c r="I408" s="15" t="n">
        <v>0.00827926192296559</v>
      </c>
      <c r="J408" s="16" t="n">
        <v>2015</v>
      </c>
      <c r="K408" s="16" t="n">
        <v>2</v>
      </c>
      <c r="L408" s="16" t="n">
        <v>7</v>
      </c>
      <c r="M408" s="16" t="s">
        <v>32</v>
      </c>
      <c r="N408" s="17" t="b">
        <f aca="false">FALSE()</f>
        <v>0</v>
      </c>
      <c r="O408" s="14" t="n">
        <v>41.1722720517997</v>
      </c>
      <c r="P408" s="13" t="n">
        <v>2497.28571428571</v>
      </c>
      <c r="Q408" s="15" t="n">
        <v>9.03051806530614E-006</v>
      </c>
      <c r="R408" s="15" t="n">
        <v>-0.0477661461014816</v>
      </c>
      <c r="S408" s="17" t="b">
        <f aca="false">FALSE()</f>
        <v>0</v>
      </c>
    </row>
    <row r="409" customFormat="false" ht="15" hidden="false" customHeight="true" outlineLevel="0" collapsed="false">
      <c r="A409" s="12" t="n">
        <v>42045</v>
      </c>
      <c r="B409" s="13" t="n">
        <v>138667.415911136</v>
      </c>
      <c r="C409" s="13" t="n">
        <v>148522.84902042</v>
      </c>
      <c r="D409" s="13" t="n">
        <v>3677</v>
      </c>
      <c r="E409" s="14" t="n">
        <v>37.7121065844809</v>
      </c>
      <c r="F409" s="14" t="n">
        <v>40.3923984281806</v>
      </c>
      <c r="G409" s="13" t="n">
        <v>-9855.43310928354</v>
      </c>
      <c r="H409" s="15" t="n">
        <v>-0.0710724509036737</v>
      </c>
      <c r="I409" s="15" t="n">
        <v>-0.0710724509036736</v>
      </c>
      <c r="J409" s="16" t="n">
        <v>2015</v>
      </c>
      <c r="K409" s="16" t="n">
        <v>2</v>
      </c>
      <c r="L409" s="16" t="n">
        <v>7</v>
      </c>
      <c r="M409" s="16" t="s">
        <v>33</v>
      </c>
      <c r="N409" s="17" t="b">
        <f aca="false">FALSE()</f>
        <v>0</v>
      </c>
      <c r="O409" s="14" t="n">
        <v>41.1717785784245</v>
      </c>
      <c r="P409" s="13" t="n">
        <v>2507.85714285714</v>
      </c>
      <c r="Q409" s="15" t="n">
        <v>-0.0840301807062702</v>
      </c>
      <c r="R409" s="15" t="n">
        <v>0.466191968100256</v>
      </c>
      <c r="S409" s="17" t="b">
        <f aca="false">TRUE()</f>
        <v>1</v>
      </c>
    </row>
    <row r="410" customFormat="false" ht="15" hidden="false" customHeight="true" outlineLevel="0" collapsed="false">
      <c r="A410" s="12" t="n">
        <v>42046</v>
      </c>
      <c r="B410" s="13" t="n">
        <v>162162.103518324</v>
      </c>
      <c r="C410" s="13" t="n">
        <v>173661.827835086</v>
      </c>
      <c r="D410" s="13" t="n">
        <v>4299</v>
      </c>
      <c r="E410" s="14" t="n">
        <v>37.7208893971445</v>
      </c>
      <c r="F410" s="14" t="n">
        <v>40.3958659769915</v>
      </c>
      <c r="G410" s="13" t="n">
        <v>-11499.7243167625</v>
      </c>
      <c r="H410" s="15" t="n">
        <v>-0.0709149922655204</v>
      </c>
      <c r="I410" s="15" t="n">
        <v>-0.0709149922655204</v>
      </c>
      <c r="J410" s="16" t="n">
        <v>2015</v>
      </c>
      <c r="K410" s="16" t="n">
        <v>2</v>
      </c>
      <c r="L410" s="16" t="n">
        <v>7</v>
      </c>
      <c r="M410" s="16" t="s">
        <v>34</v>
      </c>
      <c r="N410" s="17" t="b">
        <f aca="false">FALSE()</f>
        <v>0</v>
      </c>
      <c r="O410" s="14" t="n">
        <v>40.9245938431215</v>
      </c>
      <c r="P410" s="13" t="n">
        <v>2636.92857142857</v>
      </c>
      <c r="Q410" s="15" t="n">
        <v>-0.0782831091313459</v>
      </c>
      <c r="R410" s="15" t="n">
        <v>0.6303058211664</v>
      </c>
      <c r="S410" s="17" t="b">
        <f aca="false">TRUE()</f>
        <v>1</v>
      </c>
    </row>
    <row r="411" customFormat="false" ht="15" hidden="false" customHeight="true" outlineLevel="0" collapsed="false">
      <c r="A411" s="12" t="n">
        <v>42047</v>
      </c>
      <c r="B411" s="13" t="n">
        <v>138520.126803926</v>
      </c>
      <c r="C411" s="13" t="n">
        <v>147756.342793815</v>
      </c>
      <c r="D411" s="13" t="n">
        <v>3674</v>
      </c>
      <c r="E411" s="14" t="n">
        <v>37.7028107795118</v>
      </c>
      <c r="F411" s="14" t="n">
        <v>40.2167508965202</v>
      </c>
      <c r="G411" s="13" t="n">
        <v>-9236.21598988885</v>
      </c>
      <c r="H411" s="15" t="n">
        <v>-0.0666777904626279</v>
      </c>
      <c r="I411" s="15" t="n">
        <v>-0.0666777904626281</v>
      </c>
      <c r="J411" s="16" t="n">
        <v>2015</v>
      </c>
      <c r="K411" s="16" t="n">
        <v>2</v>
      </c>
      <c r="L411" s="16" t="n">
        <v>7</v>
      </c>
      <c r="M411" s="16" t="s">
        <v>35</v>
      </c>
      <c r="N411" s="17" t="b">
        <f aca="false">FALSE()</f>
        <v>0</v>
      </c>
      <c r="O411" s="14" t="n">
        <v>40.6784562973633</v>
      </c>
      <c r="P411" s="13" t="n">
        <v>2840.07142857143</v>
      </c>
      <c r="Q411" s="15" t="n">
        <v>-0.0731504041377396</v>
      </c>
      <c r="R411" s="15" t="n">
        <v>0.293629435879379</v>
      </c>
      <c r="S411" s="17" t="b">
        <f aca="false">TRUE()</f>
        <v>1</v>
      </c>
    </row>
    <row r="412" customFormat="false" ht="15" hidden="false" customHeight="true" outlineLevel="0" collapsed="false">
      <c r="A412" s="12" t="n">
        <v>42048</v>
      </c>
      <c r="B412" s="13" t="n">
        <v>358597.428509159</v>
      </c>
      <c r="C412" s="13" t="n">
        <v>382447.080417085</v>
      </c>
      <c r="D412" s="13" t="n">
        <v>9505</v>
      </c>
      <c r="E412" s="14" t="n">
        <v>37.7272412950193</v>
      </c>
      <c r="F412" s="14" t="n">
        <v>40.2364103542436</v>
      </c>
      <c r="G412" s="13" t="n">
        <v>-23849.6519079265</v>
      </c>
      <c r="H412" s="15" t="n">
        <v>-0.0665081509565745</v>
      </c>
      <c r="I412" s="15" t="n">
        <v>-0.0665081509565745</v>
      </c>
      <c r="J412" s="16" t="n">
        <v>2015</v>
      </c>
      <c r="K412" s="16" t="n">
        <v>2</v>
      </c>
      <c r="L412" s="16" t="n">
        <v>7</v>
      </c>
      <c r="M412" s="16" t="s">
        <v>36</v>
      </c>
      <c r="N412" s="17" t="b">
        <f aca="false">FALSE()</f>
        <v>0</v>
      </c>
      <c r="O412" s="14" t="n">
        <v>40.4307201809204</v>
      </c>
      <c r="P412" s="13" t="n">
        <v>3003.07142857143</v>
      </c>
      <c r="Q412" s="15" t="n">
        <v>-0.0668669485431739</v>
      </c>
      <c r="R412" s="15" t="n">
        <v>2.16509288109792</v>
      </c>
      <c r="S412" s="17" t="b">
        <f aca="false">TRUE()</f>
        <v>1</v>
      </c>
    </row>
    <row r="413" customFormat="false" ht="15" hidden="false" customHeight="true" outlineLevel="0" collapsed="false">
      <c r="A413" s="12" t="n">
        <v>42049</v>
      </c>
      <c r="B413" s="13" t="n">
        <v>424009.882517061</v>
      </c>
      <c r="C413" s="13" t="n">
        <v>451548.027559624</v>
      </c>
      <c r="D413" s="13" t="n">
        <v>11237</v>
      </c>
      <c r="E413" s="14" t="n">
        <v>37.7333703405768</v>
      </c>
      <c r="F413" s="14" t="n">
        <v>40.1840373373342</v>
      </c>
      <c r="G413" s="13" t="n">
        <v>-27538.1450425632</v>
      </c>
      <c r="H413" s="15" t="n">
        <v>-0.0649469415172302</v>
      </c>
      <c r="I413" s="15" t="n">
        <v>-0.0649469415172304</v>
      </c>
      <c r="J413" s="16" t="n">
        <v>2015</v>
      </c>
      <c r="K413" s="16" t="n">
        <v>2</v>
      </c>
      <c r="L413" s="16" t="n">
        <v>7</v>
      </c>
      <c r="M413" s="16" t="s">
        <v>37</v>
      </c>
      <c r="N413" s="17" t="b">
        <f aca="false">TRUE()</f>
        <v>1</v>
      </c>
      <c r="O413" s="14" t="n">
        <v>40.1848819680856</v>
      </c>
      <c r="P413" s="13" t="n">
        <v>3448.57142857143</v>
      </c>
      <c r="Q413" s="15" t="n">
        <v>-0.0610058187916497</v>
      </c>
      <c r="R413" s="15" t="n">
        <v>2.25845070422535</v>
      </c>
      <c r="S413" s="17" t="b">
        <f aca="false">TRUE()</f>
        <v>1</v>
      </c>
    </row>
    <row r="414" customFormat="false" ht="15" hidden="false" customHeight="true" outlineLevel="0" collapsed="false">
      <c r="A414" s="12" t="n">
        <v>42050</v>
      </c>
      <c r="B414" s="13" t="n">
        <v>203861.472378125</v>
      </c>
      <c r="C414" s="13" t="n">
        <v>217065.615160827</v>
      </c>
      <c r="D414" s="13" t="n">
        <v>5406</v>
      </c>
      <c r="E414" s="14" t="n">
        <v>37.710224265284</v>
      </c>
      <c r="F414" s="14" t="n">
        <v>40.1527220053325</v>
      </c>
      <c r="G414" s="13" t="n">
        <v>-13204.1427827019</v>
      </c>
      <c r="H414" s="15" t="n">
        <v>-0.064770172748535</v>
      </c>
      <c r="I414" s="15" t="n">
        <v>-0.0647701727485351</v>
      </c>
      <c r="J414" s="16" t="n">
        <v>2015</v>
      </c>
      <c r="K414" s="16" t="n">
        <v>2</v>
      </c>
      <c r="L414" s="16" t="n">
        <v>7</v>
      </c>
      <c r="M414" s="16" t="s">
        <v>38</v>
      </c>
      <c r="N414" s="17" t="b">
        <f aca="false">TRUE()</f>
        <v>1</v>
      </c>
      <c r="O414" s="14" t="n">
        <v>39.9390400834515</v>
      </c>
      <c r="P414" s="13" t="n">
        <v>3903.92857142857</v>
      </c>
      <c r="Q414" s="15" t="n">
        <v>-0.0558054428326378</v>
      </c>
      <c r="R414" s="15" t="n">
        <v>0.384758942457232</v>
      </c>
      <c r="S414" s="17" t="b">
        <f aca="false">TRUE()</f>
        <v>1</v>
      </c>
    </row>
    <row r="415" customFormat="false" ht="15" hidden="false" customHeight="true" outlineLevel="0" collapsed="false">
      <c r="A415" s="12" t="n">
        <v>42051</v>
      </c>
      <c r="B415" s="13" t="n">
        <v>220506.209332816</v>
      </c>
      <c r="C415" s="13" t="n">
        <v>234723.220045322</v>
      </c>
      <c r="D415" s="13" t="n">
        <v>5846</v>
      </c>
      <c r="E415" s="14" t="n">
        <v>37.7191599953499</v>
      </c>
      <c r="F415" s="14" t="n">
        <v>40.1510810888338</v>
      </c>
      <c r="G415" s="13" t="n">
        <v>-14217.0107125069</v>
      </c>
      <c r="H415" s="15" t="n">
        <v>-0.0644744234437806</v>
      </c>
      <c r="I415" s="15" t="n">
        <v>-0.0644744234437805</v>
      </c>
      <c r="J415" s="16" t="n">
        <v>2015</v>
      </c>
      <c r="K415" s="16" t="n">
        <v>2</v>
      </c>
      <c r="L415" s="16" t="n">
        <v>8</v>
      </c>
      <c r="M415" s="16" t="s">
        <v>32</v>
      </c>
      <c r="N415" s="17" t="b">
        <f aca="false">FALSE()</f>
        <v>0</v>
      </c>
      <c r="O415" s="14" t="n">
        <v>39.6919667432911</v>
      </c>
      <c r="P415" s="13" t="n">
        <v>3992.57142857143</v>
      </c>
      <c r="Q415" s="15" t="n">
        <v>-0.0497029225258695</v>
      </c>
      <c r="R415" s="15" t="n">
        <v>0.464219264348075</v>
      </c>
      <c r="S415" s="17" t="b">
        <f aca="false">FALSE()</f>
        <v>0</v>
      </c>
    </row>
    <row r="416" customFormat="false" ht="15" hidden="false" customHeight="true" outlineLevel="0" collapsed="false">
      <c r="A416" s="12" t="n">
        <v>42052</v>
      </c>
      <c r="B416" s="13" t="n">
        <v>139935.936976345</v>
      </c>
      <c r="C416" s="13" t="n">
        <v>148697.54369599</v>
      </c>
      <c r="D416" s="13" t="n">
        <v>3713</v>
      </c>
      <c r="E416" s="14" t="n">
        <v>37.6881058379599</v>
      </c>
      <c r="F416" s="14" t="n">
        <v>40.0478167778049</v>
      </c>
      <c r="G416" s="13" t="n">
        <v>-8761.60671964442</v>
      </c>
      <c r="H416" s="15" t="n">
        <v>-0.0626115557515829</v>
      </c>
      <c r="I416" s="15" t="n">
        <v>-0.0626115557515828</v>
      </c>
      <c r="J416" s="16" t="n">
        <v>2015</v>
      </c>
      <c r="K416" s="16" t="n">
        <v>2</v>
      </c>
      <c r="L416" s="16" t="n">
        <v>8</v>
      </c>
      <c r="M416" s="16" t="s">
        <v>33</v>
      </c>
      <c r="N416" s="17" t="b">
        <f aca="false">FALSE()</f>
        <v>0</v>
      </c>
      <c r="O416" s="14" t="n">
        <v>39.4449786787514</v>
      </c>
      <c r="P416" s="13" t="n">
        <v>4146.92857142857</v>
      </c>
      <c r="Q416" s="15" t="n">
        <v>-0.0445398349711342</v>
      </c>
      <c r="R416" s="15" t="n">
        <v>-0.104638544878309</v>
      </c>
      <c r="S416" s="17" t="b">
        <f aca="false">FALSE()</f>
        <v>0</v>
      </c>
    </row>
    <row r="417" customFormat="false" ht="15" hidden="false" customHeight="true" outlineLevel="0" collapsed="false">
      <c r="A417" s="12" t="n">
        <v>42053</v>
      </c>
      <c r="B417" s="13" t="n">
        <v>161064.752344884</v>
      </c>
      <c r="C417" s="13" t="n">
        <v>170739.366623168</v>
      </c>
      <c r="D417" s="13" t="n">
        <v>4270</v>
      </c>
      <c r="E417" s="14" t="n">
        <v>37.7200825163663</v>
      </c>
      <c r="F417" s="14" t="n">
        <v>39.9858001459411</v>
      </c>
      <c r="G417" s="13" t="n">
        <v>-9674.6142782844</v>
      </c>
      <c r="H417" s="15" t="n">
        <v>-0.0600666138148487</v>
      </c>
      <c r="I417" s="15" t="n">
        <v>-0.0600666138148488</v>
      </c>
      <c r="J417" s="16" t="n">
        <v>2015</v>
      </c>
      <c r="K417" s="16" t="n">
        <v>2</v>
      </c>
      <c r="L417" s="16" t="n">
        <v>8</v>
      </c>
      <c r="M417" s="16" t="s">
        <v>34</v>
      </c>
      <c r="N417" s="17" t="b">
        <f aca="false">FALSE()</f>
        <v>0</v>
      </c>
      <c r="O417" s="14" t="n">
        <v>39.1959258050905</v>
      </c>
      <c r="P417" s="13" t="n">
        <v>4235.07142857143</v>
      </c>
      <c r="Q417" s="15" t="n">
        <v>-0.0376529768951791</v>
      </c>
      <c r="R417" s="15" t="n">
        <v>0.00824745745560038</v>
      </c>
      <c r="S417" s="17" t="b">
        <f aca="false">FALSE()</f>
        <v>0</v>
      </c>
    </row>
    <row r="418" customFormat="false" ht="15" hidden="false" customHeight="true" outlineLevel="0" collapsed="false">
      <c r="A418" s="12" t="n">
        <v>42054</v>
      </c>
      <c r="B418" s="13" t="n">
        <v>144328.545189985</v>
      </c>
      <c r="C418" s="13" t="n">
        <v>152824.114898405</v>
      </c>
      <c r="D418" s="13" t="n">
        <v>3827</v>
      </c>
      <c r="E418" s="14" t="n">
        <v>37.713233652988</v>
      </c>
      <c r="F418" s="14" t="n">
        <v>39.9331368953239</v>
      </c>
      <c r="G418" s="13" t="n">
        <v>-8495.56970841944</v>
      </c>
      <c r="H418" s="15" t="n">
        <v>-0.058862712828127</v>
      </c>
      <c r="I418" s="15" t="n">
        <v>-0.058862712828127</v>
      </c>
      <c r="J418" s="16" t="n">
        <v>2015</v>
      </c>
      <c r="K418" s="16" t="n">
        <v>2</v>
      </c>
      <c r="L418" s="16" t="n">
        <v>8</v>
      </c>
      <c r="M418" s="16" t="s">
        <v>35</v>
      </c>
      <c r="N418" s="17" t="b">
        <f aca="false">FALSE()</f>
        <v>0</v>
      </c>
      <c r="O418" s="14" t="n">
        <v>38.9506340461052</v>
      </c>
      <c r="P418" s="13" t="n">
        <v>4396.85714285714</v>
      </c>
      <c r="Q418" s="15" t="n">
        <v>-0.0317684274831705</v>
      </c>
      <c r="R418" s="15" t="n">
        <v>-0.129605562414712</v>
      </c>
      <c r="S418" s="17" t="b">
        <f aca="false">FALSE()</f>
        <v>0</v>
      </c>
    </row>
    <row r="419" customFormat="false" ht="15" hidden="false" customHeight="true" outlineLevel="0" collapsed="false">
      <c r="A419" s="12" t="n">
        <v>42055</v>
      </c>
      <c r="B419" s="13" t="n">
        <v>293071.759196403</v>
      </c>
      <c r="C419" s="13" t="n">
        <v>310240.378395341</v>
      </c>
      <c r="D419" s="13" t="n">
        <v>7770</v>
      </c>
      <c r="E419" s="14" t="n">
        <v>37.7183731269502</v>
      </c>
      <c r="F419" s="14" t="n">
        <v>39.927976627457</v>
      </c>
      <c r="G419" s="13" t="n">
        <v>-17168.6191989373</v>
      </c>
      <c r="H419" s="15" t="n">
        <v>-0.0585816226238013</v>
      </c>
      <c r="I419" s="15" t="n">
        <v>-0.0585816226238012</v>
      </c>
      <c r="J419" s="16" t="n">
        <v>2015</v>
      </c>
      <c r="K419" s="16" t="n">
        <v>2</v>
      </c>
      <c r="L419" s="16" t="n">
        <v>8</v>
      </c>
      <c r="M419" s="16" t="s">
        <v>36</v>
      </c>
      <c r="N419" s="17" t="b">
        <f aca="false">FALSE()</f>
        <v>0</v>
      </c>
      <c r="O419" s="14" t="n">
        <v>38.7025385343012</v>
      </c>
      <c r="P419" s="13" t="n">
        <v>4590.07142857143</v>
      </c>
      <c r="Q419" s="15" t="n">
        <v>-0.0254289626629718</v>
      </c>
      <c r="R419" s="15" t="n">
        <v>0.692784114781905</v>
      </c>
      <c r="S419" s="17" t="b">
        <f aca="false">FALSE()</f>
        <v>0</v>
      </c>
    </row>
    <row r="420" customFormat="false" ht="15" hidden="false" customHeight="true" outlineLevel="0" collapsed="false">
      <c r="A420" s="12" t="n">
        <v>42056</v>
      </c>
      <c r="B420" s="13" t="n">
        <v>267782.153961908</v>
      </c>
      <c r="C420" s="13" t="n">
        <v>283430.336833763</v>
      </c>
      <c r="D420" s="13" t="n">
        <v>7102</v>
      </c>
      <c r="E420" s="14" t="n">
        <v>37.7051751565627</v>
      </c>
      <c r="F420" s="14" t="n">
        <v>39.9085239135121</v>
      </c>
      <c r="G420" s="13" t="n">
        <v>-15648.182871855</v>
      </c>
      <c r="H420" s="15" t="n">
        <v>-0.0584362424468398</v>
      </c>
      <c r="I420" s="15" t="n">
        <v>-0.0584362424468399</v>
      </c>
      <c r="J420" s="16" t="n">
        <v>2015</v>
      </c>
      <c r="K420" s="16" t="n">
        <v>2</v>
      </c>
      <c r="L420" s="16" t="n">
        <v>8</v>
      </c>
      <c r="M420" s="16" t="s">
        <v>37</v>
      </c>
      <c r="N420" s="17" t="b">
        <f aca="false">TRUE()</f>
        <v>1</v>
      </c>
      <c r="O420" s="14" t="n">
        <v>38.4554971606169</v>
      </c>
      <c r="P420" s="13" t="n">
        <v>4996.35714285714</v>
      </c>
      <c r="Q420" s="15" t="n">
        <v>-0.0195114368414057</v>
      </c>
      <c r="R420" s="15" t="n">
        <v>0.421435617378376</v>
      </c>
      <c r="S420" s="17" t="b">
        <f aca="false">FALSE()</f>
        <v>0</v>
      </c>
    </row>
    <row r="421" customFormat="false" ht="15" hidden="false" customHeight="true" outlineLevel="0" collapsed="false">
      <c r="A421" s="12" t="n">
        <v>42057</v>
      </c>
      <c r="B421" s="13" t="n">
        <v>136052.688423625</v>
      </c>
      <c r="C421" s="13" t="n">
        <v>144020.12275974</v>
      </c>
      <c r="D421" s="13" t="n">
        <v>3608</v>
      </c>
      <c r="E421" s="14" t="n">
        <v>37.708616525395</v>
      </c>
      <c r="F421" s="14" t="n">
        <v>39.9168854655599</v>
      </c>
      <c r="G421" s="13" t="n">
        <v>-7967.43433611494</v>
      </c>
      <c r="H421" s="15" t="n">
        <v>-0.0585613884475907</v>
      </c>
      <c r="I421" s="15" t="n">
        <v>-0.0585613884475906</v>
      </c>
      <c r="J421" s="16" t="n">
        <v>2015</v>
      </c>
      <c r="K421" s="16" t="n">
        <v>2</v>
      </c>
      <c r="L421" s="16" t="n">
        <v>8</v>
      </c>
      <c r="M421" s="16" t="s">
        <v>38</v>
      </c>
      <c r="N421" s="17" t="b">
        <f aca="false">TRUE()</f>
        <v>1</v>
      </c>
      <c r="O421" s="14" t="n">
        <v>38.2083460415016</v>
      </c>
      <c r="P421" s="13" t="n">
        <v>5319.85714285714</v>
      </c>
      <c r="Q421" s="15" t="n">
        <v>-0.0130790669547373</v>
      </c>
      <c r="R421" s="15" t="n">
        <v>-0.321786299309863</v>
      </c>
      <c r="S421" s="17" t="b">
        <f aca="false">FALSE()</f>
        <v>0</v>
      </c>
    </row>
    <row r="422" customFormat="false" ht="15" hidden="false" customHeight="true" outlineLevel="0" collapsed="false">
      <c r="A422" s="12" t="n">
        <v>42058</v>
      </c>
      <c r="B422" s="13" t="n">
        <v>86703.3140903792</v>
      </c>
      <c r="C422" s="13" t="n">
        <v>85730.9665392827</v>
      </c>
      <c r="D422" s="13" t="n">
        <v>2150</v>
      </c>
      <c r="E422" s="14" t="n">
        <v>40.3271228327345</v>
      </c>
      <c r="F422" s="14" t="n">
        <v>39.8748681578059</v>
      </c>
      <c r="G422" s="13" t="n">
        <v>972.347551096478</v>
      </c>
      <c r="H422" s="15" t="n">
        <v>0.0112146526496428</v>
      </c>
      <c r="I422" s="15" t="n">
        <v>0.0112146526496428</v>
      </c>
      <c r="J422" s="16" t="n">
        <v>2015</v>
      </c>
      <c r="K422" s="16" t="n">
        <v>2</v>
      </c>
      <c r="L422" s="16" t="n">
        <v>9</v>
      </c>
      <c r="M422" s="16" t="s">
        <v>32</v>
      </c>
      <c r="N422" s="17" t="b">
        <f aca="false">FALSE()</f>
        <v>0</v>
      </c>
      <c r="O422" s="14" t="n">
        <v>37.9608595237383</v>
      </c>
      <c r="P422" s="13" t="n">
        <v>5450.85714285714</v>
      </c>
      <c r="Q422" s="15" t="n">
        <v>0.0623342921810434</v>
      </c>
      <c r="R422" s="15" t="n">
        <v>-0.605566621239124</v>
      </c>
      <c r="S422" s="17" t="b">
        <f aca="false">FALSE()</f>
        <v>0</v>
      </c>
    </row>
    <row r="423" customFormat="false" ht="15" hidden="false" customHeight="true" outlineLevel="0" collapsed="false">
      <c r="A423" s="12" t="n">
        <v>42059</v>
      </c>
      <c r="B423" s="13" t="n">
        <v>95474.3573690996</v>
      </c>
      <c r="C423" s="13" t="n">
        <v>100867.524060756</v>
      </c>
      <c r="D423" s="13" t="n">
        <v>2530</v>
      </c>
      <c r="E423" s="14" t="n">
        <v>37.7369001458892</v>
      </c>
      <c r="F423" s="14" t="n">
        <v>39.868586585279</v>
      </c>
      <c r="G423" s="13" t="n">
        <v>-5393.16669165625</v>
      </c>
      <c r="H423" s="15" t="n">
        <v>-0.0564881172313788</v>
      </c>
      <c r="I423" s="15" t="n">
        <v>-0.0564881172313788</v>
      </c>
      <c r="J423" s="16" t="n">
        <v>2015</v>
      </c>
      <c r="K423" s="16" t="n">
        <v>2</v>
      </c>
      <c r="L423" s="16" t="n">
        <v>9</v>
      </c>
      <c r="M423" s="16" t="s">
        <v>33</v>
      </c>
      <c r="N423" s="17" t="b">
        <f aca="false">FALSE()</f>
        <v>0</v>
      </c>
      <c r="O423" s="14" t="n">
        <v>37.9004651647374</v>
      </c>
      <c r="P423" s="13" t="n">
        <v>5434.57142857143</v>
      </c>
      <c r="Q423" s="15" t="n">
        <v>-0.00431564673777158</v>
      </c>
      <c r="R423" s="15" t="n">
        <v>-0.534461910519952</v>
      </c>
      <c r="S423" s="17" t="b">
        <f aca="false">FALSE()</f>
        <v>0</v>
      </c>
    </row>
    <row r="424" customFormat="false" ht="15" hidden="false" customHeight="true" outlineLevel="0" collapsed="false">
      <c r="A424" s="12" t="n">
        <v>42060</v>
      </c>
      <c r="B424" s="13" t="n">
        <v>198431.627526982</v>
      </c>
      <c r="C424" s="13" t="n">
        <v>209499.794109121</v>
      </c>
      <c r="D424" s="13" t="n">
        <v>5253</v>
      </c>
      <c r="E424" s="14" t="n">
        <v>37.7749148157208</v>
      </c>
      <c r="F424" s="14" t="n">
        <v>39.8819330114451</v>
      </c>
      <c r="G424" s="13" t="n">
        <v>-11068.1665821395</v>
      </c>
      <c r="H424" s="15" t="n">
        <v>-0.0557782381774523</v>
      </c>
      <c r="I424" s="15" t="n">
        <v>-0.0557782381774522</v>
      </c>
      <c r="J424" s="16" t="n">
        <v>2015</v>
      </c>
      <c r="K424" s="16" t="n">
        <v>2</v>
      </c>
      <c r="L424" s="16" t="n">
        <v>9</v>
      </c>
      <c r="M424" s="16" t="s">
        <v>34</v>
      </c>
      <c r="N424" s="17" t="b">
        <f aca="false">FALSE()</f>
        <v>0</v>
      </c>
      <c r="O424" s="14" t="n">
        <v>37.9022361334094</v>
      </c>
      <c r="P424" s="13" t="n">
        <v>5352.64285714286</v>
      </c>
      <c r="Q424" s="15" t="n">
        <v>-0.00335920332616915</v>
      </c>
      <c r="R424" s="15" t="n">
        <v>-0.0186156371351935</v>
      </c>
      <c r="S424" s="17" t="b">
        <f aca="false">FALSE()</f>
        <v>0</v>
      </c>
    </row>
    <row r="425" customFormat="false" ht="15" hidden="false" customHeight="true" outlineLevel="0" collapsed="false">
      <c r="A425" s="12" t="n">
        <v>42061</v>
      </c>
      <c r="B425" s="13" t="n">
        <v>157291.733998945</v>
      </c>
      <c r="C425" s="13" t="n">
        <v>166305.03762747</v>
      </c>
      <c r="D425" s="13" t="n">
        <v>4171</v>
      </c>
      <c r="E425" s="14" t="n">
        <v>37.7107969309387</v>
      </c>
      <c r="F425" s="14" t="n">
        <v>39.8717424184777</v>
      </c>
      <c r="G425" s="13" t="n">
        <v>-9013.30362852529</v>
      </c>
      <c r="H425" s="15" t="n">
        <v>-0.0573030978766229</v>
      </c>
      <c r="I425" s="15" t="n">
        <v>-0.0573030978766228</v>
      </c>
      <c r="J425" s="16" t="n">
        <v>2015</v>
      </c>
      <c r="K425" s="16" t="n">
        <v>2</v>
      </c>
      <c r="L425" s="16" t="n">
        <v>9</v>
      </c>
      <c r="M425" s="16" t="s">
        <v>35</v>
      </c>
      <c r="N425" s="17" t="b">
        <f aca="false">FALSE()</f>
        <v>0</v>
      </c>
      <c r="O425" s="14" t="n">
        <v>37.9060950918792</v>
      </c>
      <c r="P425" s="13" t="n">
        <v>5420.78571428572</v>
      </c>
      <c r="Q425" s="15" t="n">
        <v>-0.00515215720498619</v>
      </c>
      <c r="R425" s="15" t="n">
        <v>-0.230554347682861</v>
      </c>
      <c r="S425" s="17" t="b">
        <f aca="false">FALSE()</f>
        <v>0</v>
      </c>
    </row>
    <row r="426" customFormat="false" ht="15" hidden="false" customHeight="true" outlineLevel="0" collapsed="false">
      <c r="A426" s="12" t="n">
        <v>42062</v>
      </c>
      <c r="B426" s="13" t="n">
        <v>307540.675156237</v>
      </c>
      <c r="C426" s="13" t="n">
        <v>324997.336478028</v>
      </c>
      <c r="D426" s="13" t="n">
        <v>8156</v>
      </c>
      <c r="E426" s="14" t="n">
        <v>37.7072921966941</v>
      </c>
      <c r="F426" s="14" t="n">
        <v>39.8476381164821</v>
      </c>
      <c r="G426" s="13" t="n">
        <v>-17456.6613217912</v>
      </c>
      <c r="H426" s="15" t="n">
        <v>-0.0567621219954819</v>
      </c>
      <c r="I426" s="15" t="n">
        <v>-0.0567621219954819</v>
      </c>
      <c r="J426" s="16" t="n">
        <v>2015</v>
      </c>
      <c r="K426" s="16" t="n">
        <v>2</v>
      </c>
      <c r="L426" s="16" t="n">
        <v>9</v>
      </c>
      <c r="M426" s="16" t="s">
        <v>36</v>
      </c>
      <c r="N426" s="17" t="b">
        <f aca="false">FALSE()</f>
        <v>0</v>
      </c>
      <c r="O426" s="14" t="n">
        <v>37.9066655312668</v>
      </c>
      <c r="P426" s="13" t="n">
        <v>5456.28571428572</v>
      </c>
      <c r="Q426" s="15" t="n">
        <v>-0.00525958513571382</v>
      </c>
      <c r="R426" s="15" t="n">
        <v>0.494789757553542</v>
      </c>
      <c r="S426" s="17" t="b">
        <f aca="false">FALSE()</f>
        <v>0</v>
      </c>
    </row>
    <row r="427" customFormat="false" ht="15" hidden="false" customHeight="true" outlineLevel="0" collapsed="false">
      <c r="A427" s="12" t="n">
        <v>42063</v>
      </c>
      <c r="B427" s="13" t="n">
        <v>350898.76351027</v>
      </c>
      <c r="C427" s="13" t="n">
        <v>375030.635452059</v>
      </c>
      <c r="D427" s="13" t="n">
        <v>9296</v>
      </c>
      <c r="E427" s="14" t="n">
        <v>37.7472852313113</v>
      </c>
      <c r="F427" s="14" t="n">
        <v>40.3432267052559</v>
      </c>
      <c r="G427" s="13" t="n">
        <v>-24131.8719417895</v>
      </c>
      <c r="H427" s="15" t="n">
        <v>-0.0687716072304803</v>
      </c>
      <c r="I427" s="15" t="n">
        <v>-0.0687716072304805</v>
      </c>
      <c r="J427" s="16" t="n">
        <v>2015</v>
      </c>
      <c r="K427" s="16" t="n">
        <v>2</v>
      </c>
      <c r="L427" s="16" t="n">
        <v>9</v>
      </c>
      <c r="M427" s="16" t="s">
        <v>37</v>
      </c>
      <c r="N427" s="17" t="b">
        <f aca="false">TRUE()</f>
        <v>1</v>
      </c>
      <c r="O427" s="14" t="n">
        <v>37.9052405956722</v>
      </c>
      <c r="P427" s="13" t="n">
        <v>5359.92857142857</v>
      </c>
      <c r="Q427" s="15" t="n">
        <v>-0.00416711150961276</v>
      </c>
      <c r="R427" s="15" t="n">
        <v>0.734351470568638</v>
      </c>
      <c r="S427" s="17" t="b">
        <f aca="false">FALSE()</f>
        <v>0</v>
      </c>
    </row>
    <row r="428" customFormat="false" ht="15" hidden="false" customHeight="true" outlineLevel="0" collapsed="false">
      <c r="A428" s="12" t="n">
        <v>42064</v>
      </c>
      <c r="B428" s="13" t="n">
        <v>256701.542733341</v>
      </c>
      <c r="C428" s="13" t="n">
        <v>276569.25039236</v>
      </c>
      <c r="D428" s="13" t="n">
        <v>6803</v>
      </c>
      <c r="E428" s="14" t="n">
        <v>37.7335797050332</v>
      </c>
      <c r="F428" s="14" t="n">
        <v>40.6540129931441</v>
      </c>
      <c r="G428" s="13" t="n">
        <v>-19867.7076590189</v>
      </c>
      <c r="H428" s="15" t="n">
        <v>-0.0773961365696088</v>
      </c>
      <c r="I428" s="15" t="n">
        <v>-0.0773961365696087</v>
      </c>
      <c r="J428" s="16" t="n">
        <v>2015</v>
      </c>
      <c r="K428" s="16" t="n">
        <v>3</v>
      </c>
      <c r="L428" s="16" t="n">
        <v>9</v>
      </c>
      <c r="M428" s="16" t="s">
        <v>38</v>
      </c>
      <c r="N428" s="17" t="b">
        <f aca="false">TRUE()</f>
        <v>1</v>
      </c>
      <c r="O428" s="14" t="n">
        <v>37.9062345164389</v>
      </c>
      <c r="P428" s="13" t="n">
        <v>5221.28571428572</v>
      </c>
      <c r="Q428" s="15" t="n">
        <v>-0.0045547866626228</v>
      </c>
      <c r="R428" s="15" t="n">
        <v>0.302935784836794</v>
      </c>
      <c r="S428" s="17" t="b">
        <f aca="false">FALSE()</f>
        <v>0</v>
      </c>
    </row>
    <row r="429" customFormat="false" ht="15" hidden="false" customHeight="true" outlineLevel="0" collapsed="false">
      <c r="A429" s="12" t="n">
        <v>42065</v>
      </c>
      <c r="B429" s="13" t="n">
        <v>234705.592779103</v>
      </c>
      <c r="C429" s="13" t="n">
        <v>252709.82306976</v>
      </c>
      <c r="D429" s="13" t="n">
        <v>6221</v>
      </c>
      <c r="E429" s="14" t="n">
        <v>37.7279525444628</v>
      </c>
      <c r="F429" s="14" t="n">
        <v>40.6220580404693</v>
      </c>
      <c r="G429" s="13" t="n">
        <v>-18004.2302906567</v>
      </c>
      <c r="H429" s="15" t="n">
        <v>-0.0767098477606442</v>
      </c>
      <c r="I429" s="15" t="n">
        <v>-0.0767098477606441</v>
      </c>
      <c r="J429" s="16" t="n">
        <v>2015</v>
      </c>
      <c r="K429" s="16" t="n">
        <v>3</v>
      </c>
      <c r="L429" s="16" t="n">
        <v>10</v>
      </c>
      <c r="M429" s="16" t="s">
        <v>32</v>
      </c>
      <c r="N429" s="17" t="b">
        <f aca="false">FALSE()</f>
        <v>0</v>
      </c>
      <c r="O429" s="14" t="n">
        <v>37.9079027621353</v>
      </c>
      <c r="P429" s="13" t="n">
        <v>5321.07142857143</v>
      </c>
      <c r="Q429" s="15" t="n">
        <v>-0.00474703701762743</v>
      </c>
      <c r="R429" s="15" t="n">
        <v>0.169125444660716</v>
      </c>
      <c r="S429" s="17" t="b">
        <f aca="false">FALSE()</f>
        <v>0</v>
      </c>
    </row>
    <row r="430" customFormat="false" ht="15" hidden="false" customHeight="true" outlineLevel="0" collapsed="false">
      <c r="A430" s="12" t="n">
        <v>42066</v>
      </c>
      <c r="B430" s="13" t="n">
        <v>249380.565447579</v>
      </c>
      <c r="C430" s="13" t="n">
        <v>268761.832356944</v>
      </c>
      <c r="D430" s="13" t="n">
        <v>6611</v>
      </c>
      <c r="E430" s="14" t="n">
        <v>37.7220640519708</v>
      </c>
      <c r="F430" s="14" t="n">
        <v>40.6537335285047</v>
      </c>
      <c r="G430" s="13" t="n">
        <v>-19381.2669093652</v>
      </c>
      <c r="H430" s="15" t="n">
        <v>-0.0777176315827997</v>
      </c>
      <c r="I430" s="15" t="n">
        <v>-0.0777176315827997</v>
      </c>
      <c r="J430" s="16" t="n">
        <v>2015</v>
      </c>
      <c r="K430" s="16" t="n">
        <v>3</v>
      </c>
      <c r="L430" s="16" t="n">
        <v>10</v>
      </c>
      <c r="M430" s="16" t="s">
        <v>33</v>
      </c>
      <c r="N430" s="17" t="b">
        <f aca="false">FALSE()</f>
        <v>0</v>
      </c>
      <c r="O430" s="14" t="n">
        <v>37.9085308013576</v>
      </c>
      <c r="P430" s="13" t="n">
        <v>5347.85714285714</v>
      </c>
      <c r="Q430" s="15" t="n">
        <v>-0.00491885983036012</v>
      </c>
      <c r="R430" s="15" t="n">
        <v>0.236196073193535</v>
      </c>
      <c r="S430" s="17" t="b">
        <f aca="false">FALSE()</f>
        <v>0</v>
      </c>
    </row>
    <row r="431" customFormat="false" ht="15" hidden="false" customHeight="true" outlineLevel="0" collapsed="false">
      <c r="A431" s="12" t="n">
        <v>42067</v>
      </c>
      <c r="B431" s="13" t="n">
        <v>258211.444167698</v>
      </c>
      <c r="C431" s="13" t="n">
        <v>278825.606678537</v>
      </c>
      <c r="D431" s="13" t="n">
        <v>6843</v>
      </c>
      <c r="E431" s="14" t="n">
        <v>37.7336612841879</v>
      </c>
      <c r="F431" s="14" t="n">
        <v>40.7461064852457</v>
      </c>
      <c r="G431" s="13" t="n">
        <v>-20614.1625108386</v>
      </c>
      <c r="H431" s="15" t="n">
        <v>-0.0798344263062584</v>
      </c>
      <c r="I431" s="15" t="n">
        <v>-0.0798344263062584</v>
      </c>
      <c r="J431" s="16" t="n">
        <v>2015</v>
      </c>
      <c r="K431" s="16" t="n">
        <v>3</v>
      </c>
      <c r="L431" s="16" t="n">
        <v>10</v>
      </c>
      <c r="M431" s="16" t="s">
        <v>34</v>
      </c>
      <c r="N431" s="17" t="b">
        <f aca="false">FALSE()</f>
        <v>0</v>
      </c>
      <c r="O431" s="14" t="n">
        <v>37.9109563880727</v>
      </c>
      <c r="P431" s="13" t="n">
        <v>5554.85714285714</v>
      </c>
      <c r="Q431" s="15" t="n">
        <v>-0.00467661913009787</v>
      </c>
      <c r="R431" s="15" t="n">
        <v>0.231894866783253</v>
      </c>
      <c r="S431" s="17" t="b">
        <f aca="false">FALSE()</f>
        <v>0</v>
      </c>
    </row>
    <row r="432" customFormat="false" ht="15" hidden="false" customHeight="true" outlineLevel="0" collapsed="false">
      <c r="A432" s="12" t="n">
        <v>42068</v>
      </c>
      <c r="B432" s="13" t="n">
        <v>145975.833942825</v>
      </c>
      <c r="C432" s="13" t="n">
        <v>157578.005866528</v>
      </c>
      <c r="D432" s="13" t="n">
        <v>3858</v>
      </c>
      <c r="E432" s="14" t="n">
        <v>37.8371783159215</v>
      </c>
      <c r="F432" s="14" t="n">
        <v>40.8444805252794</v>
      </c>
      <c r="G432" s="13" t="n">
        <v>-11602.1719237028</v>
      </c>
      <c r="H432" s="15" t="n">
        <v>-0.0794800866028764</v>
      </c>
      <c r="I432" s="15" t="n">
        <v>-0.0794800866028764</v>
      </c>
      <c r="J432" s="16" t="n">
        <v>2015</v>
      </c>
      <c r="K432" s="16" t="n">
        <v>3</v>
      </c>
      <c r="L432" s="16" t="n">
        <v>10</v>
      </c>
      <c r="M432" s="16" t="s">
        <v>35</v>
      </c>
      <c r="N432" s="17" t="b">
        <f aca="false">FALSE()</f>
        <v>0</v>
      </c>
      <c r="O432" s="14" t="n">
        <v>37.9119263000599</v>
      </c>
      <c r="P432" s="13" t="n">
        <v>5738.64285714286</v>
      </c>
      <c r="Q432" s="15" t="n">
        <v>-0.0019716218993155</v>
      </c>
      <c r="R432" s="15" t="n">
        <v>-0.327715612202985</v>
      </c>
      <c r="S432" s="17" t="b">
        <f aca="false">FALSE()</f>
        <v>0</v>
      </c>
    </row>
    <row r="433" customFormat="false" ht="15" hidden="false" customHeight="true" outlineLevel="0" collapsed="false">
      <c r="A433" s="12" t="n">
        <v>42069</v>
      </c>
      <c r="B433" s="13" t="n">
        <v>269239.852583668</v>
      </c>
      <c r="C433" s="13" t="n">
        <v>291365.017554399</v>
      </c>
      <c r="D433" s="13" t="n">
        <v>7128</v>
      </c>
      <c r="E433" s="14" t="n">
        <v>37.7721454241959</v>
      </c>
      <c r="F433" s="14" t="n">
        <v>40.876124797194</v>
      </c>
      <c r="G433" s="13" t="n">
        <v>-22125.1649707304</v>
      </c>
      <c r="H433" s="15" t="n">
        <v>-0.0821764116954225</v>
      </c>
      <c r="I433" s="15" t="n">
        <v>-0.0821764116954223</v>
      </c>
      <c r="J433" s="16" t="n">
        <v>2015</v>
      </c>
      <c r="K433" s="16" t="n">
        <v>3</v>
      </c>
      <c r="L433" s="16" t="n">
        <v>10</v>
      </c>
      <c r="M433" s="16" t="s">
        <v>36</v>
      </c>
      <c r="N433" s="17" t="b">
        <f aca="false">FALSE()</f>
        <v>0</v>
      </c>
      <c r="O433" s="14" t="n">
        <v>37.9207794902695</v>
      </c>
      <c r="P433" s="13" t="n">
        <v>5740.85714285714</v>
      </c>
      <c r="Q433" s="15" t="n">
        <v>-0.00391959416635226</v>
      </c>
      <c r="R433" s="15" t="n">
        <v>0.241626437067636</v>
      </c>
      <c r="S433" s="17" t="b">
        <f aca="false">FALSE()</f>
        <v>0</v>
      </c>
    </row>
    <row r="434" customFormat="false" ht="15" hidden="false" customHeight="true" outlineLevel="0" collapsed="false">
      <c r="A434" s="12" t="n">
        <v>42070</v>
      </c>
      <c r="B434" s="13" t="n">
        <v>306920.211601292</v>
      </c>
      <c r="C434" s="13" t="n">
        <v>332242.411551486</v>
      </c>
      <c r="D434" s="13" t="n">
        <v>8127</v>
      </c>
      <c r="E434" s="14" t="n">
        <v>37.7654991511372</v>
      </c>
      <c r="F434" s="14" t="n">
        <v>40.8813106375644</v>
      </c>
      <c r="G434" s="13" t="n">
        <v>-25322.1999501939</v>
      </c>
      <c r="H434" s="15" t="n">
        <v>-0.0825041785879157</v>
      </c>
      <c r="I434" s="15" t="n">
        <v>-0.0825041785879157</v>
      </c>
      <c r="J434" s="16" t="n">
        <v>2015</v>
      </c>
      <c r="K434" s="16" t="n">
        <v>3</v>
      </c>
      <c r="L434" s="16" t="n">
        <v>10</v>
      </c>
      <c r="M434" s="16" t="s">
        <v>37</v>
      </c>
      <c r="N434" s="17" t="b">
        <f aca="false">TRUE()</f>
        <v>1</v>
      </c>
      <c r="O434" s="14" t="n">
        <v>37.9246203686442</v>
      </c>
      <c r="P434" s="13" t="n">
        <v>5695</v>
      </c>
      <c r="Q434" s="15" t="n">
        <v>-0.00419572341028673</v>
      </c>
      <c r="R434" s="15" t="n">
        <v>0.427041264266901</v>
      </c>
      <c r="S434" s="17" t="b">
        <f aca="false">FALSE()</f>
        <v>0</v>
      </c>
    </row>
    <row r="435" customFormat="false" ht="15" hidden="false" customHeight="true" outlineLevel="0" collapsed="false">
      <c r="A435" s="12" t="n">
        <v>42071</v>
      </c>
      <c r="B435" s="13" t="n">
        <v>122106.795622386</v>
      </c>
      <c r="C435" s="13" t="n">
        <v>121394.812201172</v>
      </c>
      <c r="D435" s="13" t="n">
        <v>2966</v>
      </c>
      <c r="E435" s="14" t="n">
        <v>41.168845455963</v>
      </c>
      <c r="F435" s="14" t="n">
        <v>40.9287971008672</v>
      </c>
      <c r="G435" s="13" t="n">
        <v>711.983421214129</v>
      </c>
      <c r="H435" s="15" t="n">
        <v>0.00583082552928445</v>
      </c>
      <c r="I435" s="15" t="n">
        <v>0.00583082552928443</v>
      </c>
      <c r="J435" s="16" t="n">
        <v>2015</v>
      </c>
      <c r="K435" s="16" t="n">
        <v>3</v>
      </c>
      <c r="L435" s="16" t="n">
        <v>10</v>
      </c>
      <c r="M435" s="16" t="s">
        <v>38</v>
      </c>
      <c r="N435" s="17" t="b">
        <f aca="false">TRUE()</f>
        <v>1</v>
      </c>
      <c r="O435" s="14" t="n">
        <v>37.9289292253995</v>
      </c>
      <c r="P435" s="13" t="n">
        <v>5768.21428571429</v>
      </c>
      <c r="Q435" s="15" t="n">
        <v>0.0854207143921666</v>
      </c>
      <c r="R435" s="15" t="n">
        <v>-0.485802736672652</v>
      </c>
      <c r="S435" s="17" t="b">
        <f aca="false">FALSE()</f>
        <v>0</v>
      </c>
    </row>
    <row r="436" customFormat="false" ht="15" hidden="false" customHeight="true" outlineLevel="0" collapsed="false">
      <c r="A436" s="12" t="n">
        <v>42072</v>
      </c>
      <c r="B436" s="13" t="n">
        <v>117661.280792547</v>
      </c>
      <c r="C436" s="13" t="n">
        <v>116861.158273552</v>
      </c>
      <c r="D436" s="13" t="n">
        <v>2858</v>
      </c>
      <c r="E436" s="14" t="n">
        <v>41.169097548127</v>
      </c>
      <c r="F436" s="14" t="n">
        <v>40.8891386541468</v>
      </c>
      <c r="G436" s="13" t="n">
        <v>800.122518995617</v>
      </c>
      <c r="H436" s="15" t="n">
        <v>0.00680021935513639</v>
      </c>
      <c r="I436" s="15" t="n">
        <v>0.00680021935513639</v>
      </c>
      <c r="J436" s="16" t="n">
        <v>2015</v>
      </c>
      <c r="K436" s="16" t="n">
        <v>3</v>
      </c>
      <c r="L436" s="16" t="n">
        <v>11</v>
      </c>
      <c r="M436" s="16" t="s">
        <v>32</v>
      </c>
      <c r="N436" s="17" t="b">
        <f aca="false">FALSE()</f>
        <v>0</v>
      </c>
      <c r="O436" s="14" t="n">
        <v>38.1760884347258</v>
      </c>
      <c r="P436" s="13" t="n">
        <v>5722.35714285714</v>
      </c>
      <c r="Q436" s="15" t="n">
        <v>0.0784000990179698</v>
      </c>
      <c r="R436" s="15" t="n">
        <v>-0.500555465405115</v>
      </c>
      <c r="S436" s="17" t="b">
        <f aca="false">FALSE()</f>
        <v>0</v>
      </c>
    </row>
    <row r="437" customFormat="false" ht="15" hidden="false" customHeight="true" outlineLevel="0" collapsed="false">
      <c r="A437" s="12" t="n">
        <v>42073</v>
      </c>
      <c r="B437" s="13" t="n">
        <v>62499.7991715604</v>
      </c>
      <c r="C437" s="13" t="n">
        <v>62073.8726541652</v>
      </c>
      <c r="D437" s="13" t="n">
        <v>1518</v>
      </c>
      <c r="E437" s="14" t="n">
        <v>41.1724632223718</v>
      </c>
      <c r="F437" s="14" t="n">
        <v>40.8918792188177</v>
      </c>
      <c r="G437" s="13" t="n">
        <v>425.926517395164</v>
      </c>
      <c r="H437" s="15" t="n">
        <v>0.00681484617616141</v>
      </c>
      <c r="I437" s="15" t="n">
        <v>0.00681484617616155</v>
      </c>
      <c r="J437" s="16" t="n">
        <v>2015</v>
      </c>
      <c r="K437" s="16" t="n">
        <v>3</v>
      </c>
      <c r="L437" s="16" t="n">
        <v>11</v>
      </c>
      <c r="M437" s="16" t="s">
        <v>33</v>
      </c>
      <c r="N437" s="17" t="b">
        <f aca="false">FALSE()</f>
        <v>0</v>
      </c>
      <c r="O437" s="14" t="n">
        <v>38.2362294858252</v>
      </c>
      <c r="P437" s="13" t="n">
        <v>5772.92857142857</v>
      </c>
      <c r="Q437" s="15" t="n">
        <v>0.0767919268199563</v>
      </c>
      <c r="R437" s="15" t="n">
        <v>-0.737048539364769</v>
      </c>
      <c r="S437" s="17" t="b">
        <f aca="false">FALSE()</f>
        <v>0</v>
      </c>
    </row>
    <row r="438" customFormat="false" ht="15" hidden="false" customHeight="true" outlineLevel="0" collapsed="false">
      <c r="A438" s="12" t="n">
        <v>42074</v>
      </c>
      <c r="B438" s="13" t="n">
        <v>57063.9841242704</v>
      </c>
      <c r="C438" s="13" t="n">
        <v>56638.2813706081</v>
      </c>
      <c r="D438" s="13" t="n">
        <v>1386</v>
      </c>
      <c r="E438" s="14" t="n">
        <v>41.1717057173668</v>
      </c>
      <c r="F438" s="14" t="n">
        <v>40.8645608734546</v>
      </c>
      <c r="G438" s="13" t="n">
        <v>425.702753662263</v>
      </c>
      <c r="H438" s="15" t="n">
        <v>0.00746009519305897</v>
      </c>
      <c r="I438" s="15" t="n">
        <v>0.00746009519305904</v>
      </c>
      <c r="J438" s="16" t="n">
        <v>2015</v>
      </c>
      <c r="K438" s="16" t="n">
        <v>3</v>
      </c>
      <c r="L438" s="16" t="n">
        <v>11</v>
      </c>
      <c r="M438" s="16" t="s">
        <v>34</v>
      </c>
      <c r="N438" s="17" t="b">
        <f aca="false">FALSE()</f>
        <v>0</v>
      </c>
      <c r="O438" s="14" t="n">
        <v>38.4816268484311</v>
      </c>
      <c r="P438" s="13" t="n">
        <v>5700.64285714286</v>
      </c>
      <c r="Q438" s="15" t="n">
        <v>0.0699055390649453</v>
      </c>
      <c r="R438" s="15" t="n">
        <v>-0.756869525993309</v>
      </c>
      <c r="S438" s="17" t="b">
        <f aca="false">FALSE()</f>
        <v>0</v>
      </c>
    </row>
    <row r="439" customFormat="false" ht="15" hidden="false" customHeight="true" outlineLevel="0" collapsed="false">
      <c r="A439" s="12" t="n">
        <v>42075</v>
      </c>
      <c r="B439" s="13" t="n">
        <v>48008.4828416603</v>
      </c>
      <c r="C439" s="13" t="n">
        <v>47681.6720788716</v>
      </c>
      <c r="D439" s="13" t="n">
        <v>1166</v>
      </c>
      <c r="E439" s="14" t="n">
        <v>41.1736559533964</v>
      </c>
      <c r="F439" s="14" t="n">
        <v>40.8933722803358</v>
      </c>
      <c r="G439" s="13" t="n">
        <v>326.810762788664</v>
      </c>
      <c r="H439" s="15" t="n">
        <v>0.00680735452246093</v>
      </c>
      <c r="I439" s="15" t="n">
        <v>0.00680735452246106</v>
      </c>
      <c r="J439" s="16" t="n">
        <v>2015</v>
      </c>
      <c r="K439" s="16" t="n">
        <v>3</v>
      </c>
      <c r="L439" s="16" t="n">
        <v>11</v>
      </c>
      <c r="M439" s="16" t="s">
        <v>35</v>
      </c>
      <c r="N439" s="17" t="b">
        <f aca="false">FALSE()</f>
        <v>0</v>
      </c>
      <c r="O439" s="14" t="n">
        <v>38.7242547699773</v>
      </c>
      <c r="P439" s="13" t="n">
        <v>5424.42857142857</v>
      </c>
      <c r="Q439" s="15" t="n">
        <v>0.0632523775594559</v>
      </c>
      <c r="R439" s="15" t="n">
        <v>-0.785046482842169</v>
      </c>
      <c r="S439" s="17" t="b">
        <f aca="false">FALSE()</f>
        <v>0</v>
      </c>
    </row>
    <row r="440" customFormat="false" ht="15" hidden="false" customHeight="true" outlineLevel="0" collapsed="false">
      <c r="A440" s="12" t="n">
        <v>42076</v>
      </c>
      <c r="B440" s="13" t="n">
        <v>117446.839113308</v>
      </c>
      <c r="C440" s="13" t="n">
        <v>116681.141551659</v>
      </c>
      <c r="D440" s="13" t="n">
        <v>2853</v>
      </c>
      <c r="E440" s="14" t="n">
        <v>41.1660845122006</v>
      </c>
      <c r="F440" s="14" t="n">
        <v>40.8977012098348</v>
      </c>
      <c r="G440" s="13" t="n">
        <v>765.69756164962</v>
      </c>
      <c r="H440" s="15" t="n">
        <v>0.0065195246413648</v>
      </c>
      <c r="I440" s="15" t="n">
        <v>0.00651952464136481</v>
      </c>
      <c r="J440" s="16" t="n">
        <v>2015</v>
      </c>
      <c r="K440" s="16" t="n">
        <v>3</v>
      </c>
      <c r="L440" s="16" t="n">
        <v>11</v>
      </c>
      <c r="M440" s="16" t="s">
        <v>36</v>
      </c>
      <c r="N440" s="17" t="b">
        <f aca="false">FALSE()</f>
        <v>0</v>
      </c>
      <c r="O440" s="14" t="n">
        <v>38.97160184301</v>
      </c>
      <c r="P440" s="13" t="n">
        <v>5209.78571428572</v>
      </c>
      <c r="Q440" s="15" t="n">
        <v>0.0563097888054665</v>
      </c>
      <c r="R440" s="15" t="n">
        <v>-0.452376708666383</v>
      </c>
      <c r="S440" s="17" t="b">
        <f aca="false">FALSE()</f>
        <v>0</v>
      </c>
    </row>
    <row r="441" customFormat="false" ht="15" hidden="false" customHeight="true" outlineLevel="0" collapsed="false">
      <c r="A441" s="12" t="n">
        <v>42077</v>
      </c>
      <c r="B441" s="13" t="n">
        <v>150591.547900835</v>
      </c>
      <c r="C441" s="13" t="n">
        <v>149573.82759269</v>
      </c>
      <c r="D441" s="13" t="n">
        <v>3657</v>
      </c>
      <c r="E441" s="14" t="n">
        <v>41.1789849332336</v>
      </c>
      <c r="F441" s="14" t="n">
        <v>40.9006911656247</v>
      </c>
      <c r="G441" s="13" t="n">
        <v>1017.72030814557</v>
      </c>
      <c r="H441" s="15" t="n">
        <v>0.00675815025698346</v>
      </c>
      <c r="I441" s="15" t="n">
        <v>0.00675815025698347</v>
      </c>
      <c r="J441" s="16" t="n">
        <v>2015</v>
      </c>
      <c r="K441" s="16" t="n">
        <v>3</v>
      </c>
      <c r="L441" s="16" t="n">
        <v>11</v>
      </c>
      <c r="M441" s="16" t="s">
        <v>37</v>
      </c>
      <c r="N441" s="17" t="b">
        <f aca="false">TRUE()</f>
        <v>1</v>
      </c>
      <c r="O441" s="14" t="n">
        <v>39.2186584369747</v>
      </c>
      <c r="P441" s="13" t="n">
        <v>4831</v>
      </c>
      <c r="Q441" s="15" t="n">
        <v>0.0499845373193763</v>
      </c>
      <c r="R441" s="15" t="n">
        <v>-0.243013868764231</v>
      </c>
      <c r="S441" s="17" t="b">
        <f aca="false">FALSE()</f>
        <v>0</v>
      </c>
    </row>
    <row r="442" customFormat="false" ht="15" hidden="false" customHeight="true" outlineLevel="0" collapsed="false">
      <c r="A442" s="12" t="n">
        <v>42078</v>
      </c>
      <c r="B442" s="13" t="n">
        <v>67152.4749536404</v>
      </c>
      <c r="C442" s="13" t="n">
        <v>66802.9832178399</v>
      </c>
      <c r="D442" s="13" t="n">
        <v>1631</v>
      </c>
      <c r="E442" s="14" t="n">
        <v>41.172578144476</v>
      </c>
      <c r="F442" s="14" t="n">
        <v>40.9582974971428</v>
      </c>
      <c r="G442" s="13" t="n">
        <v>349.49173580049</v>
      </c>
      <c r="H442" s="15" t="n">
        <v>0.00520445055884785</v>
      </c>
      <c r="I442" s="15" t="n">
        <v>0.00520445055884787</v>
      </c>
      <c r="J442" s="16" t="n">
        <v>2015</v>
      </c>
      <c r="K442" s="16" t="n">
        <v>3</v>
      </c>
      <c r="L442" s="16" t="n">
        <v>11</v>
      </c>
      <c r="M442" s="16" t="s">
        <v>38</v>
      </c>
      <c r="N442" s="17" t="b">
        <f aca="false">TRUE()</f>
        <v>1</v>
      </c>
      <c r="O442" s="14" t="n">
        <v>39.4637798442549</v>
      </c>
      <c r="P442" s="13" t="n">
        <v>4428.21428571429</v>
      </c>
      <c r="Q442" s="15" t="n">
        <v>0.0433004214741959</v>
      </c>
      <c r="R442" s="15" t="n">
        <v>-0.631679974191467</v>
      </c>
      <c r="S442" s="17" t="b">
        <f aca="false">FALSE()</f>
        <v>0</v>
      </c>
    </row>
    <row r="443" customFormat="false" ht="15" hidden="false" customHeight="true" outlineLevel="0" collapsed="false">
      <c r="A443" s="12" t="n">
        <v>42079</v>
      </c>
      <c r="B443" s="13" t="n">
        <v>80635.2892485905</v>
      </c>
      <c r="C443" s="13" t="n">
        <v>80121.2905225416</v>
      </c>
      <c r="D443" s="13" t="n">
        <v>1959</v>
      </c>
      <c r="E443" s="14" t="n">
        <v>41.1614544403218</v>
      </c>
      <c r="F443" s="14" t="n">
        <v>40.8990763259528</v>
      </c>
      <c r="G443" s="13" t="n">
        <v>513.998726048885</v>
      </c>
      <c r="H443" s="15" t="n">
        <v>0.00637436451011267</v>
      </c>
      <c r="I443" s="15" t="n">
        <v>0.00637436451011266</v>
      </c>
      <c r="J443" s="16" t="n">
        <v>2015</v>
      </c>
      <c r="K443" s="16" t="n">
        <v>3</v>
      </c>
      <c r="L443" s="16" t="n">
        <v>12</v>
      </c>
      <c r="M443" s="16" t="s">
        <v>32</v>
      </c>
      <c r="N443" s="17" t="b">
        <f aca="false">FALSE()</f>
        <v>0</v>
      </c>
      <c r="O443" s="14" t="n">
        <v>39.7094225899294</v>
      </c>
      <c r="P443" s="13" t="n">
        <v>4058.78571428571</v>
      </c>
      <c r="Q443" s="15" t="n">
        <v>0.0365664307282246</v>
      </c>
      <c r="R443" s="15" t="n">
        <v>-0.517343329285677</v>
      </c>
      <c r="S443" s="17" t="b">
        <f aca="false">FALSE()</f>
        <v>0</v>
      </c>
    </row>
    <row r="444" customFormat="false" ht="15" hidden="false" customHeight="true" outlineLevel="0" collapsed="false">
      <c r="A444" s="12" t="n">
        <v>42080</v>
      </c>
      <c r="B444" s="13" t="n">
        <v>50669.6370983404</v>
      </c>
      <c r="C444" s="13" t="n">
        <v>50308.957054208</v>
      </c>
      <c r="D444" s="13" t="n">
        <v>1230</v>
      </c>
      <c r="E444" s="14" t="n">
        <v>41.1948269092198</v>
      </c>
      <c r="F444" s="14" t="n">
        <v>40.9015911009821</v>
      </c>
      <c r="G444" s="13" t="n">
        <v>360.680044132343</v>
      </c>
      <c r="H444" s="15" t="n">
        <v>0.00711826775929597</v>
      </c>
      <c r="I444" s="15" t="n">
        <v>0.00711826775929591</v>
      </c>
      <c r="J444" s="16" t="n">
        <v>2015</v>
      </c>
      <c r="K444" s="16" t="n">
        <v>3</v>
      </c>
      <c r="L444" s="16" t="n">
        <v>12</v>
      </c>
      <c r="M444" s="16" t="s">
        <v>33</v>
      </c>
      <c r="N444" s="17" t="b">
        <f aca="false">FALSE()</f>
        <v>0</v>
      </c>
      <c r="O444" s="14" t="n">
        <v>39.9546727253479</v>
      </c>
      <c r="P444" s="13" t="n">
        <v>3754.35714285714</v>
      </c>
      <c r="Q444" s="15" t="n">
        <v>0.0310390274598633</v>
      </c>
      <c r="R444" s="15" t="n">
        <v>-0.67238066246837</v>
      </c>
      <c r="S444" s="17" t="b">
        <f aca="false">FALSE()</f>
        <v>0</v>
      </c>
    </row>
    <row r="445" customFormat="false" ht="15" hidden="false" customHeight="true" outlineLevel="0" collapsed="false">
      <c r="A445" s="12" t="n">
        <v>42081</v>
      </c>
      <c r="B445" s="13" t="n">
        <v>48648.9926649403</v>
      </c>
      <c r="C445" s="13" t="n">
        <v>48362.0687919478</v>
      </c>
      <c r="D445" s="13" t="n">
        <v>1182</v>
      </c>
      <c r="E445" s="14" t="n">
        <v>41.1582002241457</v>
      </c>
      <c r="F445" s="14" t="n">
        <v>40.9154558307511</v>
      </c>
      <c r="G445" s="13" t="n">
        <v>286.923872992476</v>
      </c>
      <c r="H445" s="15" t="n">
        <v>0.00589783790526979</v>
      </c>
      <c r="I445" s="15" t="n">
        <v>0.00589783790526966</v>
      </c>
      <c r="J445" s="16" t="n">
        <v>2015</v>
      </c>
      <c r="K445" s="16" t="n">
        <v>3</v>
      </c>
      <c r="L445" s="16" t="n">
        <v>12</v>
      </c>
      <c r="M445" s="16" t="s">
        <v>34</v>
      </c>
      <c r="N445" s="17" t="b">
        <f aca="false">FALSE()</f>
        <v>0</v>
      </c>
      <c r="O445" s="14" t="n">
        <v>40.2027272151514</v>
      </c>
      <c r="P445" s="13" t="n">
        <v>3370</v>
      </c>
      <c r="Q445" s="15" t="n">
        <v>0.0237663729597488</v>
      </c>
      <c r="R445" s="15" t="n">
        <v>-0.649258160237389</v>
      </c>
      <c r="S445" s="17" t="b">
        <f aca="false">FALSE()</f>
        <v>0</v>
      </c>
    </row>
    <row r="446" customFormat="false" ht="15" hidden="false" customHeight="true" outlineLevel="0" collapsed="false">
      <c r="A446" s="12" t="n">
        <v>42082</v>
      </c>
      <c r="B446" s="13" t="n">
        <v>43213.1776176503</v>
      </c>
      <c r="C446" s="13" t="n">
        <v>42981.2168477546</v>
      </c>
      <c r="D446" s="13" t="n">
        <v>1050</v>
      </c>
      <c r="E446" s="14" t="n">
        <v>41.155407254905</v>
      </c>
      <c r="F446" s="14" t="n">
        <v>40.9344922359567</v>
      </c>
      <c r="G446" s="13" t="n">
        <v>231.96076989569</v>
      </c>
      <c r="H446" s="15" t="n">
        <v>0.00536782487851452</v>
      </c>
      <c r="I446" s="15" t="n">
        <v>0.00536782487851451</v>
      </c>
      <c r="J446" s="16" t="n">
        <v>2015</v>
      </c>
      <c r="K446" s="16" t="n">
        <v>3</v>
      </c>
      <c r="L446" s="16" t="n">
        <v>12</v>
      </c>
      <c r="M446" s="16" t="s">
        <v>35</v>
      </c>
      <c r="N446" s="17" t="b">
        <f aca="false">FALSE()</f>
        <v>0</v>
      </c>
      <c r="O446" s="14" t="n">
        <v>40.4473371394341</v>
      </c>
      <c r="P446" s="13" t="n">
        <v>2965.64285714286</v>
      </c>
      <c r="Q446" s="15" t="n">
        <v>0.0175059760554813</v>
      </c>
      <c r="R446" s="15" t="n">
        <v>-0.645945229894747</v>
      </c>
      <c r="S446" s="17" t="b">
        <f aca="false">FALSE()</f>
        <v>0</v>
      </c>
    </row>
    <row r="447" customFormat="false" ht="15" hidden="false" customHeight="true" outlineLevel="0" collapsed="false">
      <c r="A447" s="12" t="n">
        <v>42083</v>
      </c>
      <c r="B447" s="13" t="n">
        <v>96881.0180945894</v>
      </c>
      <c r="C447" s="13" t="n">
        <v>96453.2872848832</v>
      </c>
      <c r="D447" s="13" t="n">
        <v>2353</v>
      </c>
      <c r="E447" s="14" t="n">
        <v>41.1734033551166</v>
      </c>
      <c r="F447" s="14" t="n">
        <v>40.9916223055177</v>
      </c>
      <c r="G447" s="13" t="n">
        <v>427.730809706191</v>
      </c>
      <c r="H447" s="15" t="n">
        <v>0.00441501150708983</v>
      </c>
      <c r="I447" s="15" t="n">
        <v>0.0044150115070898</v>
      </c>
      <c r="J447" s="16" t="n">
        <v>2015</v>
      </c>
      <c r="K447" s="16" t="n">
        <v>3</v>
      </c>
      <c r="L447" s="16" t="n">
        <v>12</v>
      </c>
      <c r="M447" s="16" t="s">
        <v>36</v>
      </c>
      <c r="N447" s="17" t="b">
        <f aca="false">FALSE()</f>
        <v>0</v>
      </c>
      <c r="O447" s="14" t="n">
        <v>40.6843534922186</v>
      </c>
      <c r="P447" s="13" t="n">
        <v>2765.07142857143</v>
      </c>
      <c r="Q447" s="15" t="n">
        <v>0.0120205882831966</v>
      </c>
      <c r="R447" s="15" t="n">
        <v>-0.149027408230219</v>
      </c>
      <c r="S447" s="17" t="b">
        <f aca="false">FALSE()</f>
        <v>0</v>
      </c>
    </row>
    <row r="448" customFormat="false" ht="15" hidden="false" customHeight="true" outlineLevel="0" collapsed="false">
      <c r="A448" s="12" t="n">
        <v>42084</v>
      </c>
      <c r="B448" s="13" t="n">
        <v>121360.885141236</v>
      </c>
      <c r="C448" s="13" t="n">
        <v>120829.28797107</v>
      </c>
      <c r="D448" s="13" t="n">
        <v>2947</v>
      </c>
      <c r="E448" s="14" t="n">
        <v>41.1811622467718</v>
      </c>
      <c r="F448" s="14" t="n">
        <v>41.0007763729455</v>
      </c>
      <c r="G448" s="13" t="n">
        <v>531.597170165987</v>
      </c>
      <c r="H448" s="15" t="n">
        <v>0.00438030070024069</v>
      </c>
      <c r="I448" s="15" t="n">
        <v>0.00438030070024053</v>
      </c>
      <c r="J448" s="16" t="n">
        <v>2015</v>
      </c>
      <c r="K448" s="16" t="n">
        <v>3</v>
      </c>
      <c r="L448" s="16" t="n">
        <v>12</v>
      </c>
      <c r="M448" s="16" t="s">
        <v>37</v>
      </c>
      <c r="N448" s="17" t="b">
        <f aca="false">TRUE()</f>
        <v>1</v>
      </c>
      <c r="O448" s="14" t="n">
        <v>40.9273004872844</v>
      </c>
      <c r="P448" s="13" t="n">
        <v>2424</v>
      </c>
      <c r="Q448" s="15" t="n">
        <v>0.006202748690113</v>
      </c>
      <c r="R448" s="15" t="n">
        <v>0.215759075907591</v>
      </c>
      <c r="S448" s="17" t="b">
        <f aca="false">FALSE()</f>
        <v>0</v>
      </c>
    </row>
    <row r="449" customFormat="false" ht="15" hidden="false" customHeight="true" outlineLevel="0" collapsed="false">
      <c r="A449" s="12" t="n">
        <v>42085</v>
      </c>
      <c r="B449" s="13" t="n">
        <v>66954.3663719704</v>
      </c>
      <c r="C449" s="13" t="n">
        <v>66756.3764436421</v>
      </c>
      <c r="D449" s="13" t="n">
        <v>1626</v>
      </c>
      <c r="E449" s="14" t="n">
        <v>41.1773470922327</v>
      </c>
      <c r="F449" s="14" t="n">
        <v>41.0555820686606</v>
      </c>
      <c r="G449" s="13" t="n">
        <v>197.989928328258</v>
      </c>
      <c r="H449" s="15" t="n">
        <v>0.00295708762634402</v>
      </c>
      <c r="I449" s="15" t="n">
        <v>0.00295708762634391</v>
      </c>
      <c r="J449" s="16" t="n">
        <v>2015</v>
      </c>
      <c r="K449" s="16" t="n">
        <v>3</v>
      </c>
      <c r="L449" s="16" t="n">
        <v>12</v>
      </c>
      <c r="M449" s="16" t="s">
        <v>38</v>
      </c>
      <c r="N449" s="17" t="b">
        <f aca="false">TRUE()</f>
        <v>1</v>
      </c>
      <c r="O449" s="14" t="n">
        <v>41.1712764226869</v>
      </c>
      <c r="P449" s="13" t="n">
        <v>2054</v>
      </c>
      <c r="Q449" s="15" t="n">
        <v>0.000147449145941391</v>
      </c>
      <c r="R449" s="15" t="n">
        <v>-0.208373904576436</v>
      </c>
      <c r="S449" s="17" t="b">
        <f aca="false">FALSE()</f>
        <v>0</v>
      </c>
    </row>
    <row r="450" customFormat="false" ht="15" hidden="false" customHeight="true" outlineLevel="0" collapsed="false">
      <c r="A450" s="12" t="n">
        <v>42086</v>
      </c>
      <c r="B450" s="13" t="n">
        <v>81342.1507639304</v>
      </c>
      <c r="C450" s="13" t="n">
        <v>81132.0128972359</v>
      </c>
      <c r="D450" s="13" t="n">
        <v>1976</v>
      </c>
      <c r="E450" s="14" t="n">
        <v>41.1650560546206</v>
      </c>
      <c r="F450" s="14" t="n">
        <v>41.0587109803826</v>
      </c>
      <c r="G450" s="13" t="n">
        <v>210.137866694451</v>
      </c>
      <c r="H450" s="15" t="n">
        <v>0.00258338222829034</v>
      </c>
      <c r="I450" s="15" t="n">
        <v>0.0025833822282904</v>
      </c>
      <c r="J450" s="16" t="n">
        <v>2015</v>
      </c>
      <c r="K450" s="16" t="n">
        <v>3</v>
      </c>
      <c r="L450" s="16" t="n">
        <v>13</v>
      </c>
      <c r="M450" s="16" t="s">
        <v>32</v>
      </c>
      <c r="N450" s="17" t="b">
        <f aca="false">FALSE()</f>
        <v>0</v>
      </c>
      <c r="O450" s="14" t="n">
        <v>41.1718836824204</v>
      </c>
      <c r="P450" s="13" t="n">
        <v>1958.28571428571</v>
      </c>
      <c r="Q450" s="15" t="n">
        <v>-0.000165832291095484</v>
      </c>
      <c r="R450" s="15" t="n">
        <v>0.00904581266413776</v>
      </c>
      <c r="S450" s="17" t="b">
        <f aca="false">FALSE()</f>
        <v>0</v>
      </c>
    </row>
    <row r="451" customFormat="false" ht="15" hidden="false" customHeight="true" outlineLevel="0" collapsed="false">
      <c r="A451" s="12" t="n">
        <v>42087</v>
      </c>
      <c r="B451" s="13" t="n">
        <v>125060.707911736</v>
      </c>
      <c r="C451" s="13" t="n">
        <v>136375.152713517</v>
      </c>
      <c r="D451" s="13" t="n">
        <v>3312</v>
      </c>
      <c r="E451" s="14" t="n">
        <v>37.7598755772151</v>
      </c>
      <c r="F451" s="14" t="n">
        <v>41.1760726792019</v>
      </c>
      <c r="G451" s="13" t="n">
        <v>-11314.4448017803</v>
      </c>
      <c r="H451" s="15" t="n">
        <v>-0.09047161966943</v>
      </c>
      <c r="I451" s="15" t="n">
        <v>-0.09047161966943</v>
      </c>
      <c r="J451" s="16" t="n">
        <v>2015</v>
      </c>
      <c r="K451" s="16" t="n">
        <v>3</v>
      </c>
      <c r="L451" s="16" t="n">
        <v>13</v>
      </c>
      <c r="M451" s="16" t="s">
        <v>33</v>
      </c>
      <c r="N451" s="17" t="b">
        <f aca="false">FALSE()</f>
        <v>0</v>
      </c>
      <c r="O451" s="14" t="n">
        <v>41.1715950043128</v>
      </c>
      <c r="P451" s="13" t="n">
        <v>1895.28571428571</v>
      </c>
      <c r="Q451" s="15" t="n">
        <v>-0.0828658551299828</v>
      </c>
      <c r="R451" s="15" t="n">
        <v>0.747493781563277</v>
      </c>
      <c r="S451" s="17" t="b">
        <f aca="false">TRUE()</f>
        <v>1</v>
      </c>
    </row>
    <row r="452" customFormat="false" ht="15" hidden="false" customHeight="true" outlineLevel="0" collapsed="false">
      <c r="A452" s="12" t="n">
        <v>42088</v>
      </c>
      <c r="B452" s="13" t="n">
        <v>253218.831241984</v>
      </c>
      <c r="C452" s="13" t="n">
        <v>276194.829484043</v>
      </c>
      <c r="D452" s="13" t="n">
        <v>6704</v>
      </c>
      <c r="E452" s="14" t="n">
        <v>37.771305376191</v>
      </c>
      <c r="F452" s="14" t="n">
        <v>41.1985127511997</v>
      </c>
      <c r="G452" s="13" t="n">
        <v>-22975.9982420585</v>
      </c>
      <c r="H452" s="15" t="n">
        <v>-0.090735740818983</v>
      </c>
      <c r="I452" s="15" t="n">
        <v>-0.0907357408189829</v>
      </c>
      <c r="J452" s="16" t="n">
        <v>2015</v>
      </c>
      <c r="K452" s="16" t="n">
        <v>3</v>
      </c>
      <c r="L452" s="16" t="n">
        <v>13</v>
      </c>
      <c r="M452" s="16" t="s">
        <v>34</v>
      </c>
      <c r="N452" s="17" t="b">
        <f aca="false">FALSE()</f>
        <v>0</v>
      </c>
      <c r="O452" s="14" t="n">
        <v>40.9278387439445</v>
      </c>
      <c r="P452" s="13" t="n">
        <v>2023.42857142857</v>
      </c>
      <c r="Q452" s="15" t="n">
        <v>-0.0771243599619717</v>
      </c>
      <c r="R452" s="15" t="n">
        <v>2.31318836486868</v>
      </c>
      <c r="S452" s="17" t="b">
        <f aca="false">TRUE()</f>
        <v>1</v>
      </c>
    </row>
    <row r="453" customFormat="false" ht="15" hidden="false" customHeight="true" outlineLevel="0" collapsed="false">
      <c r="A453" s="12" t="n">
        <v>42089</v>
      </c>
      <c r="B453" s="13" t="n">
        <v>229184.471880467</v>
      </c>
      <c r="C453" s="13" t="n">
        <v>250361.150209326</v>
      </c>
      <c r="D453" s="13" t="n">
        <v>6077</v>
      </c>
      <c r="E453" s="14" t="n">
        <v>37.7134230509243</v>
      </c>
      <c r="F453" s="14" t="n">
        <v>41.1981487920562</v>
      </c>
      <c r="G453" s="13" t="n">
        <v>-21176.678328859</v>
      </c>
      <c r="H453" s="15" t="n">
        <v>-0.0924001445434049</v>
      </c>
      <c r="I453" s="15" t="n">
        <v>-0.092400144543405</v>
      </c>
      <c r="J453" s="16" t="n">
        <v>2015</v>
      </c>
      <c r="K453" s="16" t="n">
        <v>3</v>
      </c>
      <c r="L453" s="16" t="n">
        <v>13</v>
      </c>
      <c r="M453" s="16" t="s">
        <v>35</v>
      </c>
      <c r="N453" s="17" t="b">
        <f aca="false">FALSE()</f>
        <v>0</v>
      </c>
      <c r="O453" s="14" t="n">
        <v>40.6849530052891</v>
      </c>
      <c r="P453" s="13" t="n">
        <v>2403.28571428571</v>
      </c>
      <c r="Q453" s="15" t="n">
        <v>-0.0730375663449459</v>
      </c>
      <c r="R453" s="15" t="n">
        <v>1.52862153004815</v>
      </c>
      <c r="S453" s="17" t="b">
        <f aca="false">TRUE()</f>
        <v>1</v>
      </c>
    </row>
    <row r="454" customFormat="false" ht="15" hidden="false" customHeight="true" outlineLevel="0" collapsed="false">
      <c r="A454" s="12" t="n">
        <v>42090</v>
      </c>
      <c r="B454" s="13" t="n">
        <v>354191.35095057</v>
      </c>
      <c r="C454" s="13" t="n">
        <v>386464.651326986</v>
      </c>
      <c r="D454" s="13" t="n">
        <v>9386</v>
      </c>
      <c r="E454" s="14" t="n">
        <v>37.7361337045141</v>
      </c>
      <c r="F454" s="14" t="n">
        <v>41.1745846289139</v>
      </c>
      <c r="G454" s="13" t="n">
        <v>-32273.3003764164</v>
      </c>
      <c r="H454" s="15" t="n">
        <v>-0.0911182621760867</v>
      </c>
      <c r="I454" s="15" t="n">
        <v>-0.0911182621760869</v>
      </c>
      <c r="J454" s="16" t="n">
        <v>2015</v>
      </c>
      <c r="K454" s="16" t="n">
        <v>3</v>
      </c>
      <c r="L454" s="16" t="n">
        <v>13</v>
      </c>
      <c r="M454" s="16" t="s">
        <v>36</v>
      </c>
      <c r="N454" s="17" t="b">
        <f aca="false">FALSE()</f>
        <v>0</v>
      </c>
      <c r="O454" s="14" t="n">
        <v>40.4377935122553</v>
      </c>
      <c r="P454" s="13" t="n">
        <v>2754.07142857143</v>
      </c>
      <c r="Q454" s="15" t="n">
        <v>-0.0668102676502961</v>
      </c>
      <c r="R454" s="15" t="n">
        <v>2.40804523173483</v>
      </c>
      <c r="S454" s="17" t="b">
        <f aca="false">TRUE()</f>
        <v>1</v>
      </c>
    </row>
    <row r="455" customFormat="false" ht="15" hidden="false" customHeight="true" outlineLevel="0" collapsed="false">
      <c r="A455" s="12" t="n">
        <v>42091</v>
      </c>
      <c r="B455" s="13" t="n">
        <v>459484.666635486</v>
      </c>
      <c r="C455" s="13" t="n">
        <v>501362.572490348</v>
      </c>
      <c r="D455" s="13" t="n">
        <v>12181</v>
      </c>
      <c r="E455" s="14" t="n">
        <v>37.7214240731866</v>
      </c>
      <c r="F455" s="14" t="n">
        <v>41.1593935219069</v>
      </c>
      <c r="G455" s="13" t="n">
        <v>-41877.905854862</v>
      </c>
      <c r="H455" s="15" t="n">
        <v>-0.0911410301490737</v>
      </c>
      <c r="I455" s="15" t="n">
        <v>-0.0911410301490737</v>
      </c>
      <c r="J455" s="16" t="n">
        <v>2015</v>
      </c>
      <c r="K455" s="16" t="n">
        <v>3</v>
      </c>
      <c r="L455" s="16" t="n">
        <v>13</v>
      </c>
      <c r="M455" s="16" t="s">
        <v>37</v>
      </c>
      <c r="N455" s="17" t="b">
        <f aca="false">TRUE()</f>
        <v>1</v>
      </c>
      <c r="O455" s="14" t="n">
        <v>40.192797025992</v>
      </c>
      <c r="P455" s="13" t="n">
        <v>3220.71428571429</v>
      </c>
      <c r="Q455" s="15" t="n">
        <v>-0.0614879564417273</v>
      </c>
      <c r="R455" s="15" t="n">
        <v>2.78208028387669</v>
      </c>
      <c r="S455" s="17" t="b">
        <f aca="false">TRUE()</f>
        <v>1</v>
      </c>
    </row>
    <row r="456" customFormat="false" ht="15" hidden="false" customHeight="true" outlineLevel="0" collapsed="false">
      <c r="A456" s="12" t="n">
        <v>42092</v>
      </c>
      <c r="B456" s="13" t="n">
        <v>224102.888470814</v>
      </c>
      <c r="C456" s="13" t="n">
        <v>244359.807462233</v>
      </c>
      <c r="D456" s="13" t="n">
        <v>5937</v>
      </c>
      <c r="E456" s="14" t="n">
        <v>37.746823053868</v>
      </c>
      <c r="F456" s="14" t="n">
        <v>41.158801998018</v>
      </c>
      <c r="G456" s="13" t="n">
        <v>-20256.9189914187</v>
      </c>
      <c r="H456" s="15" t="n">
        <v>-0.0903911552842695</v>
      </c>
      <c r="I456" s="15" t="n">
        <v>-0.0903911552842696</v>
      </c>
      <c r="J456" s="16" t="n">
        <v>2015</v>
      </c>
      <c r="K456" s="16" t="n">
        <v>3</v>
      </c>
      <c r="L456" s="16" t="n">
        <v>13</v>
      </c>
      <c r="M456" s="16" t="s">
        <v>38</v>
      </c>
      <c r="N456" s="17" t="b">
        <f aca="false">TRUE()</f>
        <v>1</v>
      </c>
      <c r="O456" s="14" t="n">
        <v>39.9458283931315</v>
      </c>
      <c r="P456" s="13" t="n">
        <v>3829.57142857143</v>
      </c>
      <c r="Q456" s="15" t="n">
        <v>-0.0550496867312844</v>
      </c>
      <c r="R456" s="15" t="n">
        <v>0.550304025068079</v>
      </c>
      <c r="S456" s="17" t="b">
        <f aca="false">TRUE()</f>
        <v>1</v>
      </c>
    </row>
    <row r="457" customFormat="false" ht="15" hidden="false" customHeight="true" outlineLevel="0" collapsed="false">
      <c r="A457" s="12" t="n">
        <v>42093</v>
      </c>
      <c r="B457" s="13" t="n">
        <v>215203.558782358</v>
      </c>
      <c r="C457" s="13" t="n">
        <v>234819.447426689</v>
      </c>
      <c r="D457" s="13" t="n">
        <v>5706</v>
      </c>
      <c r="E457" s="14" t="n">
        <v>37.7153099863929</v>
      </c>
      <c r="F457" s="14" t="n">
        <v>41.1530752587959</v>
      </c>
      <c r="G457" s="13" t="n">
        <v>-19615.8886443313</v>
      </c>
      <c r="H457" s="15" t="n">
        <v>-0.0911503915424068</v>
      </c>
      <c r="I457" s="15" t="n">
        <v>-0.0911503915424067</v>
      </c>
      <c r="J457" s="16" t="n">
        <v>2015</v>
      </c>
      <c r="K457" s="16" t="n">
        <v>3</v>
      </c>
      <c r="L457" s="16" t="n">
        <v>14</v>
      </c>
      <c r="M457" s="16" t="s">
        <v>32</v>
      </c>
      <c r="N457" s="17" t="b">
        <f aca="false">FALSE()</f>
        <v>0</v>
      </c>
      <c r="O457" s="14" t="n">
        <v>39.7011316009452</v>
      </c>
      <c r="P457" s="13" t="n">
        <v>4137.14285714286</v>
      </c>
      <c r="Q457" s="15" t="n">
        <v>-0.0500192698412919</v>
      </c>
      <c r="R457" s="15" t="n">
        <v>0.379212707182321</v>
      </c>
      <c r="S457" s="17" t="b">
        <f aca="false">TRUE()</f>
        <v>1</v>
      </c>
    </row>
    <row r="458" customFormat="false" ht="15" hidden="false" customHeight="true" outlineLevel="0" collapsed="false">
      <c r="A458" s="12" t="n">
        <v>42094</v>
      </c>
      <c r="B458" s="13" t="n">
        <v>355534.912042067</v>
      </c>
      <c r="C458" s="13" t="n">
        <v>386988.914748484</v>
      </c>
      <c r="D458" s="13" t="n">
        <v>9421</v>
      </c>
      <c r="E458" s="14" t="n">
        <v>37.7385534488979</v>
      </c>
      <c r="F458" s="14" t="n">
        <v>41.0772651256219</v>
      </c>
      <c r="G458" s="13" t="n">
        <v>-31454.0027064169</v>
      </c>
      <c r="H458" s="15" t="n">
        <v>-0.0884695191416119</v>
      </c>
      <c r="I458" s="15" t="n">
        <v>-0.088469519141612</v>
      </c>
      <c r="J458" s="16" t="n">
        <v>2015</v>
      </c>
      <c r="K458" s="16" t="n">
        <v>3</v>
      </c>
      <c r="L458" s="16" t="n">
        <v>14</v>
      </c>
      <c r="M458" s="16" t="s">
        <v>33</v>
      </c>
      <c r="N458" s="17" t="b">
        <f aca="false">FALSE()</f>
        <v>0</v>
      </c>
      <c r="O458" s="14" t="n">
        <v>39.4549784256646</v>
      </c>
      <c r="P458" s="13" t="n">
        <v>4404.78571428572</v>
      </c>
      <c r="Q458" s="15" t="n">
        <v>-0.0435033814554111</v>
      </c>
      <c r="R458" s="15" t="n">
        <v>1.13881006048616</v>
      </c>
      <c r="S458" s="17" t="b">
        <f aca="false">FALSE()</f>
        <v>0</v>
      </c>
    </row>
    <row r="459" customFormat="false" ht="15" hidden="false" customHeight="true" outlineLevel="0" collapsed="false">
      <c r="A459" s="12" t="n">
        <v>42095</v>
      </c>
      <c r="B459" s="13" t="n">
        <v>498894.343930156</v>
      </c>
      <c r="C459" s="13" t="n">
        <v>542483.835805509</v>
      </c>
      <c r="D459" s="13" t="n">
        <v>13207</v>
      </c>
      <c r="E459" s="14" t="n">
        <v>37.7749938616004</v>
      </c>
      <c r="F459" s="14" t="n">
        <v>41.0754778379275</v>
      </c>
      <c r="G459" s="13" t="n">
        <v>-43589.4918753525</v>
      </c>
      <c r="H459" s="15" t="n">
        <v>-0.0873721909371955</v>
      </c>
      <c r="I459" s="15" t="n">
        <v>-0.0873721909371955</v>
      </c>
      <c r="J459" s="16" t="n">
        <v>2015</v>
      </c>
      <c r="K459" s="16" t="n">
        <v>4</v>
      </c>
      <c r="L459" s="16" t="n">
        <v>14</v>
      </c>
      <c r="M459" s="16" t="s">
        <v>34</v>
      </c>
      <c r="N459" s="17" t="b">
        <f aca="false">FALSE()</f>
        <v>0</v>
      </c>
      <c r="O459" s="14" t="n">
        <v>39.2081017499273</v>
      </c>
      <c r="P459" s="13" t="n">
        <v>4989.85714285714</v>
      </c>
      <c r="Q459" s="15" t="n">
        <v>-0.0365513203742278</v>
      </c>
      <c r="R459" s="15" t="n">
        <v>1.6467691602966</v>
      </c>
      <c r="S459" s="17" t="b">
        <f aca="false">FALSE()</f>
        <v>0</v>
      </c>
    </row>
    <row r="460" customFormat="false" ht="15" hidden="false" customHeight="true" outlineLevel="0" collapsed="false">
      <c r="A460" s="12" t="n">
        <v>42096</v>
      </c>
      <c r="B460" s="13" t="n">
        <v>715032.189870243</v>
      </c>
      <c r="C460" s="13" t="n">
        <v>777522.192751016</v>
      </c>
      <c r="D460" s="13" t="n">
        <v>18936</v>
      </c>
      <c r="E460" s="14" t="n">
        <v>37.7604663007099</v>
      </c>
      <c r="F460" s="14" t="n">
        <v>41.0605298241981</v>
      </c>
      <c r="G460" s="13" t="n">
        <v>-62490.0028807728</v>
      </c>
      <c r="H460" s="15" t="n">
        <v>-0.0873946708498716</v>
      </c>
      <c r="I460" s="15" t="n">
        <v>-0.0873946708498716</v>
      </c>
      <c r="J460" s="16" t="n">
        <v>2015</v>
      </c>
      <c r="K460" s="16" t="n">
        <v>4</v>
      </c>
      <c r="L460" s="16" t="n">
        <v>14</v>
      </c>
      <c r="M460" s="16" t="s">
        <v>35</v>
      </c>
      <c r="N460" s="17" t="b">
        <f aca="false">FALSE()</f>
        <v>0</v>
      </c>
      <c r="O460" s="14" t="n">
        <v>38.9664441526026</v>
      </c>
      <c r="P460" s="13" t="n">
        <v>5848.78571428572</v>
      </c>
      <c r="Q460" s="15" t="n">
        <v>-0.0309491378574295</v>
      </c>
      <c r="R460" s="15" t="n">
        <v>2.23759510521109</v>
      </c>
      <c r="S460" s="17" t="b">
        <f aca="false">FALSE()</f>
        <v>0</v>
      </c>
    </row>
    <row r="461" customFormat="false" ht="15" hidden="false" customHeight="true" outlineLevel="0" collapsed="false">
      <c r="A461" s="12" t="n">
        <v>42097</v>
      </c>
      <c r="B461" s="13" t="n">
        <v>510289.215605129</v>
      </c>
      <c r="C461" s="13" t="n">
        <v>554159.819413427</v>
      </c>
      <c r="D461" s="13" t="n">
        <v>13503</v>
      </c>
      <c r="E461" s="14" t="n">
        <v>37.7908031996689</v>
      </c>
      <c r="F461" s="14" t="n">
        <v>41.0397555664243</v>
      </c>
      <c r="G461" s="13" t="n">
        <v>-43870.6038082978</v>
      </c>
      <c r="H461" s="15" t="n">
        <v>-0.0859720379476836</v>
      </c>
      <c r="I461" s="15" t="n">
        <v>-0.0859720379476836</v>
      </c>
      <c r="J461" s="16" t="n">
        <v>2015</v>
      </c>
      <c r="K461" s="16" t="n">
        <v>4</v>
      </c>
      <c r="L461" s="16" t="n">
        <v>14</v>
      </c>
      <c r="M461" s="16" t="s">
        <v>36</v>
      </c>
      <c r="N461" s="17" t="b">
        <f aca="false">FALSE()</f>
        <v>0</v>
      </c>
      <c r="O461" s="14" t="n">
        <v>38.7239483701601</v>
      </c>
      <c r="P461" s="13" t="n">
        <v>7126.35714285714</v>
      </c>
      <c r="Q461" s="15" t="n">
        <v>-0.0240973663525052</v>
      </c>
      <c r="R461" s="15" t="n">
        <v>0.89479698102617</v>
      </c>
      <c r="S461" s="17" t="b">
        <f aca="false">FALSE()</f>
        <v>0</v>
      </c>
    </row>
    <row r="462" customFormat="false" ht="15" hidden="false" customHeight="true" outlineLevel="0" collapsed="false">
      <c r="A462" s="12" t="n">
        <v>42098</v>
      </c>
      <c r="B462" s="13" t="n">
        <v>400302.039492411</v>
      </c>
      <c r="C462" s="13" t="n">
        <v>434872.728910346</v>
      </c>
      <c r="D462" s="13" t="n">
        <v>10600</v>
      </c>
      <c r="E462" s="14" t="n">
        <v>37.7643433483407</v>
      </c>
      <c r="F462" s="14" t="n">
        <v>41.0257291424855</v>
      </c>
      <c r="G462" s="13" t="n">
        <v>-34570.6894179349</v>
      </c>
      <c r="H462" s="15" t="n">
        <v>-0.0863615120766585</v>
      </c>
      <c r="I462" s="15" t="n">
        <v>-0.0863615120766583</v>
      </c>
      <c r="J462" s="16" t="n">
        <v>2015</v>
      </c>
      <c r="K462" s="16" t="n">
        <v>4</v>
      </c>
      <c r="L462" s="16" t="n">
        <v>14</v>
      </c>
      <c r="M462" s="16" t="s">
        <v>37</v>
      </c>
      <c r="N462" s="17" t="b">
        <f aca="false">TRUE()</f>
        <v>1</v>
      </c>
      <c r="O462" s="14" t="n">
        <v>38.4823340733424</v>
      </c>
      <c r="P462" s="13" t="n">
        <v>7922.78571428572</v>
      </c>
      <c r="Q462" s="15" t="n">
        <v>-0.0186576709103293</v>
      </c>
      <c r="R462" s="15" t="n">
        <v>0.33791325201273</v>
      </c>
      <c r="S462" s="17" t="b">
        <f aca="false">FALSE()</f>
        <v>0</v>
      </c>
    </row>
    <row r="463" customFormat="false" ht="15" hidden="false" customHeight="true" outlineLevel="0" collapsed="false">
      <c r="A463" s="12" t="n">
        <v>42099</v>
      </c>
      <c r="B463" s="13" t="n">
        <v>135578.203445038</v>
      </c>
      <c r="C463" s="13" t="n">
        <v>147335.925053666</v>
      </c>
      <c r="D463" s="13" t="n">
        <v>3591</v>
      </c>
      <c r="E463" s="14" t="n">
        <v>37.7549995669835</v>
      </c>
      <c r="F463" s="14" t="n">
        <v>41.0292188954792</v>
      </c>
      <c r="G463" s="13" t="n">
        <v>-11757.7216086283</v>
      </c>
      <c r="H463" s="15" t="n">
        <v>-0.0867228013785769</v>
      </c>
      <c r="I463" s="15" t="n">
        <v>-0.0867228013785768</v>
      </c>
      <c r="J463" s="16" t="n">
        <v>2015</v>
      </c>
      <c r="K463" s="16" t="n">
        <v>4</v>
      </c>
      <c r="L463" s="16" t="n">
        <v>14</v>
      </c>
      <c r="M463" s="16" t="s">
        <v>38</v>
      </c>
      <c r="N463" s="17" t="b">
        <f aca="false">TRUE()</f>
        <v>1</v>
      </c>
      <c r="O463" s="14" t="n">
        <v>38.2382755805974</v>
      </c>
      <c r="P463" s="13" t="n">
        <v>8469.42857142857</v>
      </c>
      <c r="Q463" s="15" t="n">
        <v>-0.0126385409978878</v>
      </c>
      <c r="R463" s="15" t="n">
        <v>-0.576004452990588</v>
      </c>
      <c r="S463" s="17" t="b">
        <f aca="false">FALSE()</f>
        <v>0</v>
      </c>
    </row>
    <row r="464" customFormat="false" ht="15" hidden="false" customHeight="true" outlineLevel="0" collapsed="false">
      <c r="A464" s="12" t="n">
        <v>42100</v>
      </c>
      <c r="B464" s="13" t="n">
        <v>182466.25520866</v>
      </c>
      <c r="C464" s="13" t="n">
        <v>198405.229112326</v>
      </c>
      <c r="D464" s="13" t="n">
        <v>4836</v>
      </c>
      <c r="E464" s="14" t="n">
        <v>37.7308220034451</v>
      </c>
      <c r="F464" s="14" t="n">
        <v>41.0267223143767</v>
      </c>
      <c r="G464" s="13" t="n">
        <v>-15938.9739036654</v>
      </c>
      <c r="H464" s="15" t="n">
        <v>-0.0873529951356664</v>
      </c>
      <c r="I464" s="15" t="n">
        <v>-0.0873529951356665</v>
      </c>
      <c r="J464" s="16" t="n">
        <v>2015</v>
      </c>
      <c r="K464" s="16" t="n">
        <v>4</v>
      </c>
      <c r="L464" s="16" t="n">
        <v>15</v>
      </c>
      <c r="M464" s="16" t="s">
        <v>32</v>
      </c>
      <c r="N464" s="17" t="b">
        <f aca="false">FALSE()</f>
        <v>0</v>
      </c>
      <c r="O464" s="14" t="n">
        <v>37.9938221859367</v>
      </c>
      <c r="P464" s="13" t="n">
        <v>8609.78571428571</v>
      </c>
      <c r="Q464" s="15" t="n">
        <v>-0.00692218280131325</v>
      </c>
      <c r="R464" s="15" t="n">
        <v>-0.438313546877722</v>
      </c>
      <c r="S464" s="17" t="b">
        <f aca="false">FALSE()</f>
        <v>0</v>
      </c>
    </row>
    <row r="465" customFormat="false" ht="15" hidden="false" customHeight="true" outlineLevel="0" collapsed="false">
      <c r="A465" s="12" t="n">
        <v>42101</v>
      </c>
      <c r="B465" s="13" t="n">
        <v>176814.20256947</v>
      </c>
      <c r="C465" s="13" t="n">
        <v>178390.149061554</v>
      </c>
      <c r="D465" s="13" t="n">
        <v>4348</v>
      </c>
      <c r="E465" s="14" t="n">
        <v>40.6656399653796</v>
      </c>
      <c r="F465" s="14" t="n">
        <v>41.028093160431</v>
      </c>
      <c r="G465" s="13" t="n">
        <v>-1575.94649208346</v>
      </c>
      <c r="H465" s="15" t="n">
        <v>-0.00891300850939431</v>
      </c>
      <c r="I465" s="15" t="n">
        <v>-0.00891300850939433</v>
      </c>
      <c r="J465" s="16" t="n">
        <v>2015</v>
      </c>
      <c r="K465" s="16" t="n">
        <v>4</v>
      </c>
      <c r="L465" s="16" t="n">
        <v>15</v>
      </c>
      <c r="M465" s="16" t="s">
        <v>33</v>
      </c>
      <c r="N465" s="17" t="b">
        <f aca="false">FALSE()</f>
        <v>0</v>
      </c>
      <c r="O465" s="14" t="n">
        <v>37.7485197537099</v>
      </c>
      <c r="P465" s="13" t="n">
        <v>8814.07142857143</v>
      </c>
      <c r="Q465" s="15" t="n">
        <v>0.0772777377948174</v>
      </c>
      <c r="R465" s="15" t="n">
        <v>-0.506697893789963</v>
      </c>
      <c r="S465" s="17" t="b">
        <f aca="false">FALSE()</f>
        <v>0</v>
      </c>
    </row>
    <row r="466" customFormat="false" ht="15" hidden="false" customHeight="true" outlineLevel="0" collapsed="false">
      <c r="A466" s="12" t="n">
        <v>42102</v>
      </c>
      <c r="B466" s="13" t="n">
        <v>100917.671565199</v>
      </c>
      <c r="C466" s="13" t="n">
        <v>100579.128948365</v>
      </c>
      <c r="D466" s="13" t="n">
        <v>2451</v>
      </c>
      <c r="E466" s="14" t="n">
        <v>41.1740806059563</v>
      </c>
      <c r="F466" s="14" t="n">
        <v>41.0359563232824</v>
      </c>
      <c r="G466" s="13" t="n">
        <v>338.542616833685</v>
      </c>
      <c r="H466" s="15" t="n">
        <v>0.0033546415764752</v>
      </c>
      <c r="I466" s="15" t="n">
        <v>0.00335464157647511</v>
      </c>
      <c r="J466" s="16" t="n">
        <v>2015</v>
      </c>
      <c r="K466" s="16" t="n">
        <v>4</v>
      </c>
      <c r="L466" s="16" t="n">
        <v>15</v>
      </c>
      <c r="M466" s="16" t="s">
        <v>34</v>
      </c>
      <c r="N466" s="17" t="b">
        <f aca="false">FALSE()</f>
        <v>0</v>
      </c>
      <c r="O466" s="14" t="n">
        <v>37.9560743528645</v>
      </c>
      <c r="P466" s="13" t="n">
        <v>8888.07142857143</v>
      </c>
      <c r="Q466" s="15" t="n">
        <v>0.0847823782611205</v>
      </c>
      <c r="R466" s="15" t="n">
        <v>-0.724237139665523</v>
      </c>
      <c r="S466" s="17" t="b">
        <f aca="false">FALSE()</f>
        <v>0</v>
      </c>
    </row>
    <row r="467" customFormat="false" ht="15" hidden="false" customHeight="true" outlineLevel="0" collapsed="false">
      <c r="A467" s="12" t="n">
        <v>42103</v>
      </c>
      <c r="B467" s="13" t="n">
        <v>74690.6727294505</v>
      </c>
      <c r="C467" s="13" t="n">
        <v>74427.585972184</v>
      </c>
      <c r="D467" s="13" t="n">
        <v>1814</v>
      </c>
      <c r="E467" s="14" t="n">
        <v>41.1745715156838</v>
      </c>
      <c r="F467" s="14" t="n">
        <v>41.0295402272238</v>
      </c>
      <c r="G467" s="13" t="n">
        <v>263.08675726653</v>
      </c>
      <c r="H467" s="15" t="n">
        <v>0.00352235088602697</v>
      </c>
      <c r="I467" s="15" t="n">
        <v>0.00352235088602689</v>
      </c>
      <c r="J467" s="16" t="n">
        <v>2015</v>
      </c>
      <c r="K467" s="16" t="n">
        <v>4</v>
      </c>
      <c r="L467" s="16" t="n">
        <v>15</v>
      </c>
      <c r="M467" s="16" t="s">
        <v>35</v>
      </c>
      <c r="N467" s="17" t="b">
        <f aca="false">FALSE()</f>
        <v>0</v>
      </c>
      <c r="O467" s="14" t="n">
        <v>38.1991297264191</v>
      </c>
      <c r="P467" s="13" t="n">
        <v>8584.28571428571</v>
      </c>
      <c r="Q467" s="15" t="n">
        <v>0.0778929208747611</v>
      </c>
      <c r="R467" s="15" t="n">
        <v>-0.788683641204859</v>
      </c>
      <c r="S467" s="17" t="b">
        <f aca="false">FALSE()</f>
        <v>0</v>
      </c>
    </row>
    <row r="468" customFormat="false" ht="15" hidden="false" customHeight="true" outlineLevel="0" collapsed="false">
      <c r="A468" s="12" t="n">
        <v>42104</v>
      </c>
      <c r="B468" s="13" t="n">
        <v>114067.077101728</v>
      </c>
      <c r="C468" s="13" t="n">
        <v>113653.97356322</v>
      </c>
      <c r="D468" s="13" t="n">
        <v>2770</v>
      </c>
      <c r="E468" s="14" t="n">
        <v>41.1794502172301</v>
      </c>
      <c r="F468" s="14" t="n">
        <v>41.0303153657835</v>
      </c>
      <c r="G468" s="13" t="n">
        <v>413.103538507159</v>
      </c>
      <c r="H468" s="15" t="n">
        <v>0.00362158432567484</v>
      </c>
      <c r="I468" s="15" t="n">
        <v>0.00362158432567477</v>
      </c>
      <c r="J468" s="16" t="n">
        <v>2015</v>
      </c>
      <c r="K468" s="16" t="n">
        <v>4</v>
      </c>
      <c r="L468" s="16" t="n">
        <v>15</v>
      </c>
      <c r="M468" s="16" t="s">
        <v>36</v>
      </c>
      <c r="N468" s="17" t="b">
        <f aca="false">FALSE()</f>
        <v>0</v>
      </c>
      <c r="O468" s="14" t="n">
        <v>38.4463546167591</v>
      </c>
      <c r="P468" s="13" t="n">
        <v>8279.78571428571</v>
      </c>
      <c r="Q468" s="15" t="n">
        <v>0.0710885499474544</v>
      </c>
      <c r="R468" s="15" t="n">
        <v>-0.665450279078996</v>
      </c>
      <c r="S468" s="17" t="b">
        <f aca="false">FALSE()</f>
        <v>0</v>
      </c>
    </row>
    <row r="469" customFormat="false" ht="15" hidden="false" customHeight="true" outlineLevel="0" collapsed="false">
      <c r="A469" s="12" t="n">
        <v>42105</v>
      </c>
      <c r="B469" s="13" t="n">
        <v>126507.800941166</v>
      </c>
      <c r="C469" s="13" t="n">
        <v>126043.769159338</v>
      </c>
      <c r="D469" s="13" t="n">
        <v>3072</v>
      </c>
      <c r="E469" s="14" t="n">
        <v>41.1809247855359</v>
      </c>
      <c r="F469" s="14" t="n">
        <v>41.0298727732218</v>
      </c>
      <c r="G469" s="13" t="n">
        <v>464.031781828875</v>
      </c>
      <c r="H469" s="15" t="n">
        <v>0.00366800923244787</v>
      </c>
      <c r="I469" s="15" t="n">
        <v>0.00366800923244792</v>
      </c>
      <c r="J469" s="16" t="n">
        <v>2015</v>
      </c>
      <c r="K469" s="16" t="n">
        <v>4</v>
      </c>
      <c r="L469" s="16" t="n">
        <v>15</v>
      </c>
      <c r="M469" s="16" t="s">
        <v>37</v>
      </c>
      <c r="N469" s="17" t="b">
        <f aca="false">TRUE()</f>
        <v>1</v>
      </c>
      <c r="O469" s="14" t="n">
        <v>38.6923057962388</v>
      </c>
      <c r="P469" s="13" t="n">
        <v>7807.21428571429</v>
      </c>
      <c r="Q469" s="15" t="n">
        <v>0.064318187765874</v>
      </c>
      <c r="R469" s="15" t="n">
        <v>-0.606517781173091</v>
      </c>
      <c r="S469" s="17" t="b">
        <f aca="false">FALSE()</f>
        <v>0</v>
      </c>
    </row>
    <row r="470" customFormat="false" ht="15" hidden="false" customHeight="true" outlineLevel="0" collapsed="false">
      <c r="A470" s="12" t="n">
        <v>42106</v>
      </c>
      <c r="B470" s="13" t="n">
        <v>79648.6293946405</v>
      </c>
      <c r="C470" s="13" t="n">
        <v>79349.4024513427</v>
      </c>
      <c r="D470" s="13" t="n">
        <v>1934</v>
      </c>
      <c r="E470" s="14" t="n">
        <v>41.1833657676528</v>
      </c>
      <c r="F470" s="14" t="n">
        <v>41.0286465622248</v>
      </c>
      <c r="G470" s="13" t="n">
        <v>299.226943297792</v>
      </c>
      <c r="H470" s="15" t="n">
        <v>0.00375683731875902</v>
      </c>
      <c r="I470" s="15" t="n">
        <v>0.00375683731875908</v>
      </c>
      <c r="J470" s="16" t="n">
        <v>2015</v>
      </c>
      <c r="K470" s="16" t="n">
        <v>4</v>
      </c>
      <c r="L470" s="16" t="n">
        <v>15</v>
      </c>
      <c r="M470" s="16" t="s">
        <v>38</v>
      </c>
      <c r="N470" s="17" t="b">
        <f aca="false">TRUE()</f>
        <v>1</v>
      </c>
      <c r="O470" s="14" t="n">
        <v>38.9394129899781</v>
      </c>
      <c r="P470" s="13" t="n">
        <v>7156.57142857143</v>
      </c>
      <c r="Q470" s="15" t="n">
        <v>0.0576267746576526</v>
      </c>
      <c r="R470" s="15" t="n">
        <v>-0.729758862983073</v>
      </c>
      <c r="S470" s="17" t="b">
        <f aca="false">FALSE()</f>
        <v>0</v>
      </c>
    </row>
    <row r="471" customFormat="false" ht="15" hidden="false" customHeight="true" outlineLevel="0" collapsed="false">
      <c r="A471" s="12" t="n">
        <v>42107</v>
      </c>
      <c r="B471" s="13" t="n">
        <v>83137.4324275903</v>
      </c>
      <c r="C471" s="13" t="n">
        <v>82700.354170303</v>
      </c>
      <c r="D471" s="13" t="n">
        <v>2019</v>
      </c>
      <c r="E471" s="14" t="n">
        <v>41.1775296818179</v>
      </c>
      <c r="F471" s="14" t="n">
        <v>40.9610471373467</v>
      </c>
      <c r="G471" s="13" t="n">
        <v>437.0782572873</v>
      </c>
      <c r="H471" s="15" t="n">
        <v>0.00525729800072884</v>
      </c>
      <c r="I471" s="15" t="n">
        <v>0.00525729800072875</v>
      </c>
      <c r="J471" s="16" t="n">
        <v>2015</v>
      </c>
      <c r="K471" s="16" t="n">
        <v>4</v>
      </c>
      <c r="L471" s="16" t="n">
        <v>16</v>
      </c>
      <c r="M471" s="16" t="s">
        <v>32</v>
      </c>
      <c r="N471" s="17" t="b">
        <f aca="false">FALSE()</f>
        <v>0</v>
      </c>
      <c r="O471" s="14" t="n">
        <v>39.184880326677</v>
      </c>
      <c r="P471" s="13" t="n">
        <v>6870.64285714286</v>
      </c>
      <c r="Q471" s="15" t="n">
        <v>0.0508525058269549</v>
      </c>
      <c r="R471" s="15" t="n">
        <v>-0.706141034837663</v>
      </c>
      <c r="S471" s="17" t="b">
        <f aca="false">FALSE()</f>
        <v>0</v>
      </c>
    </row>
    <row r="472" customFormat="false" ht="15" hidden="false" customHeight="true" outlineLevel="0" collapsed="false">
      <c r="A472" s="12" t="n">
        <v>42108</v>
      </c>
      <c r="B472" s="13" t="n">
        <v>40776.0270616703</v>
      </c>
      <c r="C472" s="13" t="n">
        <v>39940.1995792232</v>
      </c>
      <c r="D472" s="13" t="n">
        <v>979</v>
      </c>
      <c r="E472" s="14" t="n">
        <v>41.6506915849543</v>
      </c>
      <c r="F472" s="14" t="n">
        <v>40.7969352188184</v>
      </c>
      <c r="G472" s="13" t="n">
        <v>835.827482447043</v>
      </c>
      <c r="H472" s="15" t="n">
        <v>0.0204980117651709</v>
      </c>
      <c r="I472" s="15" t="n">
        <v>0.0204980117651709</v>
      </c>
      <c r="J472" s="16" t="n">
        <v>2015</v>
      </c>
      <c r="K472" s="16" t="n">
        <v>4</v>
      </c>
      <c r="L472" s="16" t="n">
        <v>16</v>
      </c>
      <c r="M472" s="16" t="s">
        <v>33</v>
      </c>
      <c r="N472" s="17" t="b">
        <f aca="false">FALSE()</f>
        <v>0</v>
      </c>
      <c r="O472" s="14" t="n">
        <v>39.4321817334931</v>
      </c>
      <c r="P472" s="13" t="n">
        <v>6607.28571428572</v>
      </c>
      <c r="Q472" s="15" t="n">
        <v>0.0562614025887611</v>
      </c>
      <c r="R472" s="15" t="n">
        <v>-0.851830230697715</v>
      </c>
      <c r="S472" s="17" t="b">
        <f aca="false">FALSE()</f>
        <v>0</v>
      </c>
    </row>
    <row r="473" customFormat="false" ht="15" hidden="false" customHeight="true" outlineLevel="0" collapsed="false">
      <c r="A473" s="12" t="n">
        <v>42109</v>
      </c>
      <c r="B473" s="13" t="n">
        <v>58278.4579260504</v>
      </c>
      <c r="C473" s="13" t="n">
        <v>56969.9225942395</v>
      </c>
      <c r="D473" s="13" t="n">
        <v>1398</v>
      </c>
      <c r="E473" s="14" t="n">
        <v>41.6870228369459</v>
      </c>
      <c r="F473" s="14" t="n">
        <v>40.751017592446</v>
      </c>
      <c r="G473" s="13" t="n">
        <v>1308.53533181092</v>
      </c>
      <c r="H473" s="15" t="n">
        <v>0.0224531564213885</v>
      </c>
      <c r="I473" s="15" t="n">
        <v>0.0224531564213886</v>
      </c>
      <c r="J473" s="16" t="n">
        <v>2015</v>
      </c>
      <c r="K473" s="16" t="n">
        <v>4</v>
      </c>
      <c r="L473" s="16" t="n">
        <v>16</v>
      </c>
      <c r="M473" s="16" t="s">
        <v>34</v>
      </c>
      <c r="N473" s="17" t="b">
        <f aca="false">FALSE()</f>
        <v>0</v>
      </c>
      <c r="O473" s="14" t="n">
        <v>39.7116201717828</v>
      </c>
      <c r="P473" s="13" t="n">
        <v>6004.28571428572</v>
      </c>
      <c r="Q473" s="15" t="n">
        <v>0.0497436935742739</v>
      </c>
      <c r="R473" s="15" t="n">
        <v>-0.76716630977873</v>
      </c>
      <c r="S473" s="17" t="b">
        <f aca="false">FALSE()</f>
        <v>0</v>
      </c>
    </row>
    <row r="474" customFormat="false" ht="15" hidden="false" customHeight="true" outlineLevel="0" collapsed="false">
      <c r="A474" s="12" t="n">
        <v>42110</v>
      </c>
      <c r="B474" s="13" t="n">
        <v>50000.1014434202</v>
      </c>
      <c r="C474" s="13" t="n">
        <v>48827.8853811728</v>
      </c>
      <c r="D474" s="13" t="n">
        <v>1198</v>
      </c>
      <c r="E474" s="14" t="n">
        <v>41.7363117223875</v>
      </c>
      <c r="F474" s="14" t="n">
        <v>40.7578342079906</v>
      </c>
      <c r="G474" s="13" t="n">
        <v>1172.21606224749</v>
      </c>
      <c r="H474" s="15" t="n">
        <v>0.0234442736796037</v>
      </c>
      <c r="I474" s="15" t="n">
        <v>0.0234442736796038</v>
      </c>
      <c r="J474" s="16" t="n">
        <v>2015</v>
      </c>
      <c r="K474" s="16" t="n">
        <v>4</v>
      </c>
      <c r="L474" s="16" t="n">
        <v>16</v>
      </c>
      <c r="M474" s="16" t="s">
        <v>35</v>
      </c>
      <c r="N474" s="17" t="b">
        <f aca="false">FALSE()</f>
        <v>0</v>
      </c>
      <c r="O474" s="14" t="n">
        <v>39.9910508128789</v>
      </c>
      <c r="P474" s="13" t="n">
        <v>5160.78571428572</v>
      </c>
      <c r="Q474" s="15" t="n">
        <v>0.043641286588713</v>
      </c>
      <c r="R474" s="15" t="n">
        <v>-0.767864804639382</v>
      </c>
      <c r="S474" s="17" t="b">
        <f aca="false">FALSE()</f>
        <v>0</v>
      </c>
    </row>
    <row r="475" customFormat="false" ht="15" hidden="false" customHeight="true" outlineLevel="0" collapsed="false">
      <c r="A475" s="12" t="n">
        <v>42111</v>
      </c>
      <c r="B475" s="13" t="n">
        <v>103911.919082128</v>
      </c>
      <c r="C475" s="13" t="n">
        <v>101408.94958672</v>
      </c>
      <c r="D475" s="13" t="n">
        <v>2485</v>
      </c>
      <c r="E475" s="14" t="n">
        <v>41.8156616024661</v>
      </c>
      <c r="F475" s="14" t="n">
        <v>40.8084304171912</v>
      </c>
      <c r="G475" s="13" t="n">
        <v>2502.96949540796</v>
      </c>
      <c r="H475" s="15" t="n">
        <v>0.0240874147789505</v>
      </c>
      <c r="I475" s="15" t="n">
        <v>0.0240874147789505</v>
      </c>
      <c r="J475" s="16" t="n">
        <v>2015</v>
      </c>
      <c r="K475" s="16" t="n">
        <v>4</v>
      </c>
      <c r="L475" s="16" t="n">
        <v>16</v>
      </c>
      <c r="M475" s="16" t="s">
        <v>36</v>
      </c>
      <c r="N475" s="17" t="b">
        <f aca="false">FALSE()</f>
        <v>0</v>
      </c>
      <c r="O475" s="14" t="n">
        <v>40.2750397715702</v>
      </c>
      <c r="P475" s="13" t="n">
        <v>3893.78571428571</v>
      </c>
      <c r="Q475" s="15" t="n">
        <v>0.0382525216519694</v>
      </c>
      <c r="R475" s="15" t="n">
        <v>-0.361803606479189</v>
      </c>
      <c r="S475" s="17" t="b">
        <f aca="false">FALSE()</f>
        <v>0</v>
      </c>
    </row>
    <row r="476" customFormat="false" ht="15" hidden="false" customHeight="true" outlineLevel="0" collapsed="false">
      <c r="A476" s="12" t="n">
        <v>42112</v>
      </c>
      <c r="B476" s="13" t="n">
        <v>132843.222616576</v>
      </c>
      <c r="C476" s="13" t="n">
        <v>129545.532123517</v>
      </c>
      <c r="D476" s="13" t="n">
        <v>3172</v>
      </c>
      <c r="E476" s="14" t="n">
        <v>41.8799566887063</v>
      </c>
      <c r="F476" s="14" t="n">
        <v>40.8403316908945</v>
      </c>
      <c r="G476" s="13" t="n">
        <v>3297.69049305916</v>
      </c>
      <c r="H476" s="15" t="n">
        <v>0.0248239272437499</v>
      </c>
      <c r="I476" s="15" t="n">
        <v>0.0248239272437499</v>
      </c>
      <c r="J476" s="16" t="n">
        <v>2015</v>
      </c>
      <c r="K476" s="16" t="n">
        <v>4</v>
      </c>
      <c r="L476" s="16" t="n">
        <v>16</v>
      </c>
      <c r="M476" s="16" t="s">
        <v>37</v>
      </c>
      <c r="N476" s="17" t="b">
        <f aca="false">TRUE()</f>
        <v>1</v>
      </c>
      <c r="O476" s="14" t="n">
        <v>40.5625296574842</v>
      </c>
      <c r="P476" s="13" t="n">
        <v>3106.78571428571</v>
      </c>
      <c r="Q476" s="15" t="n">
        <v>0.0324789169301471</v>
      </c>
      <c r="R476" s="15" t="n">
        <v>0.0209909184963789</v>
      </c>
      <c r="S476" s="17" t="b">
        <f aca="false">FALSE()</f>
        <v>0</v>
      </c>
    </row>
    <row r="477" customFormat="false" ht="15" hidden="false" customHeight="true" outlineLevel="0" collapsed="false">
      <c r="A477" s="12" t="n">
        <v>42113</v>
      </c>
      <c r="B477" s="13" t="n">
        <v>62786.61127718</v>
      </c>
      <c r="C477" s="13" t="n">
        <v>61213.2559050666</v>
      </c>
      <c r="D477" s="13" t="n">
        <v>1497</v>
      </c>
      <c r="E477" s="14" t="n">
        <v>41.9416240996526</v>
      </c>
      <c r="F477" s="14" t="n">
        <v>40.8906185070585</v>
      </c>
      <c r="G477" s="13" t="n">
        <v>1573.35537211343</v>
      </c>
      <c r="H477" s="15" t="n">
        <v>0.0250587719277863</v>
      </c>
      <c r="I477" s="15" t="n">
        <v>0.0250587719277864</v>
      </c>
      <c r="J477" s="16" t="n">
        <v>2015</v>
      </c>
      <c r="K477" s="16" t="n">
        <v>4</v>
      </c>
      <c r="L477" s="16" t="n">
        <v>16</v>
      </c>
      <c r="M477" s="16" t="s">
        <v>38</v>
      </c>
      <c r="N477" s="17" t="b">
        <f aca="false">TRUE()</f>
        <v>1</v>
      </c>
      <c r="O477" s="14" t="n">
        <v>40.8565020389389</v>
      </c>
      <c r="P477" s="13" t="n">
        <v>2576.21428571429</v>
      </c>
      <c r="Q477" s="15" t="n">
        <v>0.0265593481223506</v>
      </c>
      <c r="R477" s="15" t="n">
        <v>-0.418914797460282</v>
      </c>
      <c r="S477" s="17" t="b">
        <f aca="false">FALSE()</f>
        <v>0</v>
      </c>
    </row>
    <row r="478" customFormat="false" ht="15" hidden="false" customHeight="true" outlineLevel="0" collapsed="false">
      <c r="A478" s="12" t="n">
        <v>42114</v>
      </c>
      <c r="B478" s="13" t="n">
        <v>57233.4066415601</v>
      </c>
      <c r="C478" s="13" t="n">
        <v>55706.8754255965</v>
      </c>
      <c r="D478" s="13" t="n">
        <v>1365</v>
      </c>
      <c r="E478" s="14" t="n">
        <v>41.9292356348426</v>
      </c>
      <c r="F478" s="14" t="n">
        <v>40.8108977476898</v>
      </c>
      <c r="G478" s="13" t="n">
        <v>1526.5312159636</v>
      </c>
      <c r="H478" s="15" t="n">
        <v>0.0266720313456776</v>
      </c>
      <c r="I478" s="15" t="n">
        <v>0.0266720313456775</v>
      </c>
      <c r="J478" s="16" t="n">
        <v>2015</v>
      </c>
      <c r="K478" s="16" t="n">
        <v>4</v>
      </c>
      <c r="L478" s="16" t="n">
        <v>17</v>
      </c>
      <c r="M478" s="16" t="s">
        <v>32</v>
      </c>
      <c r="N478" s="17" t="b">
        <f aca="false">FALSE()</f>
        <v>0</v>
      </c>
      <c r="O478" s="14" t="n">
        <v>41.1555466484153</v>
      </c>
      <c r="P478" s="13" t="n">
        <v>2426.64285714286</v>
      </c>
      <c r="Q478" s="15" t="n">
        <v>0.0187991425077347</v>
      </c>
      <c r="R478" s="15" t="n">
        <v>-0.437494480911312</v>
      </c>
      <c r="S478" s="17" t="b">
        <f aca="false">FALSE()</f>
        <v>0</v>
      </c>
    </row>
    <row r="479" customFormat="false" ht="15" hidden="false" customHeight="true" outlineLevel="0" collapsed="false">
      <c r="A479" s="12" t="n">
        <v>42115</v>
      </c>
      <c r="B479" s="13" t="n">
        <v>56874.34545501</v>
      </c>
      <c r="C479" s="13" t="n">
        <v>55172.1712255487</v>
      </c>
      <c r="D479" s="13" t="n">
        <v>1353</v>
      </c>
      <c r="E479" s="14" t="n">
        <v>42.0357320436142</v>
      </c>
      <c r="F479" s="14" t="n">
        <v>40.7776579641897</v>
      </c>
      <c r="G479" s="13" t="n">
        <v>1702.17422946135</v>
      </c>
      <c r="H479" s="15" t="n">
        <v>0.0299286825341637</v>
      </c>
      <c r="I479" s="15" t="n">
        <v>0.0299286825341637</v>
      </c>
      <c r="J479" s="16" t="n">
        <v>2015</v>
      </c>
      <c r="K479" s="16" t="n">
        <v>4</v>
      </c>
      <c r="L479" s="16" t="n">
        <v>17</v>
      </c>
      <c r="M479" s="16" t="s">
        <v>33</v>
      </c>
      <c r="N479" s="17" t="b">
        <f aca="false">FALSE()</f>
        <v>0</v>
      </c>
      <c r="O479" s="14" t="n">
        <v>41.4554333363723</v>
      </c>
      <c r="P479" s="13" t="n">
        <v>2178.71428571429</v>
      </c>
      <c r="Q479" s="15" t="n">
        <v>0.013998133912468</v>
      </c>
      <c r="R479" s="15" t="n">
        <v>-0.37899154153826</v>
      </c>
      <c r="S479" s="17" t="b">
        <f aca="false">FALSE()</f>
        <v>0</v>
      </c>
    </row>
    <row r="480" customFormat="false" ht="15" hidden="false" customHeight="true" outlineLevel="0" collapsed="false">
      <c r="A480" s="12" t="n">
        <v>42116</v>
      </c>
      <c r="B480" s="13" t="n">
        <v>132737.737016899</v>
      </c>
      <c r="C480" s="13" t="n">
        <v>140263.930102392</v>
      </c>
      <c r="D480" s="13" t="n">
        <v>3439</v>
      </c>
      <c r="E480" s="14" t="n">
        <v>38.5977717408836</v>
      </c>
      <c r="F480" s="14" t="n">
        <v>40.7862547549846</v>
      </c>
      <c r="G480" s="13" t="n">
        <v>-7526.19308549323</v>
      </c>
      <c r="H480" s="15" t="n">
        <v>-0.056699724242964</v>
      </c>
      <c r="I480" s="15" t="n">
        <v>-0.056699724242964</v>
      </c>
      <c r="J480" s="16" t="n">
        <v>2015</v>
      </c>
      <c r="K480" s="16" t="n">
        <v>4</v>
      </c>
      <c r="L480" s="16" t="n">
        <v>17</v>
      </c>
      <c r="M480" s="16" t="s">
        <v>34</v>
      </c>
      <c r="N480" s="17" t="b">
        <f aca="false">FALSE()</f>
        <v>0</v>
      </c>
      <c r="O480" s="14" t="n">
        <v>41.5532970562462</v>
      </c>
      <c r="P480" s="13" t="n">
        <v>1964.78571428571</v>
      </c>
      <c r="Q480" s="15" t="n">
        <v>-0.0711261325752807</v>
      </c>
      <c r="R480" s="15" t="n">
        <v>0.750318100847057</v>
      </c>
      <c r="S480" s="17" t="b">
        <f aca="false">TRUE()</f>
        <v>1</v>
      </c>
    </row>
    <row r="481" customFormat="false" ht="15" hidden="false" customHeight="true" outlineLevel="0" collapsed="false">
      <c r="A481" s="12" t="n">
        <v>42117</v>
      </c>
      <c r="B481" s="13" t="n">
        <v>60310.33894812</v>
      </c>
      <c r="C481" s="13" t="n">
        <v>58446.0549299014</v>
      </c>
      <c r="D481" s="13" t="n">
        <v>1434</v>
      </c>
      <c r="E481" s="14" t="n">
        <v>42.0574190712134</v>
      </c>
      <c r="F481" s="14" t="n">
        <v>40.7573604811028</v>
      </c>
      <c r="G481" s="13" t="n">
        <v>1864.28401821864</v>
      </c>
      <c r="H481" s="15" t="n">
        <v>0.0309115161800422</v>
      </c>
      <c r="I481" s="15" t="n">
        <v>0.0309115161800423</v>
      </c>
      <c r="J481" s="16" t="n">
        <v>2015</v>
      </c>
      <c r="K481" s="16" t="n">
        <v>4</v>
      </c>
      <c r="L481" s="16" t="n">
        <v>17</v>
      </c>
      <c r="M481" s="16" t="s">
        <v>35</v>
      </c>
      <c r="N481" s="17" t="b">
        <f aca="false">FALSE()</f>
        <v>0</v>
      </c>
      <c r="O481" s="14" t="n">
        <v>41.3692749944553</v>
      </c>
      <c r="P481" s="13" t="n">
        <v>2035.35714285714</v>
      </c>
      <c r="Q481" s="15" t="n">
        <v>0.0166341826597242</v>
      </c>
      <c r="R481" s="15" t="n">
        <v>-0.295455343042639</v>
      </c>
      <c r="S481" s="17" t="b">
        <f aca="false">FALSE()</f>
        <v>0</v>
      </c>
    </row>
    <row r="482" customFormat="false" ht="15" hidden="false" customHeight="true" outlineLevel="0" collapsed="false">
      <c r="A482" s="12" t="n">
        <v>42118</v>
      </c>
      <c r="B482" s="13" t="n">
        <v>343587.008478719</v>
      </c>
      <c r="C482" s="13" t="n">
        <v>362390.596041908</v>
      </c>
      <c r="D482" s="13" t="n">
        <v>8892</v>
      </c>
      <c r="E482" s="14" t="n">
        <v>38.6400144487988</v>
      </c>
      <c r="F482" s="14" t="n">
        <v>40.7546779174436</v>
      </c>
      <c r="G482" s="13" t="n">
        <v>-18803.587563189</v>
      </c>
      <c r="H482" s="15" t="n">
        <v>-0.0547272949767357</v>
      </c>
      <c r="I482" s="15" t="n">
        <v>-0.0547272949767357</v>
      </c>
      <c r="J482" s="16" t="n">
        <v>2015</v>
      </c>
      <c r="K482" s="16" t="n">
        <v>4</v>
      </c>
      <c r="L482" s="16" t="n">
        <v>17</v>
      </c>
      <c r="M482" s="16" t="s">
        <v>36</v>
      </c>
      <c r="N482" s="17" t="b">
        <f aca="false">FALSE()</f>
        <v>0</v>
      </c>
      <c r="O482" s="14" t="n">
        <v>41.432335534136</v>
      </c>
      <c r="P482" s="13" t="n">
        <v>2008.21428571429</v>
      </c>
      <c r="Q482" s="15" t="n">
        <v>-0.0673947304524153</v>
      </c>
      <c r="R482" s="15" t="n">
        <v>3.42781433398542</v>
      </c>
      <c r="S482" s="17" t="b">
        <f aca="false">TRUE()</f>
        <v>1</v>
      </c>
    </row>
    <row r="483" customFormat="false" ht="15" hidden="false" customHeight="true" outlineLevel="0" collapsed="false">
      <c r="A483" s="12" t="n">
        <v>42119</v>
      </c>
      <c r="B483" s="13" t="n">
        <v>496882.315023703</v>
      </c>
      <c r="C483" s="13" t="n">
        <v>535306.009870188</v>
      </c>
      <c r="D483" s="13" t="n">
        <v>13144</v>
      </c>
      <c r="E483" s="14" t="n">
        <v>37.8029758843353</v>
      </c>
      <c r="F483" s="14" t="n">
        <v>40.7262636845852</v>
      </c>
      <c r="G483" s="13" t="n">
        <v>-38423.6948464855</v>
      </c>
      <c r="H483" s="15" t="n">
        <v>-0.0773295681587149</v>
      </c>
      <c r="I483" s="15" t="n">
        <v>-0.0773295681587149</v>
      </c>
      <c r="J483" s="16" t="n">
        <v>2015</v>
      </c>
      <c r="K483" s="16" t="n">
        <v>4</v>
      </c>
      <c r="L483" s="16" t="n">
        <v>17</v>
      </c>
      <c r="M483" s="16" t="s">
        <v>37</v>
      </c>
      <c r="N483" s="17" t="b">
        <f aca="false">TRUE()</f>
        <v>1</v>
      </c>
      <c r="O483" s="14" t="n">
        <v>41.2509472649623</v>
      </c>
      <c r="P483" s="13" t="n">
        <v>2445.5</v>
      </c>
      <c r="Q483" s="15" t="n">
        <v>-0.083585265532936</v>
      </c>
      <c r="R483" s="15" t="n">
        <v>4.374769985688</v>
      </c>
      <c r="S483" s="17" t="b">
        <f aca="false">TRUE()</f>
        <v>1</v>
      </c>
    </row>
    <row r="484" customFormat="false" ht="15" hidden="false" customHeight="true" outlineLevel="0" collapsed="false">
      <c r="A484" s="12" t="n">
        <v>42120</v>
      </c>
      <c r="B484" s="13" t="n">
        <v>200369.829861661</v>
      </c>
      <c r="C484" s="13" t="n">
        <v>210964.768086997</v>
      </c>
      <c r="D484" s="13" t="n">
        <v>5179</v>
      </c>
      <c r="E484" s="14" t="n">
        <v>38.6889032364667</v>
      </c>
      <c r="F484" s="14" t="n">
        <v>40.7346530386168</v>
      </c>
      <c r="G484" s="13" t="n">
        <v>-10594.9382253353</v>
      </c>
      <c r="H484" s="15" t="n">
        <v>-0.0528769138180643</v>
      </c>
      <c r="I484" s="15" t="n">
        <v>-0.0528769138180642</v>
      </c>
      <c r="J484" s="16" t="n">
        <v>2015</v>
      </c>
      <c r="K484" s="16" t="n">
        <v>4</v>
      </c>
      <c r="L484" s="16" t="n">
        <v>17</v>
      </c>
      <c r="M484" s="16" t="s">
        <v>38</v>
      </c>
      <c r="N484" s="17" t="b">
        <f aca="false">TRUE()</f>
        <v>1</v>
      </c>
      <c r="O484" s="14" t="n">
        <v>41.0096652005908</v>
      </c>
      <c r="P484" s="13" t="n">
        <v>3164.92857142857</v>
      </c>
      <c r="Q484" s="15" t="n">
        <v>-0.0565906098665401</v>
      </c>
      <c r="R484" s="15" t="n">
        <v>0.636371843192128</v>
      </c>
      <c r="S484" s="17" t="b">
        <f aca="false">TRUE()</f>
        <v>1</v>
      </c>
    </row>
    <row r="485" customFormat="false" ht="15" hidden="false" customHeight="true" outlineLevel="0" collapsed="false">
      <c r="A485" s="12" t="n">
        <v>42121</v>
      </c>
      <c r="B485" s="13" t="n">
        <v>194028.061819216</v>
      </c>
      <c r="C485" s="13" t="n">
        <v>204053.498934647</v>
      </c>
      <c r="D485" s="13" t="n">
        <v>5014</v>
      </c>
      <c r="E485" s="14" t="n">
        <v>38.6972600357432</v>
      </c>
      <c r="F485" s="14" t="n">
        <v>40.6967488900373</v>
      </c>
      <c r="G485" s="13" t="n">
        <v>-10025.4371154309</v>
      </c>
      <c r="H485" s="15" t="n">
        <v>-0.0516700369082284</v>
      </c>
      <c r="I485" s="15" t="n">
        <v>-0.0516700369082285</v>
      </c>
      <c r="J485" s="16" t="n">
        <v>2015</v>
      </c>
      <c r="K485" s="16" t="n">
        <v>4</v>
      </c>
      <c r="L485" s="16" t="n">
        <v>18</v>
      </c>
      <c r="M485" s="16" t="s">
        <v>32</v>
      </c>
      <c r="N485" s="17" t="b">
        <f aca="false">FALSE()</f>
        <v>0</v>
      </c>
      <c r="O485" s="14" t="n">
        <v>40.8314893055061</v>
      </c>
      <c r="P485" s="13" t="n">
        <v>3396.71428571429</v>
      </c>
      <c r="Q485" s="15" t="n">
        <v>-0.0522691997295117</v>
      </c>
      <c r="R485" s="15" t="n">
        <v>0.476132396854103</v>
      </c>
      <c r="S485" s="17" t="b">
        <f aca="false">TRUE()</f>
        <v>1</v>
      </c>
    </row>
    <row r="486" customFormat="false" ht="15" hidden="false" customHeight="true" outlineLevel="0" collapsed="false">
      <c r="A486" s="12" t="n">
        <v>42122</v>
      </c>
      <c r="B486" s="13" t="n">
        <v>190560.579181832</v>
      </c>
      <c r="C486" s="13" t="n">
        <v>200804.0368451</v>
      </c>
      <c r="D486" s="13" t="n">
        <v>4936</v>
      </c>
      <c r="E486" s="14" t="n">
        <v>38.6062761713599</v>
      </c>
      <c r="F486" s="14" t="n">
        <v>40.6815309653768</v>
      </c>
      <c r="G486" s="13" t="n">
        <v>-10243.4576632675</v>
      </c>
      <c r="H486" s="15" t="n">
        <v>-0.0537543373726484</v>
      </c>
      <c r="I486" s="15" t="n">
        <v>-0.0537543373726483</v>
      </c>
      <c r="J486" s="16" t="n">
        <v>2015</v>
      </c>
      <c r="K486" s="16" t="n">
        <v>4</v>
      </c>
      <c r="L486" s="16" t="n">
        <v>18</v>
      </c>
      <c r="M486" s="16" t="s">
        <v>33</v>
      </c>
      <c r="N486" s="17" t="b">
        <f aca="false">FALSE()</f>
        <v>0</v>
      </c>
      <c r="O486" s="14" t="n">
        <v>40.6543271879293</v>
      </c>
      <c r="P486" s="13" t="n">
        <v>3610.64285714286</v>
      </c>
      <c r="Q486" s="15" t="n">
        <v>-0.0503771961863265</v>
      </c>
      <c r="R486" s="15" t="n">
        <v>0.367069576054917</v>
      </c>
      <c r="S486" s="17" t="b">
        <f aca="false">TRUE()</f>
        <v>1</v>
      </c>
    </row>
    <row r="487" customFormat="false" ht="15" hidden="false" customHeight="true" outlineLevel="0" collapsed="false">
      <c r="A487" s="12" t="n">
        <v>42123</v>
      </c>
      <c r="B487" s="13" t="n">
        <v>198985.399622612</v>
      </c>
      <c r="C487" s="13" t="n">
        <v>209483.875808773</v>
      </c>
      <c r="D487" s="13" t="n">
        <v>5150</v>
      </c>
      <c r="E487" s="14" t="n">
        <v>38.6379416742937</v>
      </c>
      <c r="F487" s="14" t="n">
        <v>40.6764807395675</v>
      </c>
      <c r="G487" s="13" t="n">
        <v>-10498.4761861604</v>
      </c>
      <c r="H487" s="15" t="n">
        <v>-0.0527600326761229</v>
      </c>
      <c r="I487" s="15" t="n">
        <v>-0.0527600326761228</v>
      </c>
      <c r="J487" s="16" t="n">
        <v>2015</v>
      </c>
      <c r="K487" s="16" t="n">
        <v>4</v>
      </c>
      <c r="L487" s="16" t="n">
        <v>18</v>
      </c>
      <c r="M487" s="16" t="s">
        <v>34</v>
      </c>
      <c r="N487" s="17" t="b">
        <f aca="false">FALSE()</f>
        <v>0</v>
      </c>
      <c r="O487" s="14" t="n">
        <v>40.4368689441011</v>
      </c>
      <c r="P487" s="13" t="n">
        <v>3893.28571428571</v>
      </c>
      <c r="Q487" s="15" t="n">
        <v>-0.0444873037102416</v>
      </c>
      <c r="R487" s="15" t="n">
        <v>0.322790151542949</v>
      </c>
      <c r="S487" s="17" t="b">
        <f aca="false">FALSE()</f>
        <v>0</v>
      </c>
    </row>
    <row r="488" customFormat="false" ht="15" hidden="false" customHeight="true" outlineLevel="0" collapsed="false">
      <c r="A488" s="12" t="n">
        <v>42124</v>
      </c>
      <c r="B488" s="13" t="n">
        <v>385482.872025708</v>
      </c>
      <c r="C488" s="13" t="n">
        <v>406252.007593416</v>
      </c>
      <c r="D488" s="13" t="n">
        <v>9986</v>
      </c>
      <c r="E488" s="14" t="n">
        <v>38.6023304652221</v>
      </c>
      <c r="F488" s="14" t="n">
        <v>40.6821557774301</v>
      </c>
      <c r="G488" s="13" t="n">
        <v>-20769.1355677082</v>
      </c>
      <c r="H488" s="15" t="n">
        <v>-0.0538782318876236</v>
      </c>
      <c r="I488" s="15" t="n">
        <v>-0.0538782318876236</v>
      </c>
      <c r="J488" s="16" t="n">
        <v>2015</v>
      </c>
      <c r="K488" s="16" t="n">
        <v>4</v>
      </c>
      <c r="L488" s="16" t="n">
        <v>18</v>
      </c>
      <c r="M488" s="16" t="s">
        <v>35</v>
      </c>
      <c r="N488" s="17" t="b">
        <f aca="false">FALSE()</f>
        <v>0</v>
      </c>
      <c r="O488" s="14" t="n">
        <v>40.2190774324831</v>
      </c>
      <c r="P488" s="13" t="n">
        <v>4161.28571428572</v>
      </c>
      <c r="Q488" s="15" t="n">
        <v>-0.0401985095251146</v>
      </c>
      <c r="R488" s="15" t="n">
        <v>1.3997390916269</v>
      </c>
      <c r="S488" s="17" t="b">
        <f aca="false">FALSE()</f>
        <v>0</v>
      </c>
    </row>
    <row r="489" customFormat="false" ht="15" hidden="false" customHeight="true" outlineLevel="0" collapsed="false">
      <c r="A489" s="12" t="n">
        <v>42125</v>
      </c>
      <c r="B489" s="13" t="n">
        <v>499703.41471803</v>
      </c>
      <c r="C489" s="13" t="n">
        <v>526206.937172217</v>
      </c>
      <c r="D489" s="13" t="n">
        <v>12937</v>
      </c>
      <c r="E489" s="14" t="n">
        <v>38.6259113177731</v>
      </c>
      <c r="F489" s="14" t="n">
        <v>40.674571938797</v>
      </c>
      <c r="G489" s="13" t="n">
        <v>-26503.5224541863</v>
      </c>
      <c r="H489" s="15" t="n">
        <v>-0.0530385057887619</v>
      </c>
      <c r="I489" s="15" t="n">
        <v>-0.0530385057887618</v>
      </c>
      <c r="J489" s="16" t="n">
        <v>2015</v>
      </c>
      <c r="K489" s="16" t="n">
        <v>5</v>
      </c>
      <c r="L489" s="16" t="n">
        <v>18</v>
      </c>
      <c r="M489" s="16" t="s">
        <v>36</v>
      </c>
      <c r="N489" s="17" t="b">
        <f aca="false">FALSE()</f>
        <v>0</v>
      </c>
      <c r="O489" s="14" t="n">
        <v>39.9952216283999</v>
      </c>
      <c r="P489" s="13" t="n">
        <v>4789</v>
      </c>
      <c r="Q489" s="15" t="n">
        <v>-0.0342368476751856</v>
      </c>
      <c r="R489" s="15" t="n">
        <v>1.70139903946544</v>
      </c>
      <c r="S489" s="17" t="b">
        <f aca="false">FALSE()</f>
        <v>0</v>
      </c>
    </row>
    <row r="490" customFormat="false" ht="15" hidden="false" customHeight="true" outlineLevel="0" collapsed="false">
      <c r="A490" s="12" t="n">
        <v>42126</v>
      </c>
      <c r="B490" s="13" t="n">
        <v>461667.003881013</v>
      </c>
      <c r="C490" s="13" t="n">
        <v>496852.801993076</v>
      </c>
      <c r="D490" s="13" t="n">
        <v>12217</v>
      </c>
      <c r="E490" s="14" t="n">
        <v>37.7889010297956</v>
      </c>
      <c r="F490" s="14" t="n">
        <v>40.6689696319126</v>
      </c>
      <c r="G490" s="13" t="n">
        <v>-35185.7981120631</v>
      </c>
      <c r="H490" s="15" t="n">
        <v>-0.0762146694831406</v>
      </c>
      <c r="I490" s="15" t="n">
        <v>-0.0762146694831405</v>
      </c>
      <c r="J490" s="16" t="n">
        <v>2015</v>
      </c>
      <c r="K490" s="16" t="n">
        <v>5</v>
      </c>
      <c r="L490" s="16" t="n">
        <v>18</v>
      </c>
      <c r="M490" s="16" t="s">
        <v>37</v>
      </c>
      <c r="N490" s="17" t="b">
        <f aca="false">TRUE()</f>
        <v>1</v>
      </c>
      <c r="O490" s="14" t="n">
        <v>39.7673823223504</v>
      </c>
      <c r="P490" s="13" t="n">
        <v>5535.57142857143</v>
      </c>
      <c r="Q490" s="15" t="n">
        <v>-0.0497513584504368</v>
      </c>
      <c r="R490" s="15" t="n">
        <v>1.20699889029394</v>
      </c>
      <c r="S490" s="17" t="b">
        <f aca="false">FALSE()</f>
        <v>0</v>
      </c>
    </row>
    <row r="491" customFormat="false" ht="15" hidden="false" customHeight="true" outlineLevel="0" collapsed="false">
      <c r="A491" s="12" t="n">
        <v>42127</v>
      </c>
      <c r="B491" s="13" t="n">
        <v>259541.608721514</v>
      </c>
      <c r="C491" s="13" t="n">
        <v>273280.046370405</v>
      </c>
      <c r="D491" s="13" t="n">
        <v>6721</v>
      </c>
      <c r="E491" s="14" t="n">
        <v>38.6165166971454</v>
      </c>
      <c r="F491" s="14" t="n">
        <v>40.6606228790961</v>
      </c>
      <c r="G491" s="13" t="n">
        <v>-13738.4376488907</v>
      </c>
      <c r="H491" s="15" t="n">
        <v>-0.0529334688051192</v>
      </c>
      <c r="I491" s="15" t="n">
        <v>-0.0529334688051192</v>
      </c>
      <c r="J491" s="16" t="n">
        <v>2015</v>
      </c>
      <c r="K491" s="16" t="n">
        <v>5</v>
      </c>
      <c r="L491" s="16" t="n">
        <v>18</v>
      </c>
      <c r="M491" s="16" t="s">
        <v>38</v>
      </c>
      <c r="N491" s="17" t="b">
        <f aca="false">TRUE()</f>
        <v>1</v>
      </c>
      <c r="O491" s="14" t="n">
        <v>39.4751640609996</v>
      </c>
      <c r="P491" s="13" t="n">
        <v>6181.64285714286</v>
      </c>
      <c r="Q491" s="15" t="n">
        <v>-0.021751584427298</v>
      </c>
      <c r="R491" s="15" t="n">
        <v>0.0872514241475337</v>
      </c>
      <c r="S491" s="17" t="b">
        <f aca="false">FALSE()</f>
        <v>0</v>
      </c>
    </row>
    <row r="492" customFormat="false" ht="15" hidden="false" customHeight="true" outlineLevel="0" collapsed="false">
      <c r="A492" s="12" t="n">
        <v>42128</v>
      </c>
      <c r="B492" s="13" t="n">
        <v>320309.274401587</v>
      </c>
      <c r="C492" s="13" t="n">
        <v>336742.602365386</v>
      </c>
      <c r="D492" s="13" t="n">
        <v>8283</v>
      </c>
      <c r="E492" s="14" t="n">
        <v>38.6706838586969</v>
      </c>
      <c r="F492" s="14" t="n">
        <v>40.654666469321</v>
      </c>
      <c r="G492" s="13" t="n">
        <v>-16433.3279637991</v>
      </c>
      <c r="H492" s="15" t="n">
        <v>-0.05130456492245</v>
      </c>
      <c r="I492" s="15" t="n">
        <v>-0.0513045649224499</v>
      </c>
      <c r="J492" s="16" t="n">
        <v>2015</v>
      </c>
      <c r="K492" s="16" t="n">
        <v>5</v>
      </c>
      <c r="L492" s="16" t="n">
        <v>19</v>
      </c>
      <c r="M492" s="16" t="s">
        <v>32</v>
      </c>
      <c r="N492" s="17" t="b">
        <f aca="false">FALSE()</f>
        <v>0</v>
      </c>
      <c r="O492" s="14" t="n">
        <v>39.237656389392</v>
      </c>
      <c r="P492" s="13" t="n">
        <v>6554.78571428572</v>
      </c>
      <c r="Q492" s="15" t="n">
        <v>-0.0144497042603267</v>
      </c>
      <c r="R492" s="15" t="n">
        <v>0.263656870116709</v>
      </c>
      <c r="S492" s="17" t="b">
        <f aca="false">FALSE()</f>
        <v>0</v>
      </c>
    </row>
    <row r="493" customFormat="false" ht="15" hidden="false" customHeight="true" outlineLevel="0" collapsed="false">
      <c r="A493" s="12" t="n">
        <v>42129</v>
      </c>
      <c r="B493" s="13" t="n">
        <v>239922.99815095</v>
      </c>
      <c r="C493" s="13" t="n">
        <v>251700.966401202</v>
      </c>
      <c r="D493" s="13" t="n">
        <v>6191</v>
      </c>
      <c r="E493" s="14" t="n">
        <v>38.7535128656033</v>
      </c>
      <c r="F493" s="14" t="n">
        <v>40.655946761622</v>
      </c>
      <c r="G493" s="13" t="n">
        <v>-11777.9682502516</v>
      </c>
      <c r="H493" s="15" t="n">
        <v>-0.0490906179942007</v>
      </c>
      <c r="I493" s="15" t="n">
        <v>-0.0490906179942006</v>
      </c>
      <c r="J493" s="16" t="n">
        <v>2015</v>
      </c>
      <c r="K493" s="16" t="n">
        <v>5</v>
      </c>
      <c r="L493" s="16" t="n">
        <v>19</v>
      </c>
      <c r="M493" s="16" t="s">
        <v>33</v>
      </c>
      <c r="N493" s="17" t="b">
        <f aca="false">FALSE()</f>
        <v>0</v>
      </c>
      <c r="O493" s="14" t="n">
        <v>39.0049026910958</v>
      </c>
      <c r="P493" s="13" t="n">
        <v>7048.92857142857</v>
      </c>
      <c r="Q493" s="15" t="n">
        <v>-0.00644508274981301</v>
      </c>
      <c r="R493" s="15" t="n">
        <v>-0.121710492982723</v>
      </c>
      <c r="S493" s="17" t="b">
        <f aca="false">FALSE()</f>
        <v>0</v>
      </c>
    </row>
    <row r="494" customFormat="false" ht="15" hidden="false" customHeight="true" outlineLevel="0" collapsed="false">
      <c r="A494" s="12" t="n">
        <v>42130</v>
      </c>
      <c r="B494" s="13" t="n">
        <v>224994.195070155</v>
      </c>
      <c r="C494" s="13" t="n">
        <v>242259.859539666</v>
      </c>
      <c r="D494" s="13" t="n">
        <v>5959</v>
      </c>
      <c r="E494" s="14" t="n">
        <v>37.7570389444799</v>
      </c>
      <c r="F494" s="14" t="n">
        <v>40.6544486557587</v>
      </c>
      <c r="G494" s="13" t="n">
        <v>-17265.6644695108</v>
      </c>
      <c r="H494" s="15" t="n">
        <v>-0.0767382663545038</v>
      </c>
      <c r="I494" s="15" t="n">
        <v>-0.0767382663545038</v>
      </c>
      <c r="J494" s="16" t="n">
        <v>2015</v>
      </c>
      <c r="K494" s="16" t="n">
        <v>5</v>
      </c>
      <c r="L494" s="16" t="n">
        <v>19</v>
      </c>
      <c r="M494" s="16" t="s">
        <v>34</v>
      </c>
      <c r="N494" s="17" t="b">
        <f aca="false">FALSE()</f>
        <v>0</v>
      </c>
      <c r="O494" s="14" t="n">
        <v>38.7704584640951</v>
      </c>
      <c r="P494" s="13" t="n">
        <v>7394.5</v>
      </c>
      <c r="Q494" s="15" t="n">
        <v>-0.0261389614609208</v>
      </c>
      <c r="R494" s="15" t="n">
        <v>-0.194130772871729</v>
      </c>
      <c r="S494" s="17" t="b">
        <f aca="false">FALSE()</f>
        <v>0</v>
      </c>
    </row>
    <row r="495" customFormat="false" ht="15" hidden="false" customHeight="true" outlineLevel="0" collapsed="false">
      <c r="A495" s="12" t="n">
        <v>42131</v>
      </c>
      <c r="B495" s="13" t="n">
        <v>117197.971729904</v>
      </c>
      <c r="C495" s="13" t="n">
        <v>115769.086327881</v>
      </c>
      <c r="D495" s="13" t="n">
        <v>2848</v>
      </c>
      <c r="E495" s="14" t="n">
        <v>41.1509732197696</v>
      </c>
      <c r="F495" s="14" t="n">
        <v>40.649257839846</v>
      </c>
      <c r="G495" s="13" t="n">
        <v>1428.88540202225</v>
      </c>
      <c r="H495" s="15" t="n">
        <v>0.0121920659626711</v>
      </c>
      <c r="I495" s="15" t="n">
        <v>0.0121920659626712</v>
      </c>
      <c r="J495" s="16" t="n">
        <v>2015</v>
      </c>
      <c r="K495" s="16" t="n">
        <v>5</v>
      </c>
      <c r="L495" s="16" t="n">
        <v>19</v>
      </c>
      <c r="M495" s="16" t="s">
        <v>35</v>
      </c>
      <c r="N495" s="17" t="b">
        <f aca="false">FALSE()</f>
        <v>0</v>
      </c>
      <c r="O495" s="14" t="n">
        <v>38.7104061214948</v>
      </c>
      <c r="P495" s="13" t="n">
        <v>7574.5</v>
      </c>
      <c r="Q495" s="15" t="n">
        <v>0.0630467965284297</v>
      </c>
      <c r="R495" s="15" t="n">
        <v>-0.624001584262988</v>
      </c>
      <c r="S495" s="17" t="b">
        <f aca="false">FALSE()</f>
        <v>0</v>
      </c>
    </row>
    <row r="496" customFormat="false" ht="15" hidden="false" customHeight="true" outlineLevel="0" collapsed="false">
      <c r="A496" s="12" t="n">
        <v>42132</v>
      </c>
      <c r="B496" s="13" t="n">
        <v>330589.19981286</v>
      </c>
      <c r="C496" s="13" t="n">
        <v>355565.041734478</v>
      </c>
      <c r="D496" s="13" t="n">
        <v>8748</v>
      </c>
      <c r="E496" s="14" t="n">
        <v>37.790260609609</v>
      </c>
      <c r="F496" s="14" t="n">
        <v>40.6452951228255</v>
      </c>
      <c r="G496" s="13" t="n">
        <v>-24975.841921618</v>
      </c>
      <c r="H496" s="15" t="n">
        <v>-0.0755494793409958</v>
      </c>
      <c r="I496" s="15" t="n">
        <v>-0.0755494793409958</v>
      </c>
      <c r="J496" s="16" t="n">
        <v>2015</v>
      </c>
      <c r="K496" s="16" t="n">
        <v>5</v>
      </c>
      <c r="L496" s="16" t="n">
        <v>19</v>
      </c>
      <c r="M496" s="16" t="s">
        <v>36</v>
      </c>
      <c r="N496" s="17" t="b">
        <f aca="false">FALSE()</f>
        <v>0</v>
      </c>
      <c r="O496" s="14" t="n">
        <v>38.6456599892488</v>
      </c>
      <c r="P496" s="13" t="n">
        <v>7675.5</v>
      </c>
      <c r="Q496" s="15" t="n">
        <v>-0.0221344228531163</v>
      </c>
      <c r="R496" s="15" t="n">
        <v>0.139730310728943</v>
      </c>
      <c r="S496" s="17" t="b">
        <f aca="false">FALSE()</f>
        <v>0</v>
      </c>
    </row>
    <row r="497" customFormat="false" ht="15" hidden="false" customHeight="true" outlineLevel="0" collapsed="false">
      <c r="A497" s="12" t="n">
        <v>42133</v>
      </c>
      <c r="B497" s="13" t="n">
        <v>389972.11975571</v>
      </c>
      <c r="C497" s="13" t="n">
        <v>419827.136522227</v>
      </c>
      <c r="D497" s="13" t="n">
        <v>10329</v>
      </c>
      <c r="E497" s="14" t="n">
        <v>37.7550701670743</v>
      </c>
      <c r="F497" s="14" t="n">
        <v>40.645477444305</v>
      </c>
      <c r="G497" s="13" t="n">
        <v>-29855.0167665165</v>
      </c>
      <c r="H497" s="15" t="n">
        <v>-0.0765567979198578</v>
      </c>
      <c r="I497" s="15" t="n">
        <v>-0.0765567979198578</v>
      </c>
      <c r="J497" s="16" t="n">
        <v>2015</v>
      </c>
      <c r="K497" s="16" t="n">
        <v>5</v>
      </c>
      <c r="L497" s="16" t="n">
        <v>19</v>
      </c>
      <c r="M497" s="16" t="s">
        <v>37</v>
      </c>
      <c r="N497" s="17" t="b">
        <f aca="false">TRUE()</f>
        <v>1</v>
      </c>
      <c r="O497" s="14" t="n">
        <v>38.5849632864495</v>
      </c>
      <c r="P497" s="13" t="n">
        <v>7665.21428571429</v>
      </c>
      <c r="Q497" s="15" t="n">
        <v>-0.0215082003114598</v>
      </c>
      <c r="R497" s="15" t="n">
        <v>0.347516144362752</v>
      </c>
      <c r="S497" s="17" t="b">
        <f aca="false">FALSE()</f>
        <v>0</v>
      </c>
    </row>
    <row r="498" customFormat="false" ht="15" hidden="false" customHeight="true" outlineLevel="0" collapsed="false">
      <c r="A498" s="12" t="n">
        <v>42134</v>
      </c>
      <c r="B498" s="13" t="n">
        <v>166536.00026357</v>
      </c>
      <c r="C498" s="13" t="n">
        <v>179243.0518334</v>
      </c>
      <c r="D498" s="13" t="n">
        <v>4410</v>
      </c>
      <c r="E498" s="14" t="n">
        <v>37.763265365889</v>
      </c>
      <c r="F498" s="14" t="n">
        <v>40.6446829554195</v>
      </c>
      <c r="G498" s="13" t="n">
        <v>-12707.0515698296</v>
      </c>
      <c r="H498" s="15" t="n">
        <v>-0.0763021301683636</v>
      </c>
      <c r="I498" s="15" t="n">
        <v>-0.0763021301683636</v>
      </c>
      <c r="J498" s="16" t="n">
        <v>2015</v>
      </c>
      <c r="K498" s="16" t="n">
        <v>5</v>
      </c>
      <c r="L498" s="16" t="n">
        <v>19</v>
      </c>
      <c r="M498" s="16" t="s">
        <v>38</v>
      </c>
      <c r="N498" s="17" t="b">
        <f aca="false">TRUE()</f>
        <v>1</v>
      </c>
      <c r="O498" s="14" t="n">
        <v>38.5815414495023</v>
      </c>
      <c r="P498" s="13" t="n">
        <v>7464.14285714286</v>
      </c>
      <c r="Q498" s="15" t="n">
        <v>-0.0212090044324532</v>
      </c>
      <c r="R498" s="15" t="n">
        <v>-0.409175295220961</v>
      </c>
      <c r="S498" s="17" t="b">
        <f aca="false">FALSE()</f>
        <v>0</v>
      </c>
    </row>
    <row r="499" customFormat="false" ht="15" hidden="false" customHeight="true" outlineLevel="0" collapsed="false">
      <c r="A499" s="12" t="n">
        <v>42135</v>
      </c>
      <c r="B499" s="13" t="n">
        <v>198442.912653828</v>
      </c>
      <c r="C499" s="13" t="n">
        <v>213676.42842593</v>
      </c>
      <c r="D499" s="13" t="n">
        <v>5257</v>
      </c>
      <c r="E499" s="14" t="n">
        <v>37.748318937384</v>
      </c>
      <c r="F499" s="14" t="n">
        <v>40.6460773113811</v>
      </c>
      <c r="G499" s="13" t="n">
        <v>-15233.5157721023</v>
      </c>
      <c r="H499" s="15" t="n">
        <v>-0.0767652296994669</v>
      </c>
      <c r="I499" s="15" t="n">
        <v>-0.0767652296994669</v>
      </c>
      <c r="J499" s="16" t="n">
        <v>2015</v>
      </c>
      <c r="K499" s="16" t="n">
        <v>5</v>
      </c>
      <c r="L499" s="16" t="n">
        <v>20</v>
      </c>
      <c r="M499" s="16" t="s">
        <v>32</v>
      </c>
      <c r="N499" s="17" t="b">
        <f aca="false">FALSE()</f>
        <v>0</v>
      </c>
      <c r="O499" s="14" t="n">
        <v>38.5154244587468</v>
      </c>
      <c r="P499" s="13" t="n">
        <v>7409.21428571429</v>
      </c>
      <c r="Q499" s="15" t="n">
        <v>-0.0199168393479439</v>
      </c>
      <c r="R499" s="15" t="n">
        <v>-0.290478072670131</v>
      </c>
      <c r="S499" s="17" t="b">
        <f aca="false">FALSE()</f>
        <v>0</v>
      </c>
    </row>
    <row r="500" customFormat="false" ht="15" hidden="false" customHeight="true" outlineLevel="0" collapsed="false">
      <c r="A500" s="12" t="n">
        <v>42136</v>
      </c>
      <c r="B500" s="13" t="n">
        <v>193182.150552713</v>
      </c>
      <c r="C500" s="13" t="n">
        <v>208039.173445555</v>
      </c>
      <c r="D500" s="13" t="n">
        <v>5118</v>
      </c>
      <c r="E500" s="14" t="n">
        <v>37.7456331677829</v>
      </c>
      <c r="F500" s="14" t="n">
        <v>40.64852939538</v>
      </c>
      <c r="G500" s="13" t="n">
        <v>-14857.022892842</v>
      </c>
      <c r="H500" s="15" t="n">
        <v>-0.0769068097147414</v>
      </c>
      <c r="I500" s="15" t="n">
        <v>-0.0769068097147414</v>
      </c>
      <c r="J500" s="16" t="n">
        <v>2015</v>
      </c>
      <c r="K500" s="16" t="n">
        <v>5</v>
      </c>
      <c r="L500" s="16" t="n">
        <v>20</v>
      </c>
      <c r="M500" s="16" t="s">
        <v>33</v>
      </c>
      <c r="N500" s="17" t="b">
        <f aca="false">FALSE()</f>
        <v>0</v>
      </c>
      <c r="O500" s="14" t="n">
        <v>38.4476429517211</v>
      </c>
      <c r="P500" s="13" t="n">
        <v>7426.57142857143</v>
      </c>
      <c r="Q500" s="15" t="n">
        <v>-0.0182588509995204</v>
      </c>
      <c r="R500" s="15" t="n">
        <v>-0.310852921940522</v>
      </c>
      <c r="S500" s="17" t="b">
        <f aca="false">FALSE()</f>
        <v>0</v>
      </c>
    </row>
    <row r="501" customFormat="false" ht="15" hidden="false" customHeight="true" outlineLevel="0" collapsed="false">
      <c r="A501" s="12" t="n">
        <v>42137</v>
      </c>
      <c r="B501" s="13" t="n">
        <v>166403.126995823</v>
      </c>
      <c r="C501" s="13" t="n">
        <v>179221.57229364</v>
      </c>
      <c r="D501" s="13" t="n">
        <v>4410</v>
      </c>
      <c r="E501" s="14" t="n">
        <v>37.7331353732024</v>
      </c>
      <c r="F501" s="14" t="n">
        <v>40.639812311483</v>
      </c>
      <c r="G501" s="13" t="n">
        <v>-12818.4452978172</v>
      </c>
      <c r="H501" s="15" t="n">
        <v>-0.0770324784710267</v>
      </c>
      <c r="I501" s="15" t="n">
        <v>-0.0770324784710266</v>
      </c>
      <c r="J501" s="16" t="n">
        <v>2015</v>
      </c>
      <c r="K501" s="16" t="n">
        <v>5</v>
      </c>
      <c r="L501" s="16" t="n">
        <v>20</v>
      </c>
      <c r="M501" s="16" t="s">
        <v>34</v>
      </c>
      <c r="N501" s="17" t="b">
        <f aca="false">FALSE()</f>
        <v>0</v>
      </c>
      <c r="O501" s="14" t="n">
        <v>38.3861684514656</v>
      </c>
      <c r="P501" s="13" t="n">
        <v>7439.57142857143</v>
      </c>
      <c r="Q501" s="15" t="n">
        <v>-0.0170121974817273</v>
      </c>
      <c r="R501" s="15" t="n">
        <v>-0.407223918428481</v>
      </c>
      <c r="S501" s="17" t="b">
        <f aca="false">FALSE()</f>
        <v>0</v>
      </c>
    </row>
    <row r="502" customFormat="false" ht="15" hidden="false" customHeight="true" outlineLevel="0" collapsed="false">
      <c r="A502" s="12" t="n">
        <v>42138</v>
      </c>
      <c r="B502" s="13" t="n">
        <v>149178.601481034</v>
      </c>
      <c r="C502" s="13" t="n">
        <v>160620.207140873</v>
      </c>
      <c r="D502" s="13" t="n">
        <v>3952</v>
      </c>
      <c r="E502" s="14" t="n">
        <v>37.7476218322454</v>
      </c>
      <c r="F502" s="14" t="n">
        <v>40.6427649647958</v>
      </c>
      <c r="G502" s="13" t="n">
        <v>-11441.6056598389</v>
      </c>
      <c r="H502" s="15" t="n">
        <v>-0.0766973650794922</v>
      </c>
      <c r="I502" s="15" t="n">
        <v>-0.0766973650794922</v>
      </c>
      <c r="J502" s="16" t="n">
        <v>2015</v>
      </c>
      <c r="K502" s="16" t="n">
        <v>5</v>
      </c>
      <c r="L502" s="16" t="n">
        <v>20</v>
      </c>
      <c r="M502" s="16" t="s">
        <v>35</v>
      </c>
      <c r="N502" s="17" t="b">
        <f aca="false">FALSE()</f>
        <v>0</v>
      </c>
      <c r="O502" s="14" t="n">
        <v>38.3215394299591</v>
      </c>
      <c r="P502" s="13" t="n">
        <v>7386.71428571429</v>
      </c>
      <c r="Q502" s="15" t="n">
        <v>-0.0149763711544685</v>
      </c>
      <c r="R502" s="15" t="n">
        <v>-0.464985398495368</v>
      </c>
      <c r="S502" s="17" t="b">
        <f aca="false">FALSE()</f>
        <v>0</v>
      </c>
    </row>
    <row r="503" customFormat="false" ht="15" hidden="false" customHeight="true" outlineLevel="0" collapsed="false">
      <c r="A503" s="12" t="n">
        <v>42139</v>
      </c>
      <c r="B503" s="13" t="n">
        <v>380592.577583427</v>
      </c>
      <c r="C503" s="13" t="n">
        <v>409812.432663689</v>
      </c>
      <c r="D503" s="13" t="n">
        <v>10084</v>
      </c>
      <c r="E503" s="14" t="n">
        <v>37.7422230844335</v>
      </c>
      <c r="F503" s="14" t="n">
        <v>40.6398683720437</v>
      </c>
      <c r="G503" s="13" t="n">
        <v>-29219.8550802614</v>
      </c>
      <c r="H503" s="15" t="n">
        <v>-0.076774631985187</v>
      </c>
      <c r="I503" s="15" t="n">
        <v>-0.076774631985187</v>
      </c>
      <c r="J503" s="16" t="n">
        <v>2015</v>
      </c>
      <c r="K503" s="16" t="n">
        <v>5</v>
      </c>
      <c r="L503" s="16" t="n">
        <v>20</v>
      </c>
      <c r="M503" s="16" t="s">
        <v>36</v>
      </c>
      <c r="N503" s="17" t="b">
        <f aca="false">FALSE()</f>
        <v>0</v>
      </c>
      <c r="O503" s="14" t="n">
        <v>38.2604888133179</v>
      </c>
      <c r="P503" s="13" t="n">
        <v>6955.71428571429</v>
      </c>
      <c r="Q503" s="15" t="n">
        <v>-0.0135457163501799</v>
      </c>
      <c r="R503" s="15" t="n">
        <v>0.449743273772849</v>
      </c>
      <c r="S503" s="17" t="b">
        <f aca="false">FALSE()</f>
        <v>0</v>
      </c>
    </row>
    <row r="504" customFormat="false" ht="15" hidden="false" customHeight="true" outlineLevel="0" collapsed="false">
      <c r="A504" s="12" t="n">
        <v>42140</v>
      </c>
      <c r="B504" s="13" t="n">
        <v>413700.178932341</v>
      </c>
      <c r="C504" s="13" t="n">
        <v>445569.719107405</v>
      </c>
      <c r="D504" s="13" t="n">
        <v>10964</v>
      </c>
      <c r="E504" s="14" t="n">
        <v>37.7325956705893</v>
      </c>
      <c r="F504" s="14" t="n">
        <v>40.6393395756481</v>
      </c>
      <c r="G504" s="13" t="n">
        <v>-31869.540175064</v>
      </c>
      <c r="H504" s="15" t="n">
        <v>-0.0770353550663465</v>
      </c>
      <c r="I504" s="15" t="n">
        <v>-0.0770353550663466</v>
      </c>
      <c r="J504" s="16" t="n">
        <v>2015</v>
      </c>
      <c r="K504" s="16" t="n">
        <v>5</v>
      </c>
      <c r="L504" s="16" t="n">
        <v>20</v>
      </c>
      <c r="M504" s="16" t="s">
        <v>37</v>
      </c>
      <c r="N504" s="17" t="b">
        <f aca="false">TRUE()</f>
        <v>1</v>
      </c>
      <c r="O504" s="14" t="n">
        <v>38.1973682252222</v>
      </c>
      <c r="P504" s="13" t="n">
        <v>6751.92857142857</v>
      </c>
      <c r="Q504" s="15" t="n">
        <v>-0.0121676590882517</v>
      </c>
      <c r="R504" s="15" t="n">
        <v>0.623832344197954</v>
      </c>
      <c r="S504" s="17" t="b">
        <f aca="false">FALSE()</f>
        <v>0</v>
      </c>
    </row>
    <row r="505" customFormat="false" ht="15" hidden="false" customHeight="true" outlineLevel="0" collapsed="false">
      <c r="A505" s="12" t="n">
        <v>42141</v>
      </c>
      <c r="B505" s="13" t="n">
        <v>177159.673065619</v>
      </c>
      <c r="C505" s="13" t="n">
        <v>190811.577944238</v>
      </c>
      <c r="D505" s="13" t="n">
        <v>4695</v>
      </c>
      <c r="E505" s="14" t="n">
        <v>37.7336896838379</v>
      </c>
      <c r="F505" s="14" t="n">
        <v>40.6414436515949</v>
      </c>
      <c r="G505" s="13" t="n">
        <v>-13651.9048786188</v>
      </c>
      <c r="H505" s="15" t="n">
        <v>-0.0770598897727826</v>
      </c>
      <c r="I505" s="15" t="n">
        <v>-0.0770598897727825</v>
      </c>
      <c r="J505" s="16" t="n">
        <v>2015</v>
      </c>
      <c r="K505" s="16" t="n">
        <v>5</v>
      </c>
      <c r="L505" s="16" t="n">
        <v>20</v>
      </c>
      <c r="M505" s="16" t="s">
        <v>38</v>
      </c>
      <c r="N505" s="17" t="b">
        <f aca="false">TRUE()</f>
        <v>1</v>
      </c>
      <c r="O505" s="14" t="n">
        <v>38.1933464138504</v>
      </c>
      <c r="P505" s="13" t="n">
        <v>6662.42857142857</v>
      </c>
      <c r="Q505" s="15" t="n">
        <v>-0.012034994918532</v>
      </c>
      <c r="R505" s="15" t="n">
        <v>-0.295302013422819</v>
      </c>
      <c r="S505" s="17" t="b">
        <f aca="false">FALSE()</f>
        <v>0</v>
      </c>
    </row>
    <row r="506" customFormat="false" ht="15" hidden="false" customHeight="true" outlineLevel="0" collapsed="false">
      <c r="A506" s="12" t="n">
        <v>42142</v>
      </c>
      <c r="B506" s="13" t="n">
        <v>196420.763536848</v>
      </c>
      <c r="C506" s="13" t="n">
        <v>211510.786120345</v>
      </c>
      <c r="D506" s="13" t="n">
        <v>5205</v>
      </c>
      <c r="E506" s="14" t="n">
        <v>37.7369382395481</v>
      </c>
      <c r="F506" s="14" t="n">
        <v>40.6360780250423</v>
      </c>
      <c r="G506" s="13" t="n">
        <v>-15090.022583497</v>
      </c>
      <c r="H506" s="15" t="n">
        <v>-0.0768249868892611</v>
      </c>
      <c r="I506" s="15" t="n">
        <v>-0.076824986889261</v>
      </c>
      <c r="J506" s="16" t="n">
        <v>2015</v>
      </c>
      <c r="K506" s="16" t="n">
        <v>5</v>
      </c>
      <c r="L506" s="16" t="n">
        <v>21</v>
      </c>
      <c r="M506" s="16" t="s">
        <v>32</v>
      </c>
      <c r="N506" s="17" t="b">
        <f aca="false">FALSE()</f>
        <v>0</v>
      </c>
      <c r="O506" s="14" t="n">
        <v>38.1302873414713</v>
      </c>
      <c r="P506" s="13" t="n">
        <v>6517.71428571429</v>
      </c>
      <c r="Q506" s="15" t="n">
        <v>-0.0103159228358431</v>
      </c>
      <c r="R506" s="15" t="n">
        <v>-0.201407154129406</v>
      </c>
      <c r="S506" s="17" t="b">
        <f aca="false">FALSE()</f>
        <v>0</v>
      </c>
    </row>
    <row r="507" customFormat="false" ht="15" hidden="false" customHeight="true" outlineLevel="0" collapsed="false">
      <c r="A507" s="12" t="n">
        <v>42143</v>
      </c>
      <c r="B507" s="13" t="n">
        <v>137940.872163805</v>
      </c>
      <c r="C507" s="13" t="n">
        <v>147846.052163397</v>
      </c>
      <c r="D507" s="13" t="n">
        <v>3638</v>
      </c>
      <c r="E507" s="14" t="n">
        <v>37.9166773402433</v>
      </c>
      <c r="F507" s="14" t="n">
        <v>40.6393766254526</v>
      </c>
      <c r="G507" s="13" t="n">
        <v>-9905.17999959138</v>
      </c>
      <c r="H507" s="15" t="n">
        <v>-0.0718074334619905</v>
      </c>
      <c r="I507" s="15" t="n">
        <v>-0.0718074334619904</v>
      </c>
      <c r="J507" s="16" t="n">
        <v>2015</v>
      </c>
      <c r="K507" s="16" t="n">
        <v>5</v>
      </c>
      <c r="L507" s="16" t="n">
        <v>21</v>
      </c>
      <c r="M507" s="16" t="s">
        <v>33</v>
      </c>
      <c r="N507" s="17" t="b">
        <f aca="false">FALSE()</f>
        <v>0</v>
      </c>
      <c r="O507" s="14" t="n">
        <v>38.0635912258178</v>
      </c>
      <c r="P507" s="13" t="n">
        <v>6297.85714285714</v>
      </c>
      <c r="Q507" s="15" t="n">
        <v>-0.00385969586271724</v>
      </c>
      <c r="R507" s="15" t="n">
        <v>-0.422343200635137</v>
      </c>
      <c r="S507" s="17" t="b">
        <f aca="false">FALSE()</f>
        <v>0</v>
      </c>
    </row>
    <row r="508" customFormat="false" ht="15" hidden="false" customHeight="true" outlineLevel="0" collapsed="false">
      <c r="A508" s="12" t="n">
        <v>42144</v>
      </c>
      <c r="B508" s="13" t="n">
        <v>166176.283811593</v>
      </c>
      <c r="C508" s="13" t="n">
        <v>178568.180480778</v>
      </c>
      <c r="D508" s="13" t="n">
        <v>4394</v>
      </c>
      <c r="E508" s="14" t="n">
        <v>37.8189084687284</v>
      </c>
      <c r="F508" s="14" t="n">
        <v>40.6390943288069</v>
      </c>
      <c r="G508" s="13" t="n">
        <v>-12391.8966691847</v>
      </c>
      <c r="H508" s="15" t="n">
        <v>-0.0745707894348775</v>
      </c>
      <c r="I508" s="15" t="n">
        <v>-0.0745707894348775</v>
      </c>
      <c r="J508" s="16" t="n">
        <v>2015</v>
      </c>
      <c r="K508" s="16" t="n">
        <v>5</v>
      </c>
      <c r="L508" s="16" t="n">
        <v>21</v>
      </c>
      <c r="M508" s="16" t="s">
        <v>34</v>
      </c>
      <c r="N508" s="17" t="b">
        <f aca="false">FALSE()</f>
        <v>0</v>
      </c>
      <c r="O508" s="14" t="n">
        <v>38.0038172597206</v>
      </c>
      <c r="P508" s="13" t="n">
        <v>6115.5</v>
      </c>
      <c r="Q508" s="15" t="n">
        <v>-0.00486553205243858</v>
      </c>
      <c r="R508" s="15" t="n">
        <v>-0.281497833374213</v>
      </c>
      <c r="S508" s="17" t="b">
        <f aca="false">FALSE()</f>
        <v>0</v>
      </c>
    </row>
    <row r="509" customFormat="false" ht="15" hidden="false" customHeight="true" outlineLevel="0" collapsed="false">
      <c r="A509" s="12" t="n">
        <v>42145</v>
      </c>
      <c r="B509" s="13" t="n">
        <v>84604.3775726392</v>
      </c>
      <c r="C509" s="13" t="n">
        <v>81763.2673893301</v>
      </c>
      <c r="D509" s="13" t="n">
        <v>2012</v>
      </c>
      <c r="E509" s="14" t="n">
        <v>42.0498894496219</v>
      </c>
      <c r="F509" s="14" t="n">
        <v>40.6378068535438</v>
      </c>
      <c r="G509" s="13" t="n">
        <v>2841.11018330905</v>
      </c>
      <c r="H509" s="15" t="n">
        <v>0.0335811250531303</v>
      </c>
      <c r="I509" s="15" t="n">
        <v>0.0335811250531304</v>
      </c>
      <c r="J509" s="16" t="n">
        <v>2015</v>
      </c>
      <c r="K509" s="16" t="n">
        <v>5</v>
      </c>
      <c r="L509" s="16" t="n">
        <v>21</v>
      </c>
      <c r="M509" s="16" t="s">
        <v>35</v>
      </c>
      <c r="N509" s="17" t="b">
        <f aca="false">FALSE()</f>
        <v>0</v>
      </c>
      <c r="O509" s="14" t="n">
        <v>38.0082365114527</v>
      </c>
      <c r="P509" s="13" t="n">
        <v>6003.71428571429</v>
      </c>
      <c r="Q509" s="15" t="n">
        <v>0.106336239434612</v>
      </c>
      <c r="R509" s="15" t="n">
        <v>-0.664874125541332</v>
      </c>
      <c r="S509" s="17" t="b">
        <f aca="false">FALSE()</f>
        <v>0</v>
      </c>
    </row>
    <row r="510" customFormat="false" ht="15" hidden="false" customHeight="true" outlineLevel="0" collapsed="false">
      <c r="A510" s="12" t="n">
        <v>42146</v>
      </c>
      <c r="B510" s="13" t="n">
        <v>321821.020286761</v>
      </c>
      <c r="C510" s="13" t="n">
        <v>346487.520334167</v>
      </c>
      <c r="D510" s="13" t="n">
        <v>8526</v>
      </c>
      <c r="E510" s="14" t="n">
        <v>37.7458386449403</v>
      </c>
      <c r="F510" s="14" t="n">
        <v>40.6389303699469</v>
      </c>
      <c r="G510" s="13" t="n">
        <v>-24666.5000474065</v>
      </c>
      <c r="H510" s="15" t="n">
        <v>-0.0766466405004471</v>
      </c>
      <c r="I510" s="15" t="n">
        <v>-0.0766466405004472</v>
      </c>
      <c r="J510" s="16" t="n">
        <v>2015</v>
      </c>
      <c r="K510" s="16" t="n">
        <v>5</v>
      </c>
      <c r="L510" s="16" t="n">
        <v>21</v>
      </c>
      <c r="M510" s="16" t="s">
        <v>36</v>
      </c>
      <c r="N510" s="17" t="b">
        <f aca="false">FALSE()</f>
        <v>0</v>
      </c>
      <c r="O510" s="14" t="n">
        <v>38.072444813585</v>
      </c>
      <c r="P510" s="13" t="n">
        <v>5944</v>
      </c>
      <c r="Q510" s="15" t="n">
        <v>-0.00857854467302646</v>
      </c>
      <c r="R510" s="15" t="n">
        <v>0.434387617765814</v>
      </c>
      <c r="S510" s="17" t="b">
        <f aca="false">FALSE()</f>
        <v>0</v>
      </c>
    </row>
    <row r="511" customFormat="false" ht="15" hidden="false" customHeight="true" outlineLevel="0" collapsed="false">
      <c r="A511" s="12" t="n">
        <v>42147</v>
      </c>
      <c r="B511" s="13" t="n">
        <v>418715.41064993</v>
      </c>
      <c r="C511" s="13" t="n">
        <v>450936.279264295</v>
      </c>
      <c r="D511" s="13" t="n">
        <v>11096</v>
      </c>
      <c r="E511" s="14" t="n">
        <v>37.7357075207219</v>
      </c>
      <c r="F511" s="14" t="n">
        <v>40.6395349012522</v>
      </c>
      <c r="G511" s="13" t="n">
        <v>-32220.8686143645</v>
      </c>
      <c r="H511" s="15" t="n">
        <v>-0.076951714206915</v>
      </c>
      <c r="I511" s="15" t="n">
        <v>-0.076951714206915</v>
      </c>
      <c r="J511" s="16" t="n">
        <v>2015</v>
      </c>
      <c r="K511" s="16" t="n">
        <v>5</v>
      </c>
      <c r="L511" s="16" t="n">
        <v>21</v>
      </c>
      <c r="M511" s="16" t="s">
        <v>37</v>
      </c>
      <c r="N511" s="17" t="b">
        <f aca="false">TRUE()</f>
        <v>1</v>
      </c>
      <c r="O511" s="14" t="n">
        <v>38.0692718161086</v>
      </c>
      <c r="P511" s="13" t="n">
        <v>5928.14285714286</v>
      </c>
      <c r="Q511" s="15" t="n">
        <v>-0.00876203508693345</v>
      </c>
      <c r="R511" s="15" t="n">
        <v>0.871749765043256</v>
      </c>
      <c r="S511" s="17" t="b">
        <f aca="false">FALSE()</f>
        <v>0</v>
      </c>
    </row>
    <row r="512" customFormat="false" ht="15" hidden="false" customHeight="true" outlineLevel="0" collapsed="false">
      <c r="A512" s="12" t="n">
        <v>42148</v>
      </c>
      <c r="B512" s="13" t="n">
        <v>169541.265947362</v>
      </c>
      <c r="C512" s="13" t="n">
        <v>182419.141441623</v>
      </c>
      <c r="D512" s="13" t="n">
        <v>4489</v>
      </c>
      <c r="E512" s="14" t="n">
        <v>37.7681590437428</v>
      </c>
      <c r="F512" s="14" t="n">
        <v>40.6369216844784</v>
      </c>
      <c r="G512" s="13" t="n">
        <v>-12877.8754942618</v>
      </c>
      <c r="H512" s="15" t="n">
        <v>-0.0759571743333569</v>
      </c>
      <c r="I512" s="15" t="n">
        <v>-0.0759571743333568</v>
      </c>
      <c r="J512" s="16" t="n">
        <v>2015</v>
      </c>
      <c r="K512" s="16" t="n">
        <v>5</v>
      </c>
      <c r="L512" s="16" t="n">
        <v>21</v>
      </c>
      <c r="M512" s="16" t="s">
        <v>38</v>
      </c>
      <c r="N512" s="17" t="b">
        <f aca="false">TRUE()</f>
        <v>1</v>
      </c>
      <c r="O512" s="14" t="n">
        <v>38.0678887699406</v>
      </c>
      <c r="P512" s="13" t="n">
        <v>5982.92857142857</v>
      </c>
      <c r="Q512" s="15" t="n">
        <v>-0.00787355789571523</v>
      </c>
      <c r="R512" s="15" t="n">
        <v>-0.249698547056506</v>
      </c>
      <c r="S512" s="17" t="b">
        <f aca="false">FALSE()</f>
        <v>0</v>
      </c>
    </row>
    <row r="513" customFormat="false" ht="15" hidden="false" customHeight="true" outlineLevel="0" collapsed="false">
      <c r="A513" s="12" t="n">
        <v>42149</v>
      </c>
      <c r="B513" s="13" t="n">
        <v>256434.509936074</v>
      </c>
      <c r="C513" s="13" t="n">
        <v>276173.792451497</v>
      </c>
      <c r="D513" s="13" t="n">
        <v>6795</v>
      </c>
      <c r="E513" s="14" t="n">
        <v>37.7387063923583</v>
      </c>
      <c r="F513" s="14" t="n">
        <v>40.6436780649738</v>
      </c>
      <c r="G513" s="13" t="n">
        <v>-19739.2825154224</v>
      </c>
      <c r="H513" s="15" t="n">
        <v>-0.0769759207539702</v>
      </c>
      <c r="I513" s="15" t="n">
        <v>-0.0769759207539702</v>
      </c>
      <c r="J513" s="16" t="n">
        <v>2015</v>
      </c>
      <c r="K513" s="16" t="n">
        <v>5</v>
      </c>
      <c r="L513" s="16" t="n">
        <v>22</v>
      </c>
      <c r="M513" s="16" t="s">
        <v>32</v>
      </c>
      <c r="N513" s="17" t="b">
        <f aca="false">FALSE()</f>
        <v>0</v>
      </c>
      <c r="O513" s="14" t="n">
        <v>38.0682383183587</v>
      </c>
      <c r="P513" s="13" t="n">
        <v>5988.57142857143</v>
      </c>
      <c r="Q513" s="15" t="n">
        <v>-0.00865634819359542</v>
      </c>
      <c r="R513" s="15" t="n">
        <v>0.134661259541985</v>
      </c>
      <c r="S513" s="17" t="b">
        <f aca="false">FALSE()</f>
        <v>0</v>
      </c>
    </row>
    <row r="514" customFormat="false" ht="15" hidden="false" customHeight="true" outlineLevel="0" collapsed="false">
      <c r="A514" s="12" t="n">
        <v>42150</v>
      </c>
      <c r="B514" s="13" t="n">
        <v>199385.91241487</v>
      </c>
      <c r="C514" s="13" t="n">
        <v>214719.752819221</v>
      </c>
      <c r="D514" s="13" t="n">
        <v>5283</v>
      </c>
      <c r="E514" s="14" t="n">
        <v>37.7410396393849</v>
      </c>
      <c r="F514" s="14" t="n">
        <v>40.6435269390916</v>
      </c>
      <c r="G514" s="13" t="n">
        <v>-15333.8404043506</v>
      </c>
      <c r="H514" s="15" t="n">
        <v>-0.0769053350792649</v>
      </c>
      <c r="I514" s="15" t="n">
        <v>-0.0769053350792649</v>
      </c>
      <c r="J514" s="16" t="n">
        <v>2015</v>
      </c>
      <c r="K514" s="16" t="n">
        <v>5</v>
      </c>
      <c r="L514" s="16" t="n">
        <v>22</v>
      </c>
      <c r="M514" s="16" t="s">
        <v>33</v>
      </c>
      <c r="N514" s="17" t="b">
        <f aca="false">FALSE()</f>
        <v>0</v>
      </c>
      <c r="O514" s="14" t="n">
        <v>38.0675517079998</v>
      </c>
      <c r="P514" s="13" t="n">
        <v>6098.42857142857</v>
      </c>
      <c r="Q514" s="15" t="n">
        <v>-0.00857717541488891</v>
      </c>
      <c r="R514" s="15" t="n">
        <v>-0.133711260512076</v>
      </c>
      <c r="S514" s="17" t="b">
        <f aca="false">FALSE()</f>
        <v>0</v>
      </c>
    </row>
    <row r="515" customFormat="false" ht="15" hidden="false" customHeight="true" outlineLevel="0" collapsed="false">
      <c r="A515" s="12" t="n">
        <v>42151</v>
      </c>
      <c r="B515" s="13" t="n">
        <v>243554.224338555</v>
      </c>
      <c r="C515" s="13" t="n">
        <v>262251.080079408</v>
      </c>
      <c r="D515" s="13" t="n">
        <v>6453</v>
      </c>
      <c r="E515" s="14" t="n">
        <v>37.7427900726105</v>
      </c>
      <c r="F515" s="14" t="n">
        <v>40.6401797736568</v>
      </c>
      <c r="G515" s="13" t="n">
        <v>-18696.8557408522</v>
      </c>
      <c r="H515" s="15" t="n">
        <v>-0.0767667068457921</v>
      </c>
      <c r="I515" s="15" t="n">
        <v>-0.076766706845792</v>
      </c>
      <c r="J515" s="16" t="n">
        <v>2015</v>
      </c>
      <c r="K515" s="16" t="n">
        <v>5</v>
      </c>
      <c r="L515" s="16" t="n">
        <v>22</v>
      </c>
      <c r="M515" s="16" t="s">
        <v>34</v>
      </c>
      <c r="N515" s="17" t="b">
        <f aca="false">FALSE()</f>
        <v>0</v>
      </c>
      <c r="O515" s="14" t="n">
        <v>38.0672235988285</v>
      </c>
      <c r="P515" s="13" t="n">
        <v>6110.21428571429</v>
      </c>
      <c r="Q515" s="15" t="n">
        <v>-0.00852264745222864</v>
      </c>
      <c r="R515" s="15" t="n">
        <v>0.0561004407140269</v>
      </c>
      <c r="S515" s="17" t="b">
        <f aca="false">FALSE()</f>
        <v>0</v>
      </c>
    </row>
    <row r="516" customFormat="false" ht="15" hidden="false" customHeight="true" outlineLevel="0" collapsed="false">
      <c r="A516" s="12" t="n">
        <v>42152</v>
      </c>
      <c r="B516" s="13" t="n">
        <v>217746.012919847</v>
      </c>
      <c r="C516" s="13" t="n">
        <v>234483.417009807</v>
      </c>
      <c r="D516" s="13" t="n">
        <v>5770</v>
      </c>
      <c r="E516" s="14" t="n">
        <v>37.7376105580324</v>
      </c>
      <c r="F516" s="14" t="n">
        <v>40.6383738318557</v>
      </c>
      <c r="G516" s="13" t="n">
        <v>-16737.4040899607</v>
      </c>
      <c r="H516" s="15" t="n">
        <v>-0.0768666386379335</v>
      </c>
      <c r="I516" s="15" t="n">
        <v>-0.0768666386379335</v>
      </c>
      <c r="J516" s="16" t="n">
        <v>2015</v>
      </c>
      <c r="K516" s="16" t="n">
        <v>5</v>
      </c>
      <c r="L516" s="16" t="n">
        <v>22</v>
      </c>
      <c r="M516" s="16" t="s">
        <v>35</v>
      </c>
      <c r="N516" s="17" t="b">
        <f aca="false">FALSE()</f>
        <v>0</v>
      </c>
      <c r="O516" s="14" t="n">
        <v>38.0679132202147</v>
      </c>
      <c r="P516" s="13" t="n">
        <v>6256.14285714286</v>
      </c>
      <c r="Q516" s="15" t="n">
        <v>-0.00867666846542546</v>
      </c>
      <c r="R516" s="15" t="n">
        <v>-0.0777064827712191</v>
      </c>
      <c r="S516" s="17" t="b">
        <f aca="false">FALSE()</f>
        <v>0</v>
      </c>
    </row>
    <row r="517" customFormat="false" ht="15" hidden="false" customHeight="true" outlineLevel="0" collapsed="false">
      <c r="A517" s="12" t="n">
        <v>42153</v>
      </c>
      <c r="B517" s="13" t="n">
        <v>472160.752109749</v>
      </c>
      <c r="C517" s="13" t="n">
        <v>508265.146973742</v>
      </c>
      <c r="D517" s="13" t="n">
        <v>12507</v>
      </c>
      <c r="E517" s="14" t="n">
        <v>37.7517192060245</v>
      </c>
      <c r="F517" s="14" t="n">
        <v>40.6384542235342</v>
      </c>
      <c r="G517" s="13" t="n">
        <v>-36104.3948639931</v>
      </c>
      <c r="H517" s="15" t="n">
        <v>-0.0764663193682836</v>
      </c>
      <c r="I517" s="15" t="n">
        <v>-0.0764663193682838</v>
      </c>
      <c r="J517" s="16" t="n">
        <v>2015</v>
      </c>
      <c r="K517" s="16" t="n">
        <v>5</v>
      </c>
      <c r="L517" s="16" t="n">
        <v>22</v>
      </c>
      <c r="M517" s="16" t="s">
        <v>36</v>
      </c>
      <c r="N517" s="17" t="b">
        <f aca="false">FALSE()</f>
        <v>0</v>
      </c>
      <c r="O517" s="14" t="n">
        <v>38.0671981291995</v>
      </c>
      <c r="P517" s="13" t="n">
        <v>6386</v>
      </c>
      <c r="Q517" s="15" t="n">
        <v>-0.00828742168268535</v>
      </c>
      <c r="R517" s="15" t="n">
        <v>0.958502975258378</v>
      </c>
      <c r="S517" s="17" t="b">
        <f aca="false">FALSE()</f>
        <v>0</v>
      </c>
    </row>
    <row r="518" customFormat="false" ht="15" hidden="false" customHeight="true" outlineLevel="0" collapsed="false">
      <c r="A518" s="12" t="n">
        <v>42154</v>
      </c>
      <c r="B518" s="13" t="n">
        <v>546135.462415099</v>
      </c>
      <c r="C518" s="13" t="n">
        <v>588250.181150783</v>
      </c>
      <c r="D518" s="13" t="n">
        <v>14475</v>
      </c>
      <c r="E518" s="14" t="n">
        <v>37.7295656245319</v>
      </c>
      <c r="F518" s="14" t="n">
        <v>40.6390453299332</v>
      </c>
      <c r="G518" s="13" t="n">
        <v>-42114.7187356843</v>
      </c>
      <c r="H518" s="15" t="n">
        <v>-0.0771140525272727</v>
      </c>
      <c r="I518" s="15" t="n">
        <v>-0.0771140525272726</v>
      </c>
      <c r="J518" s="16" t="n">
        <v>2015</v>
      </c>
      <c r="K518" s="16" t="n">
        <v>5</v>
      </c>
      <c r="L518" s="16" t="n">
        <v>22</v>
      </c>
      <c r="M518" s="16" t="s">
        <v>37</v>
      </c>
      <c r="N518" s="17" t="b">
        <f aca="false">TRUE()</f>
        <v>1</v>
      </c>
      <c r="O518" s="14" t="n">
        <v>38.0678764235989</v>
      </c>
      <c r="P518" s="13" t="n">
        <v>6559.07142857143</v>
      </c>
      <c r="Q518" s="15" t="n">
        <v>-0.00888704153871001</v>
      </c>
      <c r="R518" s="15" t="n">
        <v>1.20686726126303</v>
      </c>
      <c r="S518" s="17" t="b">
        <f aca="false">FALSE()</f>
        <v>0</v>
      </c>
    </row>
    <row r="519" customFormat="false" ht="15" hidden="false" customHeight="true" outlineLevel="0" collapsed="false">
      <c r="A519" s="12" t="n">
        <v>42155</v>
      </c>
      <c r="B519" s="13" t="n">
        <v>264637.365279711</v>
      </c>
      <c r="C519" s="13" t="n">
        <v>284828.659656249</v>
      </c>
      <c r="D519" s="13" t="n">
        <v>7009</v>
      </c>
      <c r="E519" s="14" t="n">
        <v>37.7567934483822</v>
      </c>
      <c r="F519" s="14" t="n">
        <v>40.6375602305962</v>
      </c>
      <c r="G519" s="13" t="n">
        <v>-20191.2943765381</v>
      </c>
      <c r="H519" s="15" t="n">
        <v>-0.0762979723411196</v>
      </c>
      <c r="I519" s="15" t="n">
        <v>-0.0762979723411197</v>
      </c>
      <c r="J519" s="16" t="n">
        <v>2015</v>
      </c>
      <c r="K519" s="16" t="n">
        <v>5</v>
      </c>
      <c r="L519" s="16" t="n">
        <v>22</v>
      </c>
      <c r="M519" s="16" t="s">
        <v>38</v>
      </c>
      <c r="N519" s="17" t="b">
        <f aca="false">TRUE()</f>
        <v>1</v>
      </c>
      <c r="O519" s="14" t="n">
        <v>38.0676599917377</v>
      </c>
      <c r="P519" s="13" t="n">
        <v>6809.85714285714</v>
      </c>
      <c r="Q519" s="15" t="n">
        <v>-0.00816615845110921</v>
      </c>
      <c r="R519" s="15" t="n">
        <v>0.0292433237533827</v>
      </c>
      <c r="S519" s="17" t="b">
        <f aca="false">FALSE()</f>
        <v>0</v>
      </c>
    </row>
    <row r="520" customFormat="false" ht="15" hidden="false" customHeight="true" outlineLevel="0" collapsed="false">
      <c r="A520" s="12" t="n">
        <v>42156</v>
      </c>
      <c r="B520" s="13" t="n">
        <v>440905.99870597</v>
      </c>
      <c r="C520" s="13" t="n">
        <v>474967.327631215</v>
      </c>
      <c r="D520" s="13" t="n">
        <v>11688</v>
      </c>
      <c r="E520" s="14" t="n">
        <v>37.7229636127627</v>
      </c>
      <c r="F520" s="14" t="n">
        <v>40.637177244286</v>
      </c>
      <c r="G520" s="13" t="n">
        <v>-34061.3289252448</v>
      </c>
      <c r="H520" s="15" t="n">
        <v>-0.0772530403877755</v>
      </c>
      <c r="I520" s="15" t="n">
        <v>-0.0772530403877755</v>
      </c>
      <c r="J520" s="16" t="n">
        <v>2015</v>
      </c>
      <c r="K520" s="16" t="n">
        <v>6</v>
      </c>
      <c r="L520" s="16" t="n">
        <v>23</v>
      </c>
      <c r="M520" s="16" t="s">
        <v>32</v>
      </c>
      <c r="N520" s="17" t="b">
        <f aca="false">FALSE()</f>
        <v>0</v>
      </c>
      <c r="O520" s="14" t="n">
        <v>38.0693102606337</v>
      </c>
      <c r="P520" s="13" t="n">
        <v>6975.14285714286</v>
      </c>
      <c r="Q520" s="15" t="n">
        <v>-0.00909779151499754</v>
      </c>
      <c r="R520" s="15" t="n">
        <v>0.675664604923606</v>
      </c>
      <c r="S520" s="17" t="b">
        <f aca="false">FALSE()</f>
        <v>0</v>
      </c>
    </row>
    <row r="521" customFormat="false" ht="15" hidden="false" customHeight="true" outlineLevel="0" collapsed="false">
      <c r="A521" s="12" t="n">
        <v>42157</v>
      </c>
      <c r="B521" s="13" t="n">
        <v>334318.897833152</v>
      </c>
      <c r="C521" s="13" t="n">
        <v>360168.827077008</v>
      </c>
      <c r="D521" s="13" t="n">
        <v>8863</v>
      </c>
      <c r="E521" s="14" t="n">
        <v>37.7207376546488</v>
      </c>
      <c r="F521" s="14" t="n">
        <v>40.6373493260756</v>
      </c>
      <c r="G521" s="13" t="n">
        <v>-25849.9292438559</v>
      </c>
      <c r="H521" s="15" t="n">
        <v>-0.077321172722808</v>
      </c>
      <c r="I521" s="15" t="n">
        <v>-0.0773211727228081</v>
      </c>
      <c r="J521" s="16" t="n">
        <v>2015</v>
      </c>
      <c r="K521" s="16" t="n">
        <v>6</v>
      </c>
      <c r="L521" s="16" t="n">
        <v>23</v>
      </c>
      <c r="M521" s="16" t="s">
        <v>33</v>
      </c>
      <c r="N521" s="17" t="b">
        <f aca="false">FALSE()</f>
        <v>0</v>
      </c>
      <c r="O521" s="14" t="n">
        <v>38.0683120730061</v>
      </c>
      <c r="P521" s="13" t="n">
        <v>7438.21428571429</v>
      </c>
      <c r="Q521" s="15" t="n">
        <v>-0.0091302818388899</v>
      </c>
      <c r="R521" s="15" t="n">
        <v>0.191549431027032</v>
      </c>
      <c r="S521" s="17" t="b">
        <f aca="false">FALSE()</f>
        <v>0</v>
      </c>
    </row>
    <row r="522" customFormat="false" ht="15" hidden="false" customHeight="true" outlineLevel="0" collapsed="false">
      <c r="A522" s="12" t="n">
        <v>42158</v>
      </c>
      <c r="B522" s="13" t="n">
        <v>269835.828626803</v>
      </c>
      <c r="C522" s="13" t="n">
        <v>290492.106280322</v>
      </c>
      <c r="D522" s="13" t="n">
        <v>7148</v>
      </c>
      <c r="E522" s="14" t="n">
        <v>37.7498361257419</v>
      </c>
      <c r="F522" s="14" t="n">
        <v>40.6396343425185</v>
      </c>
      <c r="G522" s="13" t="n">
        <v>-20656.2776535194</v>
      </c>
      <c r="H522" s="15" t="n">
        <v>-0.0765512784519365</v>
      </c>
      <c r="I522" s="15" t="n">
        <v>-0.0765512784519365</v>
      </c>
      <c r="J522" s="16" t="n">
        <v>2015</v>
      </c>
      <c r="K522" s="16" t="n">
        <v>6</v>
      </c>
      <c r="L522" s="16" t="n">
        <v>23</v>
      </c>
      <c r="M522" s="16" t="s">
        <v>34</v>
      </c>
      <c r="N522" s="17" t="b">
        <f aca="false">FALSE()</f>
        <v>0</v>
      </c>
      <c r="O522" s="14" t="n">
        <v>38.054316381178</v>
      </c>
      <c r="P522" s="13" t="n">
        <v>7811.42857142857</v>
      </c>
      <c r="Q522" s="15" t="n">
        <v>-0.00800120155585453</v>
      </c>
      <c r="R522" s="15" t="n">
        <v>-0.0849305047549378</v>
      </c>
      <c r="S522" s="17" t="b">
        <f aca="false">FALSE()</f>
        <v>0</v>
      </c>
    </row>
    <row r="523" customFormat="false" ht="15" hidden="false" customHeight="true" outlineLevel="0" collapsed="false">
      <c r="A523" s="12" t="n">
        <v>42159</v>
      </c>
      <c r="B523" s="13" t="n">
        <v>201146.48927983</v>
      </c>
      <c r="C523" s="13" t="n">
        <v>216428.500437961</v>
      </c>
      <c r="D523" s="13" t="n">
        <v>5326</v>
      </c>
      <c r="E523" s="14" t="n">
        <v>37.7668962222738</v>
      </c>
      <c r="F523" s="14" t="n">
        <v>40.6362186327377</v>
      </c>
      <c r="G523" s="13" t="n">
        <v>-15282.0111581307</v>
      </c>
      <c r="H523" s="15" t="n">
        <v>-0.0759745358362717</v>
      </c>
      <c r="I523" s="15" t="n">
        <v>-0.0759745358362717</v>
      </c>
      <c r="J523" s="16" t="n">
        <v>2015</v>
      </c>
      <c r="K523" s="16" t="n">
        <v>6</v>
      </c>
      <c r="L523" s="16" t="n">
        <v>23</v>
      </c>
      <c r="M523" s="16" t="s">
        <v>35</v>
      </c>
      <c r="N523" s="17" t="b">
        <f aca="false">FALSE()</f>
        <v>0</v>
      </c>
      <c r="O523" s="14" t="n">
        <v>38.0493826423932</v>
      </c>
      <c r="P523" s="13" t="n">
        <v>8008.14285714286</v>
      </c>
      <c r="Q523" s="15" t="n">
        <v>-0.00742420508564698</v>
      </c>
      <c r="R523" s="15" t="n">
        <v>-0.334926949355121</v>
      </c>
      <c r="S523" s="17" t="b">
        <f aca="false">FALSE()</f>
        <v>0</v>
      </c>
    </row>
    <row r="524" customFormat="false" ht="15" hidden="false" customHeight="true" outlineLevel="0" collapsed="false">
      <c r="A524" s="12" t="n">
        <v>42160</v>
      </c>
      <c r="B524" s="13" t="n">
        <v>293461.083938186</v>
      </c>
      <c r="C524" s="13" t="n">
        <v>315937.862196594</v>
      </c>
      <c r="D524" s="13" t="n">
        <v>7775</v>
      </c>
      <c r="E524" s="14" t="n">
        <v>37.7441908602168</v>
      </c>
      <c r="F524" s="14" t="n">
        <v>40.6350948162822</v>
      </c>
      <c r="G524" s="13" t="n">
        <v>-22476.778258408</v>
      </c>
      <c r="H524" s="15" t="n">
        <v>-0.0765920235718288</v>
      </c>
      <c r="I524" s="15" t="n">
        <v>-0.0765920235718288</v>
      </c>
      <c r="J524" s="16" t="n">
        <v>2015</v>
      </c>
      <c r="K524" s="16" t="n">
        <v>6</v>
      </c>
      <c r="L524" s="16" t="n">
        <v>23</v>
      </c>
      <c r="M524" s="16" t="s">
        <v>36</v>
      </c>
      <c r="N524" s="17" t="b">
        <f aca="false">FALSE()</f>
        <v>0</v>
      </c>
      <c r="O524" s="14" t="n">
        <v>37.7434545547255</v>
      </c>
      <c r="P524" s="13" t="n">
        <v>8244.85714285714</v>
      </c>
      <c r="Q524" s="15" t="n">
        <v>1.95081637340979E-005</v>
      </c>
      <c r="R524" s="15" t="n">
        <v>-0.0569879058807222</v>
      </c>
      <c r="S524" s="17" t="b">
        <f aca="false">FALSE()</f>
        <v>0</v>
      </c>
    </row>
    <row r="525" customFormat="false" ht="15" hidden="false" customHeight="true" outlineLevel="0" collapsed="false">
      <c r="A525" s="12" t="n">
        <v>42161</v>
      </c>
      <c r="B525" s="13" t="n">
        <v>349413.009820467</v>
      </c>
      <c r="C525" s="13" t="n">
        <v>376094.721805833</v>
      </c>
      <c r="D525" s="13" t="n">
        <v>9255</v>
      </c>
      <c r="E525" s="14" t="n">
        <v>37.7539718876788</v>
      </c>
      <c r="F525" s="14" t="n">
        <v>40.6369229395821</v>
      </c>
      <c r="G525" s="13" t="n">
        <v>-26681.7119853654</v>
      </c>
      <c r="H525" s="15" t="n">
        <v>-0.0763615298671186</v>
      </c>
      <c r="I525" s="15" t="n">
        <v>-0.0763615298671188</v>
      </c>
      <c r="J525" s="16" t="n">
        <v>2015</v>
      </c>
      <c r="K525" s="16" t="n">
        <v>6</v>
      </c>
      <c r="L525" s="16" t="n">
        <v>23</v>
      </c>
      <c r="M525" s="16" t="s">
        <v>37</v>
      </c>
      <c r="N525" s="17" t="b">
        <f aca="false">TRUE()</f>
        <v>1</v>
      </c>
      <c r="O525" s="14" t="n">
        <v>37.7433368558167</v>
      </c>
      <c r="P525" s="13" t="n">
        <v>8191.21428571429</v>
      </c>
      <c r="Q525" s="15" t="n">
        <v>0.000281772433178432</v>
      </c>
      <c r="R525" s="15" t="n">
        <v>0.129869110632472</v>
      </c>
      <c r="S525" s="17" t="b">
        <f aca="false">FALSE()</f>
        <v>0</v>
      </c>
    </row>
    <row r="526" customFormat="false" ht="15" hidden="false" customHeight="true" outlineLevel="0" collapsed="false">
      <c r="A526" s="12" t="n">
        <v>42162</v>
      </c>
      <c r="B526" s="13" t="n">
        <v>179602.91516319</v>
      </c>
      <c r="C526" s="13" t="n">
        <v>193348.591446229</v>
      </c>
      <c r="D526" s="13" t="n">
        <v>4758</v>
      </c>
      <c r="E526" s="14" t="n">
        <v>37.7475651877239</v>
      </c>
      <c r="F526" s="14" t="n">
        <v>40.6365261551553</v>
      </c>
      <c r="G526" s="13" t="n">
        <v>-13745.6762830386</v>
      </c>
      <c r="H526" s="15" t="n">
        <v>-0.076533703645896</v>
      </c>
      <c r="I526" s="15" t="n">
        <v>-0.0765337036458958</v>
      </c>
      <c r="J526" s="16" t="n">
        <v>2015</v>
      </c>
      <c r="K526" s="16" t="n">
        <v>6</v>
      </c>
      <c r="L526" s="16" t="n">
        <v>23</v>
      </c>
      <c r="M526" s="16" t="s">
        <v>38</v>
      </c>
      <c r="N526" s="17" t="b">
        <f aca="false">TRUE()</f>
        <v>1</v>
      </c>
      <c r="O526" s="14" t="n">
        <v>37.7446414534564</v>
      </c>
      <c r="P526" s="13" t="n">
        <v>8059.71428571429</v>
      </c>
      <c r="Q526" s="15" t="n">
        <v>7.746090981085E-005</v>
      </c>
      <c r="R526" s="15" t="n">
        <v>-0.409656492608742</v>
      </c>
      <c r="S526" s="17" t="b">
        <f aca="false">FALSE()</f>
        <v>0</v>
      </c>
    </row>
    <row r="527" customFormat="false" ht="15" hidden="false" customHeight="true" outlineLevel="0" collapsed="false">
      <c r="A527" s="12" t="n">
        <v>42163</v>
      </c>
      <c r="B527" s="13" t="n">
        <v>109810.545675718</v>
      </c>
      <c r="C527" s="13" t="n">
        <v>106166.081621258</v>
      </c>
      <c r="D527" s="13" t="n">
        <v>2613</v>
      </c>
      <c r="E527" s="14" t="n">
        <v>42.0247017511359</v>
      </c>
      <c r="F527" s="14" t="n">
        <v>40.6299585232521</v>
      </c>
      <c r="G527" s="13" t="n">
        <v>3644.46405446026</v>
      </c>
      <c r="H527" s="15" t="n">
        <v>0.0331886526201476</v>
      </c>
      <c r="I527" s="15" t="n">
        <v>0.0331886526201476</v>
      </c>
      <c r="J527" s="16" t="n">
        <v>2015</v>
      </c>
      <c r="K527" s="16" t="n">
        <v>6</v>
      </c>
      <c r="L527" s="16" t="n">
        <v>24</v>
      </c>
      <c r="M527" s="16" t="s">
        <v>32</v>
      </c>
      <c r="N527" s="17" t="b">
        <f aca="false">FALSE()</f>
        <v>0</v>
      </c>
      <c r="O527" s="14" t="n">
        <v>37.7431704637408</v>
      </c>
      <c r="P527" s="13" t="n">
        <v>8078.92857142857</v>
      </c>
      <c r="Q527" s="15" t="n">
        <v>0.113438570072122</v>
      </c>
      <c r="R527" s="15" t="n">
        <v>-0.676566022722249</v>
      </c>
      <c r="S527" s="17" t="b">
        <f aca="false">FALSE()</f>
        <v>0</v>
      </c>
    </row>
    <row r="528" customFormat="false" ht="15" hidden="false" customHeight="true" outlineLevel="0" collapsed="false">
      <c r="A528" s="12" t="n">
        <v>42164</v>
      </c>
      <c r="B528" s="13" t="n">
        <v>76956.9203536496</v>
      </c>
      <c r="C528" s="13" t="n">
        <v>74212.7905745494</v>
      </c>
      <c r="D528" s="13" t="n">
        <v>1830</v>
      </c>
      <c r="E528" s="14" t="n">
        <v>42.052961941885</v>
      </c>
      <c r="F528" s="14" t="n">
        <v>40.5534374724314</v>
      </c>
      <c r="G528" s="13" t="n">
        <v>2744.12977910021</v>
      </c>
      <c r="H528" s="15" t="n">
        <v>0.0356579988711837</v>
      </c>
      <c r="I528" s="15" t="n">
        <v>0.0356579988711837</v>
      </c>
      <c r="J528" s="16" t="n">
        <v>2015</v>
      </c>
      <c r="K528" s="16" t="n">
        <v>6</v>
      </c>
      <c r="L528" s="16" t="n">
        <v>24</v>
      </c>
      <c r="M528" s="16" t="s">
        <v>33</v>
      </c>
      <c r="N528" s="17" t="b">
        <f aca="false">FALSE()</f>
        <v>0</v>
      </c>
      <c r="O528" s="14" t="n">
        <v>38.0493129893678</v>
      </c>
      <c r="P528" s="13" t="n">
        <v>7780.21428571429</v>
      </c>
      <c r="Q528" s="15" t="n">
        <v>0.105222634470063</v>
      </c>
      <c r="R528" s="15" t="n">
        <v>-0.764787969483029</v>
      </c>
      <c r="S528" s="17" t="b">
        <f aca="false">FALSE()</f>
        <v>0</v>
      </c>
    </row>
    <row r="529" customFormat="false" ht="15" hidden="false" customHeight="true" outlineLevel="0" collapsed="false">
      <c r="A529" s="12" t="n">
        <v>42165</v>
      </c>
      <c r="B529" s="13" t="n">
        <v>71199.5884020395</v>
      </c>
      <c r="C529" s="13" t="n">
        <v>68669.3949639163</v>
      </c>
      <c r="D529" s="13" t="n">
        <v>1694</v>
      </c>
      <c r="E529" s="14" t="n">
        <v>42.0304536021485</v>
      </c>
      <c r="F529" s="14" t="n">
        <v>40.5368329184866</v>
      </c>
      <c r="G529" s="13" t="n">
        <v>2530.19343812323</v>
      </c>
      <c r="H529" s="15" t="n">
        <v>0.0355366301253892</v>
      </c>
      <c r="I529" s="15" t="n">
        <v>0.0355366301253892</v>
      </c>
      <c r="J529" s="16" t="n">
        <v>2015</v>
      </c>
      <c r="K529" s="16" t="n">
        <v>6</v>
      </c>
      <c r="L529" s="16" t="n">
        <v>24</v>
      </c>
      <c r="M529" s="16" t="s">
        <v>34</v>
      </c>
      <c r="N529" s="17" t="b">
        <f aca="false">FALSE()</f>
        <v>0</v>
      </c>
      <c r="O529" s="14" t="n">
        <v>38.3573074395464</v>
      </c>
      <c r="P529" s="13" t="n">
        <v>7533.57142857143</v>
      </c>
      <c r="Q529" s="15" t="n">
        <v>0.0957613140179676</v>
      </c>
      <c r="R529" s="15" t="n">
        <v>-0.775139850194368</v>
      </c>
      <c r="S529" s="17" t="b">
        <f aca="false">FALSE()</f>
        <v>0</v>
      </c>
    </row>
    <row r="530" customFormat="false" ht="15" hidden="false" customHeight="true" outlineLevel="0" collapsed="false">
      <c r="A530" s="12" t="n">
        <v>42166</v>
      </c>
      <c r="B530" s="13" t="n">
        <v>68988.3466703248</v>
      </c>
      <c r="C530" s="13" t="n">
        <v>66539.165195768</v>
      </c>
      <c r="D530" s="13" t="n">
        <v>1642</v>
      </c>
      <c r="E530" s="14" t="n">
        <v>42.0148274484317</v>
      </c>
      <c r="F530" s="14" t="n">
        <v>40.5232431155712</v>
      </c>
      <c r="G530" s="13" t="n">
        <v>2449.1814745568</v>
      </c>
      <c r="H530" s="15" t="n">
        <v>0.0355013794758805</v>
      </c>
      <c r="I530" s="15" t="n">
        <v>0.0355013794758805</v>
      </c>
      <c r="J530" s="16" t="n">
        <v>2015</v>
      </c>
      <c r="K530" s="16" t="n">
        <v>6</v>
      </c>
      <c r="L530" s="16" t="n">
        <v>24</v>
      </c>
      <c r="M530" s="16" t="s">
        <v>35</v>
      </c>
      <c r="N530" s="17" t="b">
        <f aca="false">FALSE()</f>
        <v>0</v>
      </c>
      <c r="O530" s="14" t="n">
        <v>38.6635691202276</v>
      </c>
      <c r="P530" s="13" t="n">
        <v>7193.64285714286</v>
      </c>
      <c r="Q530" s="15" t="n">
        <v>0.0866774176430269</v>
      </c>
      <c r="R530" s="15" t="n">
        <v>-0.771742907924656</v>
      </c>
      <c r="S530" s="17" t="b">
        <f aca="false">FALSE()</f>
        <v>0</v>
      </c>
    </row>
    <row r="531" customFormat="false" ht="15" hidden="false" customHeight="true" outlineLevel="0" collapsed="false">
      <c r="A531" s="12" t="n">
        <v>42167</v>
      </c>
      <c r="B531" s="13" t="n">
        <v>155156.879228006</v>
      </c>
      <c r="C531" s="13" t="n">
        <v>149423.243580907</v>
      </c>
      <c r="D531" s="13" t="n">
        <v>3690</v>
      </c>
      <c r="E531" s="14" t="n">
        <v>42.0479347501372</v>
      </c>
      <c r="F531" s="14" t="n">
        <v>40.4941039514652</v>
      </c>
      <c r="G531" s="13" t="n">
        <v>5733.6356470997</v>
      </c>
      <c r="H531" s="15" t="n">
        <v>0.036953795897596</v>
      </c>
      <c r="I531" s="15" t="n">
        <v>0.0369537958975959</v>
      </c>
      <c r="J531" s="16" t="n">
        <v>2015</v>
      </c>
      <c r="K531" s="16" t="n">
        <v>6</v>
      </c>
      <c r="L531" s="16" t="n">
        <v>24</v>
      </c>
      <c r="M531" s="16" t="s">
        <v>36</v>
      </c>
      <c r="N531" s="17" t="b">
        <f aca="false">FALSE()</f>
        <v>0</v>
      </c>
      <c r="O531" s="14" t="n">
        <v>38.969084612399</v>
      </c>
      <c r="P531" s="13" t="n">
        <v>6898.78571428572</v>
      </c>
      <c r="Q531" s="15" t="n">
        <v>0.0790075047531037</v>
      </c>
      <c r="R531" s="15" t="n">
        <v>-0.465123261857677</v>
      </c>
      <c r="S531" s="17" t="b">
        <f aca="false">FALSE()</f>
        <v>0</v>
      </c>
    </row>
    <row r="532" customFormat="false" ht="15" hidden="false" customHeight="true" outlineLevel="0" collapsed="false">
      <c r="A532" s="12" t="n">
        <v>42168</v>
      </c>
      <c r="B532" s="13" t="n">
        <v>185109.523146014</v>
      </c>
      <c r="C532" s="13" t="n">
        <v>178347.369376849</v>
      </c>
      <c r="D532" s="13" t="n">
        <v>4404</v>
      </c>
      <c r="E532" s="14" t="n">
        <v>42.0321351376053</v>
      </c>
      <c r="F532" s="14" t="n">
        <v>40.4966778784852</v>
      </c>
      <c r="G532" s="13" t="n">
        <v>6762.15376916493</v>
      </c>
      <c r="H532" s="15" t="n">
        <v>0.0365305558257581</v>
      </c>
      <c r="I532" s="15" t="n">
        <v>0.0365305558257581</v>
      </c>
      <c r="J532" s="16" t="n">
        <v>2015</v>
      </c>
      <c r="K532" s="16" t="n">
        <v>6</v>
      </c>
      <c r="L532" s="16" t="n">
        <v>24</v>
      </c>
      <c r="M532" s="16" t="s">
        <v>37</v>
      </c>
      <c r="N532" s="17" t="b">
        <f aca="false">TRUE()</f>
        <v>1</v>
      </c>
      <c r="O532" s="14" t="n">
        <v>39.2759571512642</v>
      </c>
      <c r="P532" s="13" t="n">
        <v>6269</v>
      </c>
      <c r="Q532" s="15" t="n">
        <v>0.07017468665948</v>
      </c>
      <c r="R532" s="15" t="n">
        <v>-0.29749561333546</v>
      </c>
      <c r="S532" s="17" t="b">
        <f aca="false">FALSE()</f>
        <v>0</v>
      </c>
    </row>
    <row r="533" customFormat="false" ht="15" hidden="false" customHeight="true" outlineLevel="0" collapsed="false">
      <c r="A533" s="12" t="n">
        <v>42169</v>
      </c>
      <c r="B533" s="13" t="n">
        <v>83779.5440108089</v>
      </c>
      <c r="C533" s="13" t="n">
        <v>80659.821812082</v>
      </c>
      <c r="D533" s="13" t="n">
        <v>1992</v>
      </c>
      <c r="E533" s="14" t="n">
        <v>42.0580040214904</v>
      </c>
      <c r="F533" s="14" t="n">
        <v>40.4918784197199</v>
      </c>
      <c r="G533" s="13" t="n">
        <v>3119.7221987269</v>
      </c>
      <c r="H533" s="15" t="n">
        <v>0.0372372783304288</v>
      </c>
      <c r="I533" s="15" t="n">
        <v>0.0372372783304289</v>
      </c>
      <c r="J533" s="16" t="n">
        <v>2015</v>
      </c>
      <c r="K533" s="16" t="n">
        <v>6</v>
      </c>
      <c r="L533" s="16" t="n">
        <v>24</v>
      </c>
      <c r="M533" s="16" t="s">
        <v>38</v>
      </c>
      <c r="N533" s="17" t="b">
        <f aca="false">TRUE()</f>
        <v>1</v>
      </c>
      <c r="O533" s="14" t="n">
        <v>39.5832835450552</v>
      </c>
      <c r="P533" s="13" t="n">
        <v>5549.64285714286</v>
      </c>
      <c r="Q533" s="15" t="n">
        <v>0.0625193327789099</v>
      </c>
      <c r="R533" s="15" t="n">
        <v>-0.641057983139198</v>
      </c>
      <c r="S533" s="17" t="b">
        <f aca="false">FALSE()</f>
        <v>0</v>
      </c>
    </row>
    <row r="534" customFormat="false" ht="15" hidden="false" customHeight="true" outlineLevel="0" collapsed="false">
      <c r="A534" s="12" t="n">
        <v>42170</v>
      </c>
      <c r="B534" s="13" t="n">
        <v>149501.574530758</v>
      </c>
      <c r="C534" s="13" t="n">
        <v>143962.871892902</v>
      </c>
      <c r="D534" s="13" t="n">
        <v>3557</v>
      </c>
      <c r="E534" s="14" t="n">
        <v>42.0302430505363</v>
      </c>
      <c r="F534" s="14" t="n">
        <v>40.4731155167</v>
      </c>
      <c r="G534" s="13" t="n">
        <v>5538.70263785566</v>
      </c>
      <c r="H534" s="15" t="n">
        <v>0.0370477879931369</v>
      </c>
      <c r="I534" s="15" t="n">
        <v>0.037047787993137</v>
      </c>
      <c r="J534" s="16" t="n">
        <v>2015</v>
      </c>
      <c r="K534" s="16" t="n">
        <v>6</v>
      </c>
      <c r="L534" s="16" t="n">
        <v>25</v>
      </c>
      <c r="M534" s="16" t="s">
        <v>32</v>
      </c>
      <c r="N534" s="17" t="b">
        <f aca="false">FALSE()</f>
        <v>0</v>
      </c>
      <c r="O534" s="14" t="n">
        <v>39.8905128717058</v>
      </c>
      <c r="P534" s="13" t="n">
        <v>5191.28571428572</v>
      </c>
      <c r="Q534" s="15" t="n">
        <v>0.0536400769203504</v>
      </c>
      <c r="R534" s="15" t="n">
        <v>-0.314813286001266</v>
      </c>
      <c r="S534" s="17" t="b">
        <f aca="false">FALSE()</f>
        <v>0</v>
      </c>
    </row>
    <row r="535" customFormat="false" ht="15" hidden="false" customHeight="true" outlineLevel="0" collapsed="false">
      <c r="A535" s="12" t="n">
        <v>42171</v>
      </c>
      <c r="B535" s="13" t="n">
        <v>100477.296792604</v>
      </c>
      <c r="C535" s="13" t="n">
        <v>96810.1035815691</v>
      </c>
      <c r="D535" s="13" t="n">
        <v>2395</v>
      </c>
      <c r="E535" s="14" t="n">
        <v>41.9529422933627</v>
      </c>
      <c r="F535" s="14" t="n">
        <v>40.4217551488806</v>
      </c>
      <c r="G535" s="13" t="n">
        <v>3667.19321103457</v>
      </c>
      <c r="H535" s="15" t="n">
        <v>0.0364977296175081</v>
      </c>
      <c r="I535" s="15" t="n">
        <v>0.036497729617508</v>
      </c>
      <c r="J535" s="16" t="n">
        <v>2015</v>
      </c>
      <c r="K535" s="16" t="n">
        <v>6</v>
      </c>
      <c r="L535" s="16" t="n">
        <v>25</v>
      </c>
      <c r="M535" s="16" t="s">
        <v>33</v>
      </c>
      <c r="N535" s="17" t="b">
        <f aca="false">FALSE()</f>
        <v>0</v>
      </c>
      <c r="O535" s="14" t="n">
        <v>40.1981756886896</v>
      </c>
      <c r="P535" s="13" t="n">
        <v>4610.5</v>
      </c>
      <c r="Q535" s="15" t="n">
        <v>0.0436528915705701</v>
      </c>
      <c r="R535" s="15" t="n">
        <v>-0.480533564689296</v>
      </c>
      <c r="S535" s="17" t="b">
        <f aca="false">FALSE()</f>
        <v>0</v>
      </c>
    </row>
    <row r="536" customFormat="false" ht="15" hidden="false" customHeight="true" outlineLevel="0" collapsed="false">
      <c r="A536" s="12" t="n">
        <v>42172</v>
      </c>
      <c r="B536" s="13" t="n">
        <v>89072.7053470792</v>
      </c>
      <c r="C536" s="13" t="n">
        <v>85639.3077459946</v>
      </c>
      <c r="D536" s="13" t="n">
        <v>2120</v>
      </c>
      <c r="E536" s="14" t="n">
        <v>42.0154270505091</v>
      </c>
      <c r="F536" s="14" t="n">
        <v>40.3958998801861</v>
      </c>
      <c r="G536" s="13" t="n">
        <v>3433.39760108461</v>
      </c>
      <c r="H536" s="15" t="n">
        <v>0.0385460123581752</v>
      </c>
      <c r="I536" s="15" t="n">
        <v>0.0385460123581753</v>
      </c>
      <c r="J536" s="16" t="n">
        <v>2015</v>
      </c>
      <c r="K536" s="16" t="n">
        <v>6</v>
      </c>
      <c r="L536" s="16" t="n">
        <v>25</v>
      </c>
      <c r="M536" s="16" t="s">
        <v>34</v>
      </c>
      <c r="N536" s="17" t="b">
        <f aca="false">FALSE()</f>
        <v>0</v>
      </c>
      <c r="O536" s="14" t="n">
        <v>40.5004760200263</v>
      </c>
      <c r="P536" s="13" t="n">
        <v>4148.5</v>
      </c>
      <c r="Q536" s="15" t="n">
        <v>0.0374057586319142</v>
      </c>
      <c r="R536" s="15" t="n">
        <v>-0.488971917560564</v>
      </c>
      <c r="S536" s="17" t="b">
        <f aca="false">FALSE()</f>
        <v>0</v>
      </c>
    </row>
    <row r="537" customFormat="false" ht="15" hidden="false" customHeight="true" outlineLevel="0" collapsed="false">
      <c r="A537" s="12" t="n">
        <v>42173</v>
      </c>
      <c r="B537" s="13" t="n">
        <v>78746.5958575195</v>
      </c>
      <c r="C537" s="13" t="n">
        <v>75673.7819874157</v>
      </c>
      <c r="D537" s="13" t="n">
        <v>1875</v>
      </c>
      <c r="E537" s="14" t="n">
        <v>41.9981844573438</v>
      </c>
      <c r="F537" s="14" t="n">
        <v>40.3593503932884</v>
      </c>
      <c r="G537" s="13" t="n">
        <v>3072.81387010386</v>
      </c>
      <c r="H537" s="15" t="n">
        <v>0.0390215454603735</v>
      </c>
      <c r="I537" s="15" t="n">
        <v>0.0390215454603734</v>
      </c>
      <c r="J537" s="16" t="n">
        <v>2015</v>
      </c>
      <c r="K537" s="16" t="n">
        <v>6</v>
      </c>
      <c r="L537" s="16" t="n">
        <v>25</v>
      </c>
      <c r="M537" s="16" t="s">
        <v>35</v>
      </c>
      <c r="N537" s="17" t="b">
        <f aca="false">FALSE()</f>
        <v>0</v>
      </c>
      <c r="O537" s="14" t="n">
        <v>40.8051610860811</v>
      </c>
      <c r="P537" s="13" t="n">
        <v>3789.35714285714</v>
      </c>
      <c r="Q537" s="15" t="n">
        <v>0.0292370704957121</v>
      </c>
      <c r="R537" s="15" t="n">
        <v>-0.505193116058133</v>
      </c>
      <c r="S537" s="17" t="b">
        <f aca="false">FALSE()</f>
        <v>0</v>
      </c>
    </row>
    <row r="538" customFormat="false" ht="15" hidden="false" customHeight="true" outlineLevel="0" collapsed="false">
      <c r="A538" s="12" t="n">
        <v>42174</v>
      </c>
      <c r="B538" s="13" t="n">
        <v>141913.382429546</v>
      </c>
      <c r="C538" s="13" t="n">
        <v>136017.750393757</v>
      </c>
      <c r="D538" s="13" t="n">
        <v>3376</v>
      </c>
      <c r="E538" s="14" t="n">
        <v>42.0359545111216</v>
      </c>
      <c r="F538" s="14" t="n">
        <v>40.2896180076295</v>
      </c>
      <c r="G538" s="13" t="n">
        <v>5895.63203578908</v>
      </c>
      <c r="H538" s="15" t="n">
        <v>0.0415438765171847</v>
      </c>
      <c r="I538" s="15" t="n">
        <v>0.0415438765171846</v>
      </c>
      <c r="J538" s="16" t="n">
        <v>2015</v>
      </c>
      <c r="K538" s="16" t="n">
        <v>6</v>
      </c>
      <c r="L538" s="16" t="n">
        <v>25</v>
      </c>
      <c r="M538" s="16" t="s">
        <v>36</v>
      </c>
      <c r="N538" s="17" t="b">
        <f aca="false">FALSE()</f>
        <v>0</v>
      </c>
      <c r="O538" s="14" t="n">
        <v>41.1073959600147</v>
      </c>
      <c r="P538" s="13" t="n">
        <v>3542.85714285714</v>
      </c>
      <c r="Q538" s="15" t="n">
        <v>0.022588600650114</v>
      </c>
      <c r="R538" s="15" t="n">
        <v>-0.0470967741935483</v>
      </c>
      <c r="S538" s="17" t="b">
        <f aca="false">FALSE()</f>
        <v>0</v>
      </c>
    </row>
    <row r="539" customFormat="false" ht="15" hidden="false" customHeight="true" outlineLevel="0" collapsed="false">
      <c r="A539" s="12" t="n">
        <v>42175</v>
      </c>
      <c r="B539" s="13" t="n">
        <v>169304.278283515</v>
      </c>
      <c r="C539" s="13" t="n">
        <v>162287.909224824</v>
      </c>
      <c r="D539" s="13" t="n">
        <v>4027</v>
      </c>
      <c r="E539" s="14" t="n">
        <v>42.0422841528471</v>
      </c>
      <c r="F539" s="14" t="n">
        <v>40.2999526259806</v>
      </c>
      <c r="G539" s="13" t="n">
        <v>7016.36905869117</v>
      </c>
      <c r="H539" s="15" t="n">
        <v>0.0414423612316614</v>
      </c>
      <c r="I539" s="15" t="n">
        <v>0.0414423612316614</v>
      </c>
      <c r="J539" s="16" t="n">
        <v>2015</v>
      </c>
      <c r="K539" s="16" t="n">
        <v>6</v>
      </c>
      <c r="L539" s="16" t="n">
        <v>25</v>
      </c>
      <c r="M539" s="16" t="s">
        <v>37</v>
      </c>
      <c r="N539" s="17" t="b">
        <f aca="false">TRUE()</f>
        <v>1</v>
      </c>
      <c r="O539" s="14" t="n">
        <v>41.4139505065079</v>
      </c>
      <c r="P539" s="13" t="n">
        <v>3228.64285714286</v>
      </c>
      <c r="Q539" s="15" t="n">
        <v>0.0151720287162769</v>
      </c>
      <c r="R539" s="15" t="n">
        <v>0.247273290413929</v>
      </c>
      <c r="S539" s="17" t="b">
        <f aca="false">FALSE()</f>
        <v>0</v>
      </c>
    </row>
    <row r="540" customFormat="false" ht="15" hidden="false" customHeight="true" outlineLevel="0" collapsed="false">
      <c r="A540" s="12" t="n">
        <v>42176</v>
      </c>
      <c r="B540" s="13" t="n">
        <v>89512.2428360684</v>
      </c>
      <c r="C540" s="13" t="n">
        <v>85781.8070312297</v>
      </c>
      <c r="D540" s="13" t="n">
        <v>2128</v>
      </c>
      <c r="E540" s="14" t="n">
        <v>42.0640238891299</v>
      </c>
      <c r="F540" s="14" t="n">
        <v>40.3109995447508</v>
      </c>
      <c r="G540" s="13" t="n">
        <v>3730.43580483877</v>
      </c>
      <c r="H540" s="15" t="n">
        <v>0.0416751461771619</v>
      </c>
      <c r="I540" s="15" t="n">
        <v>0.041675146177162</v>
      </c>
      <c r="J540" s="16" t="n">
        <v>2015</v>
      </c>
      <c r="K540" s="16" t="n">
        <v>6</v>
      </c>
      <c r="L540" s="16" t="n">
        <v>25</v>
      </c>
      <c r="M540" s="16" t="s">
        <v>38</v>
      </c>
      <c r="N540" s="17" t="b">
        <f aca="false">TRUE()</f>
        <v>1</v>
      </c>
      <c r="O540" s="14" t="n">
        <v>41.7202585254485</v>
      </c>
      <c r="P540" s="13" t="n">
        <v>2855.21428571429</v>
      </c>
      <c r="Q540" s="15" t="n">
        <v>0.00823977069729212</v>
      </c>
      <c r="R540" s="15" t="n">
        <v>-0.254696920421284</v>
      </c>
      <c r="S540" s="17" t="b">
        <f aca="false">FALSE()</f>
        <v>0</v>
      </c>
    </row>
    <row r="541" customFormat="false" ht="15" hidden="false" customHeight="true" outlineLevel="0" collapsed="false">
      <c r="A541" s="12" t="n">
        <v>42177</v>
      </c>
      <c r="B541" s="13" t="n">
        <v>85984.0753391392</v>
      </c>
      <c r="C541" s="13" t="n">
        <v>82427.2315369071</v>
      </c>
      <c r="D541" s="13" t="n">
        <v>2046</v>
      </c>
      <c r="E541" s="14" t="n">
        <v>42.025452267419</v>
      </c>
      <c r="F541" s="14" t="n">
        <v>40.287014436416</v>
      </c>
      <c r="G541" s="13" t="n">
        <v>3556.84380223205</v>
      </c>
      <c r="H541" s="15" t="n">
        <v>0.0413663086821962</v>
      </c>
      <c r="I541" s="15" t="n">
        <v>0.0413663086821964</v>
      </c>
      <c r="J541" s="16" t="n">
        <v>2015</v>
      </c>
      <c r="K541" s="16" t="n">
        <v>6</v>
      </c>
      <c r="L541" s="16" t="n">
        <v>26</v>
      </c>
      <c r="M541" s="16" t="s">
        <v>32</v>
      </c>
      <c r="N541" s="17" t="b">
        <f aca="false">FALSE()</f>
        <v>0</v>
      </c>
      <c r="O541" s="14" t="n">
        <v>42.0285770041203</v>
      </c>
      <c r="P541" s="13" t="n">
        <v>2667.35714285714</v>
      </c>
      <c r="Q541" s="15" t="n">
        <v>-7.43479062129542E-005</v>
      </c>
      <c r="R541" s="15" t="n">
        <v>-0.232948611520231</v>
      </c>
      <c r="S541" s="17" t="b">
        <f aca="false">FALSE()</f>
        <v>0</v>
      </c>
    </row>
    <row r="542" customFormat="false" ht="15" hidden="false" customHeight="true" outlineLevel="0" collapsed="false">
      <c r="A542" s="12" t="n">
        <v>42178</v>
      </c>
      <c r="B542" s="13" t="n">
        <v>64956.4620758996</v>
      </c>
      <c r="C542" s="13" t="n">
        <v>62169.7771248572</v>
      </c>
      <c r="D542" s="13" t="n">
        <v>1546</v>
      </c>
      <c r="E542" s="14" t="n">
        <v>42.0158228175289</v>
      </c>
      <c r="F542" s="14" t="n">
        <v>40.2133099125855</v>
      </c>
      <c r="G542" s="13" t="n">
        <v>2786.68495104245</v>
      </c>
      <c r="H542" s="15" t="n">
        <v>0.0429008117435074</v>
      </c>
      <c r="I542" s="15" t="n">
        <v>0.0429008117435074</v>
      </c>
      <c r="J542" s="16" t="n">
        <v>2015</v>
      </c>
      <c r="K542" s="16" t="n">
        <v>6</v>
      </c>
      <c r="L542" s="16" t="n">
        <v>26</v>
      </c>
      <c r="M542" s="16" t="s">
        <v>33</v>
      </c>
      <c r="N542" s="17" t="b">
        <f aca="false">FALSE()</f>
        <v>0</v>
      </c>
      <c r="O542" s="14" t="n">
        <v>42.0286306124262</v>
      </c>
      <c r="P542" s="13" t="n">
        <v>2626.85714285714</v>
      </c>
      <c r="Q542" s="15" t="n">
        <v>-0.000304739762174953</v>
      </c>
      <c r="R542" s="15" t="n">
        <v>-0.411463998259735</v>
      </c>
      <c r="S542" s="17" t="b">
        <f aca="false">FALSE()</f>
        <v>0</v>
      </c>
    </row>
    <row r="543" customFormat="false" ht="15" hidden="false" customHeight="true" outlineLevel="0" collapsed="false">
      <c r="A543" s="12" t="n">
        <v>42179</v>
      </c>
      <c r="B543" s="13" t="n">
        <v>106613.432835479</v>
      </c>
      <c r="C543" s="13" t="n">
        <v>113428.474274667</v>
      </c>
      <c r="D543" s="13" t="n">
        <v>2822</v>
      </c>
      <c r="E543" s="14" t="n">
        <v>37.7793879643794</v>
      </c>
      <c r="F543" s="14" t="n">
        <v>40.1943565820933</v>
      </c>
      <c r="G543" s="13" t="n">
        <v>-6815.04143918885</v>
      </c>
      <c r="H543" s="15" t="n">
        <v>-0.0639229153206758</v>
      </c>
      <c r="I543" s="15" t="n">
        <v>-0.0639229153206758</v>
      </c>
      <c r="J543" s="16" t="n">
        <v>2015</v>
      </c>
      <c r="K543" s="16" t="n">
        <v>6</v>
      </c>
      <c r="L543" s="16" t="n">
        <v>26</v>
      </c>
      <c r="M543" s="16" t="s">
        <v>34</v>
      </c>
      <c r="N543" s="17" t="b">
        <f aca="false">FALSE()</f>
        <v>0</v>
      </c>
      <c r="O543" s="14" t="n">
        <v>42.0259778178294</v>
      </c>
      <c r="P543" s="13" t="n">
        <v>2606.57142857143</v>
      </c>
      <c r="Q543" s="15" t="n">
        <v>-0.101046782822229</v>
      </c>
      <c r="R543" s="15" t="n">
        <v>0.0826482516715993</v>
      </c>
      <c r="S543" s="17" t="b">
        <f aca="false">FALSE()</f>
        <v>0</v>
      </c>
    </row>
    <row r="544" customFormat="false" ht="15" hidden="false" customHeight="true" outlineLevel="0" collapsed="false">
      <c r="A544" s="12" t="n">
        <v>42180</v>
      </c>
      <c r="B544" s="13" t="n">
        <v>183843.817295243</v>
      </c>
      <c r="C544" s="13" t="n">
        <v>195365.730719943</v>
      </c>
      <c r="D544" s="13" t="n">
        <v>4865</v>
      </c>
      <c r="E544" s="14" t="n">
        <v>37.7890683032359</v>
      </c>
      <c r="F544" s="14" t="n">
        <v>40.1573958314374</v>
      </c>
      <c r="G544" s="13" t="n">
        <v>-11521.9134247001</v>
      </c>
      <c r="H544" s="15" t="n">
        <v>-0.0626722921347772</v>
      </c>
      <c r="I544" s="15" t="n">
        <v>-0.0626722921347773</v>
      </c>
      <c r="J544" s="16" t="n">
        <v>2015</v>
      </c>
      <c r="K544" s="16" t="n">
        <v>6</v>
      </c>
      <c r="L544" s="16" t="n">
        <v>26</v>
      </c>
      <c r="M544" s="16" t="s">
        <v>35</v>
      </c>
      <c r="N544" s="17" t="b">
        <f aca="false">FALSE()</f>
        <v>0</v>
      </c>
      <c r="O544" s="14" t="n">
        <v>41.7223302722744</v>
      </c>
      <c r="P544" s="13" t="n">
        <v>2687.14285714286</v>
      </c>
      <c r="Q544" s="15" t="n">
        <v>-0.094272346327987</v>
      </c>
      <c r="R544" s="15" t="n">
        <v>0.810473152578416</v>
      </c>
      <c r="S544" s="17" t="b">
        <f aca="false">TRUE()</f>
        <v>1</v>
      </c>
    </row>
    <row r="545" customFormat="false" ht="15" hidden="false" customHeight="true" outlineLevel="0" collapsed="false">
      <c r="A545" s="12" t="n">
        <v>42181</v>
      </c>
      <c r="B545" s="13" t="n">
        <v>319579.794094356</v>
      </c>
      <c r="C545" s="13" t="n">
        <v>339241.691802457</v>
      </c>
      <c r="D545" s="13" t="n">
        <v>8450</v>
      </c>
      <c r="E545" s="14" t="n">
        <v>37.8200939756634</v>
      </c>
      <c r="F545" s="14" t="n">
        <v>40.1469457754387</v>
      </c>
      <c r="G545" s="13" t="n">
        <v>-19661.8977081009</v>
      </c>
      <c r="H545" s="15" t="n">
        <v>-0.0615242204652518</v>
      </c>
      <c r="I545" s="15" t="n">
        <v>-0.0615242204652518</v>
      </c>
      <c r="J545" s="16" t="n">
        <v>2015</v>
      </c>
      <c r="K545" s="16" t="n">
        <v>6</v>
      </c>
      <c r="L545" s="16" t="n">
        <v>26</v>
      </c>
      <c r="M545" s="16" t="s">
        <v>36</v>
      </c>
      <c r="N545" s="17" t="b">
        <f aca="false">FALSE()</f>
        <v>0</v>
      </c>
      <c r="O545" s="14" t="n">
        <v>41.4204903333319</v>
      </c>
      <c r="P545" s="13" t="n">
        <v>2917.35714285714</v>
      </c>
      <c r="Q545" s="15" t="n">
        <v>-0.0869230742730048</v>
      </c>
      <c r="R545" s="15" t="n">
        <v>1.89645716524251</v>
      </c>
      <c r="S545" s="17" t="b">
        <f aca="false">TRUE()</f>
        <v>1</v>
      </c>
    </row>
    <row r="546" customFormat="false" ht="15" hidden="false" customHeight="true" outlineLevel="0" collapsed="false">
      <c r="A546" s="12" t="n">
        <v>42182</v>
      </c>
      <c r="B546" s="13" t="n">
        <v>369245.75870665</v>
      </c>
      <c r="C546" s="13" t="n">
        <v>392017.973450987</v>
      </c>
      <c r="D546" s="13" t="n">
        <v>9770</v>
      </c>
      <c r="E546" s="14" t="n">
        <v>37.7938340539048</v>
      </c>
      <c r="F546" s="14" t="n">
        <v>40.1246646316261</v>
      </c>
      <c r="G546" s="13" t="n">
        <v>-22772.2147443369</v>
      </c>
      <c r="H546" s="15" t="n">
        <v>-0.0616722445888091</v>
      </c>
      <c r="I546" s="15" t="n">
        <v>-0.0616722445888091</v>
      </c>
      <c r="J546" s="16" t="n">
        <v>2015</v>
      </c>
      <c r="K546" s="16" t="n">
        <v>6</v>
      </c>
      <c r="L546" s="16" t="n">
        <v>26</v>
      </c>
      <c r="M546" s="16" t="s">
        <v>37</v>
      </c>
      <c r="N546" s="17" t="b">
        <f aca="false">TRUE()</f>
        <v>1</v>
      </c>
      <c r="O546" s="14" t="n">
        <v>41.1185017065838</v>
      </c>
      <c r="P546" s="13" t="n">
        <v>3257.35714285714</v>
      </c>
      <c r="Q546" s="15" t="n">
        <v>-0.0808557587142489</v>
      </c>
      <c r="R546" s="15" t="n">
        <v>1.99936407692476</v>
      </c>
      <c r="S546" s="17" t="b">
        <f aca="false">TRUE()</f>
        <v>1</v>
      </c>
    </row>
    <row r="547" customFormat="false" ht="15" hidden="false" customHeight="true" outlineLevel="0" collapsed="false">
      <c r="A547" s="12" t="n">
        <v>42183</v>
      </c>
      <c r="B547" s="13" t="n">
        <v>185648.49109673</v>
      </c>
      <c r="C547" s="13" t="n">
        <v>197095.108742969</v>
      </c>
      <c r="D547" s="13" t="n">
        <v>4914</v>
      </c>
      <c r="E547" s="14" t="n">
        <v>37.7795057176903</v>
      </c>
      <c r="F547" s="14" t="n">
        <v>40.108894738089</v>
      </c>
      <c r="G547" s="13" t="n">
        <v>-11446.6176462391</v>
      </c>
      <c r="H547" s="15" t="n">
        <v>-0.0616574774113029</v>
      </c>
      <c r="I547" s="15" t="n">
        <v>-0.0616574774113031</v>
      </c>
      <c r="J547" s="16" t="n">
        <v>2015</v>
      </c>
      <c r="K547" s="16" t="n">
        <v>6</v>
      </c>
      <c r="L547" s="16" t="n">
        <v>26</v>
      </c>
      <c r="M547" s="16" t="s">
        <v>38</v>
      </c>
      <c r="N547" s="17" t="b">
        <f aca="false">TRUE()</f>
        <v>1</v>
      </c>
      <c r="O547" s="14" t="n">
        <v>40.8157659148909</v>
      </c>
      <c r="P547" s="13" t="n">
        <v>3640.64285714286</v>
      </c>
      <c r="Q547" s="15" t="n">
        <v>-0.0743893965761108</v>
      </c>
      <c r="R547" s="15" t="n">
        <v>0.349761619808119</v>
      </c>
      <c r="S547" s="17" t="b">
        <f aca="false">TRUE()</f>
        <v>1</v>
      </c>
    </row>
    <row r="548" customFormat="false" ht="15" hidden="false" customHeight="true" outlineLevel="0" collapsed="false">
      <c r="A548" s="12" t="n">
        <v>42184</v>
      </c>
      <c r="B548" s="13" t="n">
        <v>165557.761783853</v>
      </c>
      <c r="C548" s="13" t="n">
        <v>175871.110920523</v>
      </c>
      <c r="D548" s="13" t="n">
        <v>4385</v>
      </c>
      <c r="E548" s="14" t="n">
        <v>37.7554758914145</v>
      </c>
      <c r="F548" s="14" t="n">
        <v>40.1074369260029</v>
      </c>
      <c r="G548" s="13" t="n">
        <v>-10313.3491366699</v>
      </c>
      <c r="H548" s="15" t="n">
        <v>-0.0622945673192578</v>
      </c>
      <c r="I548" s="15" t="n">
        <v>-0.0622945673192577</v>
      </c>
      <c r="J548" s="16" t="n">
        <v>2015</v>
      </c>
      <c r="K548" s="16" t="n">
        <v>6</v>
      </c>
      <c r="L548" s="16" t="n">
        <v>27</v>
      </c>
      <c r="M548" s="16" t="s">
        <v>32</v>
      </c>
      <c r="N548" s="17" t="b">
        <f aca="false">FALSE()</f>
        <v>0</v>
      </c>
      <c r="O548" s="14" t="n">
        <v>40.5101588931909</v>
      </c>
      <c r="P548" s="13" t="n">
        <v>3849.35714285714</v>
      </c>
      <c r="Q548" s="15" t="n">
        <v>-0.0679998073826201</v>
      </c>
      <c r="R548" s="15" t="n">
        <v>0.139151249744855</v>
      </c>
      <c r="S548" s="17" t="b">
        <f aca="false">TRUE()</f>
        <v>1</v>
      </c>
    </row>
    <row r="549" customFormat="false" ht="15" hidden="false" customHeight="true" outlineLevel="0" collapsed="false">
      <c r="A549" s="12" t="n">
        <v>42185</v>
      </c>
      <c r="B549" s="13" t="n">
        <v>212465.083204942</v>
      </c>
      <c r="C549" s="13" t="n">
        <v>225678.934525302</v>
      </c>
      <c r="D549" s="13" t="n">
        <v>5627</v>
      </c>
      <c r="E549" s="14" t="n">
        <v>37.7581452292414</v>
      </c>
      <c r="F549" s="14" t="n">
        <v>40.1064394038212</v>
      </c>
      <c r="G549" s="13" t="n">
        <v>-13213.8513203604</v>
      </c>
      <c r="H549" s="15" t="n">
        <v>-0.0621930489520223</v>
      </c>
      <c r="I549" s="15" t="n">
        <v>-0.0621930489520223</v>
      </c>
      <c r="J549" s="16" t="n">
        <v>2015</v>
      </c>
      <c r="K549" s="16" t="n">
        <v>6</v>
      </c>
      <c r="L549" s="16" t="n">
        <v>27</v>
      </c>
      <c r="M549" s="16" t="s">
        <v>33</v>
      </c>
      <c r="N549" s="17" t="b">
        <f aca="false">FALSE()</f>
        <v>0</v>
      </c>
      <c r="O549" s="14" t="n">
        <v>40.204818381825</v>
      </c>
      <c r="P549" s="13" t="n">
        <v>3908.5</v>
      </c>
      <c r="Q549" s="15" t="n">
        <v>-0.060855222111627</v>
      </c>
      <c r="R549" s="15" t="n">
        <v>0.439682742740182</v>
      </c>
      <c r="S549" s="17" t="b">
        <f aca="false">TRUE()</f>
        <v>1</v>
      </c>
    </row>
    <row r="550" customFormat="false" ht="15" hidden="false" customHeight="true" outlineLevel="0" collapsed="false">
      <c r="A550" s="12" t="n">
        <v>42186</v>
      </c>
      <c r="B550" s="13" t="n">
        <v>305231.908086358</v>
      </c>
      <c r="C550" s="13" t="n">
        <v>324248.84149134</v>
      </c>
      <c r="D550" s="13" t="n">
        <v>8086</v>
      </c>
      <c r="E550" s="14" t="n">
        <v>37.7481954101358</v>
      </c>
      <c r="F550" s="14" t="n">
        <v>40.1000298653648</v>
      </c>
      <c r="G550" s="13" t="n">
        <v>-19016.9334049819</v>
      </c>
      <c r="H550" s="15" t="n">
        <v>-0.0623032287948137</v>
      </c>
      <c r="I550" s="15" t="n">
        <v>-0.0623032287948138</v>
      </c>
      <c r="J550" s="16" t="n">
        <v>2015</v>
      </c>
      <c r="K550" s="16" t="n">
        <v>7</v>
      </c>
      <c r="L550" s="16" t="n">
        <v>27</v>
      </c>
      <c r="M550" s="16" t="s">
        <v>34</v>
      </c>
      <c r="N550" s="17" t="b">
        <f aca="false">FALSE()</f>
        <v>0</v>
      </c>
      <c r="O550" s="14" t="n">
        <v>39.9051900201021</v>
      </c>
      <c r="P550" s="13" t="n">
        <v>4139.35714285714</v>
      </c>
      <c r="Q550" s="15" t="n">
        <v>-0.0540529843080481</v>
      </c>
      <c r="R550" s="15" t="n">
        <v>0.953443426342945</v>
      </c>
      <c r="S550" s="17" t="b">
        <f aca="false">TRUE()</f>
        <v>1</v>
      </c>
    </row>
    <row r="551" customFormat="false" ht="15" hidden="false" customHeight="true" outlineLevel="0" collapsed="false">
      <c r="A551" s="12" t="n">
        <v>42187</v>
      </c>
      <c r="B551" s="13" t="n">
        <v>250481.617657244</v>
      </c>
      <c r="C551" s="13" t="n">
        <v>266061.928358541</v>
      </c>
      <c r="D551" s="13" t="n">
        <v>6639</v>
      </c>
      <c r="E551" s="14" t="n">
        <v>37.7288172401332</v>
      </c>
      <c r="F551" s="14" t="n">
        <v>40.0756030062571</v>
      </c>
      <c r="G551" s="13" t="n">
        <v>-15580.3107012964</v>
      </c>
      <c r="H551" s="15" t="n">
        <v>-0.0622014136087874</v>
      </c>
      <c r="I551" s="15" t="n">
        <v>-0.0622014136087874</v>
      </c>
      <c r="J551" s="16" t="n">
        <v>2015</v>
      </c>
      <c r="K551" s="16" t="n">
        <v>7</v>
      </c>
      <c r="L551" s="16" t="n">
        <v>27</v>
      </c>
      <c r="M551" s="16" t="s">
        <v>35</v>
      </c>
      <c r="N551" s="17" t="b">
        <f aca="false">FALSE()</f>
        <v>0</v>
      </c>
      <c r="O551" s="14" t="n">
        <v>39.6003877600754</v>
      </c>
      <c r="P551" s="13" t="n">
        <v>4565.5</v>
      </c>
      <c r="Q551" s="15" t="n">
        <v>-0.0472614190366366</v>
      </c>
      <c r="R551" s="15" t="n">
        <v>0.454167122987625</v>
      </c>
      <c r="S551" s="17" t="b">
        <f aca="false">FALSE()</f>
        <v>0</v>
      </c>
    </row>
    <row r="552" customFormat="false" ht="15" hidden="false" customHeight="true" outlineLevel="0" collapsed="false">
      <c r="A552" s="12" t="n">
        <v>42188</v>
      </c>
      <c r="B552" s="13" t="n">
        <v>268410.480702009</v>
      </c>
      <c r="C552" s="13" t="n">
        <v>284592.994661232</v>
      </c>
      <c r="D552" s="13" t="n">
        <v>7104</v>
      </c>
      <c r="E552" s="14" t="n">
        <v>37.7830068555757</v>
      </c>
      <c r="F552" s="14" t="n">
        <v>40.0609508250608</v>
      </c>
      <c r="G552" s="13" t="n">
        <v>-16182.5139592225</v>
      </c>
      <c r="H552" s="15" t="n">
        <v>-0.0602901716687747</v>
      </c>
      <c r="I552" s="15" t="n">
        <v>-0.0602901716687746</v>
      </c>
      <c r="J552" s="16" t="n">
        <v>2015</v>
      </c>
      <c r="K552" s="16" t="n">
        <v>7</v>
      </c>
      <c r="L552" s="16" t="n">
        <v>27</v>
      </c>
      <c r="M552" s="16" t="s">
        <v>36</v>
      </c>
      <c r="N552" s="17" t="b">
        <f aca="false">FALSE()</f>
        <v>0</v>
      </c>
      <c r="O552" s="14" t="n">
        <v>39.2954329588461</v>
      </c>
      <c r="P552" s="13" t="n">
        <v>4905.78571428572</v>
      </c>
      <c r="Q552" s="15" t="n">
        <v>-0.0384885975134662</v>
      </c>
      <c r="R552" s="15" t="n">
        <v>0.448086079119407</v>
      </c>
      <c r="S552" s="17" t="b">
        <f aca="false">FALSE()</f>
        <v>0</v>
      </c>
    </row>
    <row r="553" customFormat="false" ht="15" hidden="false" customHeight="true" outlineLevel="0" collapsed="false">
      <c r="A553" s="12" t="n">
        <v>42189</v>
      </c>
      <c r="B553" s="13" t="n">
        <v>316365.498738392</v>
      </c>
      <c r="C553" s="13" t="n">
        <v>335025.076360126</v>
      </c>
      <c r="D553" s="13" t="n">
        <v>8364</v>
      </c>
      <c r="E553" s="14" t="n">
        <v>37.8246650811086</v>
      </c>
      <c r="F553" s="14" t="n">
        <v>40.0556045385134</v>
      </c>
      <c r="G553" s="13" t="n">
        <v>-18659.5776217343</v>
      </c>
      <c r="H553" s="15" t="n">
        <v>-0.0589810763061879</v>
      </c>
      <c r="I553" s="15" t="n">
        <v>-0.0589810763061879</v>
      </c>
      <c r="J553" s="16" t="n">
        <v>2015</v>
      </c>
      <c r="K553" s="16" t="n">
        <v>7</v>
      </c>
      <c r="L553" s="16" t="n">
        <v>27</v>
      </c>
      <c r="M553" s="16" t="s">
        <v>37</v>
      </c>
      <c r="N553" s="17" t="b">
        <f aca="false">TRUE()</f>
        <v>1</v>
      </c>
      <c r="O553" s="14" t="n">
        <v>38.9916509834499</v>
      </c>
      <c r="P553" s="13" t="n">
        <v>5172.07142857143</v>
      </c>
      <c r="Q553" s="15" t="n">
        <v>-0.029929122591826</v>
      </c>
      <c r="R553" s="15" t="n">
        <v>0.61714703973263</v>
      </c>
      <c r="S553" s="17" t="b">
        <f aca="false">FALSE()</f>
        <v>0</v>
      </c>
    </row>
    <row r="554" customFormat="false" ht="15" hidden="false" customHeight="true" outlineLevel="0" collapsed="false">
      <c r="A554" s="12" t="n">
        <v>42190</v>
      </c>
      <c r="B554" s="13" t="n">
        <v>156873.043658264</v>
      </c>
      <c r="C554" s="13" t="n">
        <v>165968.62450164</v>
      </c>
      <c r="D554" s="13" t="n">
        <v>4146</v>
      </c>
      <c r="E554" s="14" t="n">
        <v>37.8372030048876</v>
      </c>
      <c r="F554" s="14" t="n">
        <v>40.0310237582343</v>
      </c>
      <c r="G554" s="13" t="n">
        <v>-9095.58084337562</v>
      </c>
      <c r="H554" s="15" t="n">
        <v>-0.0579805212627203</v>
      </c>
      <c r="I554" s="15" t="n">
        <v>-0.0579805212627203</v>
      </c>
      <c r="J554" s="16" t="n">
        <v>2015</v>
      </c>
      <c r="K554" s="16" t="n">
        <v>7</v>
      </c>
      <c r="L554" s="16" t="n">
        <v>27</v>
      </c>
      <c r="M554" s="16" t="s">
        <v>38</v>
      </c>
      <c r="N554" s="17" t="b">
        <f aca="false">TRUE()</f>
        <v>1</v>
      </c>
      <c r="O554" s="14" t="n">
        <v>38.6903924783258</v>
      </c>
      <c r="P554" s="13" t="n">
        <v>5481.85714285714</v>
      </c>
      <c r="Q554" s="15" t="n">
        <v>-0.0220517141023091</v>
      </c>
      <c r="R554" s="15" t="n">
        <v>-0.243686967398952</v>
      </c>
      <c r="S554" s="17" t="b">
        <f aca="false">FALSE()</f>
        <v>0</v>
      </c>
    </row>
    <row r="555" customFormat="false" ht="15" hidden="false" customHeight="true" outlineLevel="0" collapsed="false">
      <c r="A555" s="12" t="n">
        <v>42191</v>
      </c>
      <c r="B555" s="13" t="n">
        <v>173987.751540802</v>
      </c>
      <c r="C555" s="13" t="n">
        <v>184188.978976355</v>
      </c>
      <c r="D555" s="13" t="n">
        <v>4601</v>
      </c>
      <c r="E555" s="14" t="n">
        <v>37.8152035515761</v>
      </c>
      <c r="F555" s="14" t="n">
        <v>40.0323796949261</v>
      </c>
      <c r="G555" s="13" t="n">
        <v>-10201.2274355534</v>
      </c>
      <c r="H555" s="15" t="n">
        <v>-0.0586318711818118</v>
      </c>
      <c r="I555" s="15" t="n">
        <v>-0.0586318711818119</v>
      </c>
      <c r="J555" s="16" t="n">
        <v>2015</v>
      </c>
      <c r="K555" s="16" t="n">
        <v>7</v>
      </c>
      <c r="L555" s="16" t="n">
        <v>28</v>
      </c>
      <c r="M555" s="16" t="s">
        <v>32</v>
      </c>
      <c r="N555" s="17" t="b">
        <f aca="false">FALSE()</f>
        <v>0</v>
      </c>
      <c r="O555" s="14" t="n">
        <v>38.3884767008799</v>
      </c>
      <c r="P555" s="13" t="n">
        <v>5626</v>
      </c>
      <c r="Q555" s="15" t="n">
        <v>-0.014933469586999</v>
      </c>
      <c r="R555" s="15" t="n">
        <v>-0.182189832918592</v>
      </c>
      <c r="S555" s="17" t="b">
        <f aca="false">FALSE()</f>
        <v>0</v>
      </c>
    </row>
    <row r="556" customFormat="false" ht="15" hidden="false" customHeight="true" outlineLevel="0" collapsed="false">
      <c r="A556" s="12" t="n">
        <v>42192</v>
      </c>
      <c r="B556" s="13" t="n">
        <v>135753.766042096</v>
      </c>
      <c r="C556" s="13" t="n">
        <v>143799.598687529</v>
      </c>
      <c r="D556" s="13" t="n">
        <v>3593</v>
      </c>
      <c r="E556" s="14" t="n">
        <v>37.7828461013349</v>
      </c>
      <c r="F556" s="14" t="n">
        <v>40.0221538234148</v>
      </c>
      <c r="G556" s="13" t="n">
        <v>-8045.83264543302</v>
      </c>
      <c r="H556" s="15" t="n">
        <v>-0.0592678411804654</v>
      </c>
      <c r="I556" s="15" t="n">
        <v>-0.0592678411804654</v>
      </c>
      <c r="J556" s="16" t="n">
        <v>2015</v>
      </c>
      <c r="K556" s="16" t="n">
        <v>7</v>
      </c>
      <c r="L556" s="16" t="n">
        <v>28</v>
      </c>
      <c r="M556" s="16" t="s">
        <v>33</v>
      </c>
      <c r="N556" s="17" t="b">
        <f aca="false">FALSE()</f>
        <v>0</v>
      </c>
      <c r="O556" s="14" t="n">
        <v>38.0877446497483</v>
      </c>
      <c r="P556" s="13" t="n">
        <v>5808.5</v>
      </c>
      <c r="Q556" s="15" t="n">
        <v>-0.00800516153469195</v>
      </c>
      <c r="R556" s="15" t="n">
        <v>-0.38142377550142</v>
      </c>
      <c r="S556" s="17" t="b">
        <f aca="false">FALSE()</f>
        <v>0</v>
      </c>
    </row>
    <row r="557" customFormat="false" ht="15" hidden="false" customHeight="true" outlineLevel="0" collapsed="false">
      <c r="A557" s="12" t="n">
        <v>42193</v>
      </c>
      <c r="B557" s="13" t="n">
        <v>84426.5094120295</v>
      </c>
      <c r="C557" s="13" t="n">
        <v>84588.9630354209</v>
      </c>
      <c r="D557" s="13" t="n">
        <v>2114</v>
      </c>
      <c r="E557" s="14" t="n">
        <v>39.936854026504</v>
      </c>
      <c r="F557" s="14" t="n">
        <v>40.0137005843997</v>
      </c>
      <c r="G557" s="13" t="n">
        <v>-162.453623391397</v>
      </c>
      <c r="H557" s="15" t="n">
        <v>-0.00192420158695143</v>
      </c>
      <c r="I557" s="15" t="n">
        <v>-0.0019242015869515</v>
      </c>
      <c r="J557" s="16" t="n">
        <v>2015</v>
      </c>
      <c r="K557" s="16" t="n">
        <v>7</v>
      </c>
      <c r="L557" s="16" t="n">
        <v>28</v>
      </c>
      <c r="M557" s="16" t="s">
        <v>34</v>
      </c>
      <c r="N557" s="17" t="b">
        <f aca="false">FALSE()</f>
        <v>0</v>
      </c>
      <c r="O557" s="14" t="n">
        <v>37.7853891700201</v>
      </c>
      <c r="P557" s="13" t="n">
        <v>5954.71428571429</v>
      </c>
      <c r="Q557" s="15" t="n">
        <v>0.0569390683473745</v>
      </c>
      <c r="R557" s="15" t="n">
        <v>-0.644987165031308</v>
      </c>
      <c r="S557" s="17" t="b">
        <f aca="false">FALSE()</f>
        <v>0</v>
      </c>
    </row>
    <row r="558" customFormat="false" ht="15" hidden="false" customHeight="true" outlineLevel="0" collapsed="false">
      <c r="A558" s="12" t="n">
        <v>42194</v>
      </c>
      <c r="B558" s="13" t="n">
        <v>70815.1902855303</v>
      </c>
      <c r="C558" s="13" t="n">
        <v>71913.0685806052</v>
      </c>
      <c r="D558" s="13" t="n">
        <v>1797</v>
      </c>
      <c r="E558" s="14" t="n">
        <v>39.4074514666279</v>
      </c>
      <c r="F558" s="14" t="n">
        <v>40.0184021038426</v>
      </c>
      <c r="G558" s="13" t="n">
        <v>-1097.8782950749</v>
      </c>
      <c r="H558" s="15" t="n">
        <v>-0.0155034292875328</v>
      </c>
      <c r="I558" s="15" t="n">
        <v>-0.0155034292875329</v>
      </c>
      <c r="J558" s="16" t="n">
        <v>2015</v>
      </c>
      <c r="K558" s="16" t="n">
        <v>7</v>
      </c>
      <c r="L558" s="16" t="n">
        <v>28</v>
      </c>
      <c r="M558" s="16" t="s">
        <v>35</v>
      </c>
      <c r="N558" s="17" t="b">
        <f aca="false">FALSE()</f>
        <v>0</v>
      </c>
      <c r="O558" s="14" t="n">
        <v>37.9394938887433</v>
      </c>
      <c r="P558" s="13" t="n">
        <v>5904.14285714286</v>
      </c>
      <c r="Q558" s="15" t="n">
        <v>0.038692070647787</v>
      </c>
      <c r="R558" s="15" t="n">
        <v>-0.69563744586126</v>
      </c>
      <c r="S558" s="17" t="b">
        <f aca="false">FALSE()</f>
        <v>0</v>
      </c>
    </row>
    <row r="559" customFormat="false" ht="15" hidden="false" customHeight="true" outlineLevel="0" collapsed="false">
      <c r="A559" s="12" t="n">
        <v>42195</v>
      </c>
      <c r="B559" s="13" t="n">
        <v>125983.151753546</v>
      </c>
      <c r="C559" s="13" t="n">
        <v>127884.587244448</v>
      </c>
      <c r="D559" s="13" t="n">
        <v>3195</v>
      </c>
      <c r="E559" s="14" t="n">
        <v>39.431346401736</v>
      </c>
      <c r="F559" s="14" t="n">
        <v>40.0264748808915</v>
      </c>
      <c r="G559" s="13" t="n">
        <v>-1901.435490902</v>
      </c>
      <c r="H559" s="15" t="n">
        <v>-0.0150927760135869</v>
      </c>
      <c r="I559" s="15" t="n">
        <v>-0.0150927760135869</v>
      </c>
      <c r="J559" s="16" t="n">
        <v>2015</v>
      </c>
      <c r="K559" s="16" t="n">
        <v>7</v>
      </c>
      <c r="L559" s="16" t="n">
        <v>28</v>
      </c>
      <c r="M559" s="16" t="s">
        <v>36</v>
      </c>
      <c r="N559" s="17" t="b">
        <f aca="false">FALSE()</f>
        <v>0</v>
      </c>
      <c r="O559" s="14" t="n">
        <v>38.0550926861284</v>
      </c>
      <c r="P559" s="13" t="n">
        <v>5685</v>
      </c>
      <c r="Q559" s="15" t="n">
        <v>0.0361647710848744</v>
      </c>
      <c r="R559" s="15" t="n">
        <v>-0.437994722955145</v>
      </c>
      <c r="S559" s="17" t="b">
        <f aca="false">FALSE()</f>
        <v>0</v>
      </c>
    </row>
    <row r="560" customFormat="false" ht="15" hidden="false" customHeight="true" outlineLevel="0" collapsed="false">
      <c r="A560" s="12" t="n">
        <v>42196</v>
      </c>
      <c r="B560" s="13" t="n">
        <v>142378.184041226</v>
      </c>
      <c r="C560" s="13" t="n">
        <v>143924.565119038</v>
      </c>
      <c r="D560" s="13" t="n">
        <v>3595</v>
      </c>
      <c r="E560" s="14" t="n">
        <v>39.6045018195345</v>
      </c>
      <c r="F560" s="14" t="n">
        <v>40.0346495463248</v>
      </c>
      <c r="G560" s="13" t="n">
        <v>-1546.38107781121</v>
      </c>
      <c r="H560" s="15" t="n">
        <v>-0.0108610816202252</v>
      </c>
      <c r="I560" s="15" t="n">
        <v>-0.0108610816202253</v>
      </c>
      <c r="J560" s="16" t="n">
        <v>2015</v>
      </c>
      <c r="K560" s="16" t="n">
        <v>7</v>
      </c>
      <c r="L560" s="16" t="n">
        <v>28</v>
      </c>
      <c r="M560" s="16" t="s">
        <v>37</v>
      </c>
      <c r="N560" s="17" t="b">
        <f aca="false">TRUE()</f>
        <v>1</v>
      </c>
      <c r="O560" s="14" t="n">
        <v>38.1701821451336</v>
      </c>
      <c r="P560" s="13" t="n">
        <v>5309.64285714286</v>
      </c>
      <c r="Q560" s="15" t="n">
        <v>0.0375769669881884</v>
      </c>
      <c r="R560" s="15" t="n">
        <v>-0.32292997914845</v>
      </c>
      <c r="S560" s="17" t="b">
        <f aca="false">FALSE()</f>
        <v>0</v>
      </c>
    </row>
    <row r="561" customFormat="false" ht="15" hidden="false" customHeight="true" outlineLevel="0" collapsed="false">
      <c r="A561" s="12" t="n">
        <v>42197</v>
      </c>
      <c r="B561" s="13" t="n">
        <v>57427.6807070101</v>
      </c>
      <c r="C561" s="13" t="n">
        <v>58723.0405317517</v>
      </c>
      <c r="D561" s="13" t="n">
        <v>1467</v>
      </c>
      <c r="E561" s="14" t="n">
        <v>39.1463399502455</v>
      </c>
      <c r="F561" s="14" t="n">
        <v>40.029339149115</v>
      </c>
      <c r="G561" s="13" t="n">
        <v>-1295.35982474154</v>
      </c>
      <c r="H561" s="15" t="n">
        <v>-0.0225563666997162</v>
      </c>
      <c r="I561" s="15" t="n">
        <v>-0.0225563666997163</v>
      </c>
      <c r="J561" s="16" t="n">
        <v>2015</v>
      </c>
      <c r="K561" s="16" t="n">
        <v>7</v>
      </c>
      <c r="L561" s="16" t="n">
        <v>28</v>
      </c>
      <c r="M561" s="16" t="s">
        <v>38</v>
      </c>
      <c r="N561" s="17" t="b">
        <f aca="false">TRUE()</f>
        <v>1</v>
      </c>
      <c r="O561" s="14" t="n">
        <v>38.2995155569643</v>
      </c>
      <c r="P561" s="13" t="n">
        <v>4868.57142857143</v>
      </c>
      <c r="Q561" s="15" t="n">
        <v>0.022110577143506</v>
      </c>
      <c r="R561" s="15" t="n">
        <v>-0.698679577464789</v>
      </c>
      <c r="S561" s="17" t="b">
        <f aca="false">FALSE()</f>
        <v>0</v>
      </c>
    </row>
    <row r="562" customFormat="false" ht="15" hidden="false" customHeight="true" outlineLevel="0" collapsed="false">
      <c r="A562" s="12" t="n">
        <v>42198</v>
      </c>
      <c r="B562" s="13" t="n">
        <v>63331.3310022304</v>
      </c>
      <c r="C562" s="13" t="n">
        <v>64690.0590699808</v>
      </c>
      <c r="D562" s="13" t="n">
        <v>1610</v>
      </c>
      <c r="E562" s="14" t="n">
        <v>39.3362304361679</v>
      </c>
      <c r="F562" s="14" t="n">
        <v>40.1801609130316</v>
      </c>
      <c r="G562" s="13" t="n">
        <v>-1358.72806775044</v>
      </c>
      <c r="H562" s="15" t="n">
        <v>-0.0214542793629679</v>
      </c>
      <c r="I562" s="15" t="n">
        <v>-0.0214542793629679</v>
      </c>
      <c r="J562" s="16" t="n">
        <v>2015</v>
      </c>
      <c r="K562" s="16" t="n">
        <v>7</v>
      </c>
      <c r="L562" s="16" t="n">
        <v>29</v>
      </c>
      <c r="M562" s="16" t="s">
        <v>32</v>
      </c>
      <c r="N562" s="17" t="b">
        <f aca="false">FALSE()</f>
        <v>0</v>
      </c>
      <c r="O562" s="14" t="n">
        <v>38.3971465735754</v>
      </c>
      <c r="P562" s="13" t="n">
        <v>4622.35714285714</v>
      </c>
      <c r="Q562" s="15" t="n">
        <v>0.0244571262813264</v>
      </c>
      <c r="R562" s="15" t="n">
        <v>-0.651692859240029</v>
      </c>
      <c r="S562" s="17" t="b">
        <f aca="false">FALSE()</f>
        <v>0</v>
      </c>
    </row>
    <row r="563" customFormat="false" ht="15" hidden="false" customHeight="true" outlineLevel="0" collapsed="false">
      <c r="A563" s="12" t="n">
        <v>42199</v>
      </c>
      <c r="B563" s="13" t="n">
        <v>51241.0285533004</v>
      </c>
      <c r="C563" s="13" t="n">
        <v>52509.9162199962</v>
      </c>
      <c r="D563" s="13" t="n">
        <v>1307</v>
      </c>
      <c r="E563" s="14" t="n">
        <v>39.2050715786537</v>
      </c>
      <c r="F563" s="14" t="n">
        <v>40.1759114154523</v>
      </c>
      <c r="G563" s="13" t="n">
        <v>-1268.88766669579</v>
      </c>
      <c r="H563" s="15" t="n">
        <v>-0.0247631185891576</v>
      </c>
      <c r="I563" s="15" t="n">
        <v>-0.0247631185891575</v>
      </c>
      <c r="J563" s="16" t="n">
        <v>2015</v>
      </c>
      <c r="K563" s="16" t="n">
        <v>7</v>
      </c>
      <c r="L563" s="16" t="n">
        <v>29</v>
      </c>
      <c r="M563" s="16" t="s">
        <v>33</v>
      </c>
      <c r="N563" s="17" t="b">
        <f aca="false">FALSE()</f>
        <v>0</v>
      </c>
      <c r="O563" s="14" t="n">
        <v>38.5100576124864</v>
      </c>
      <c r="P563" s="13" t="n">
        <v>4424.14285714286</v>
      </c>
      <c r="Q563" s="15" t="n">
        <v>0.0180475961153063</v>
      </c>
      <c r="R563" s="15" t="n">
        <v>-0.704575543285221</v>
      </c>
      <c r="S563" s="17" t="b">
        <f aca="false">FALSE()</f>
        <v>0</v>
      </c>
    </row>
    <row r="564" customFormat="false" ht="15" hidden="false" customHeight="true" outlineLevel="0" collapsed="false">
      <c r="A564" s="12" t="n">
        <v>42200</v>
      </c>
      <c r="B564" s="13" t="n">
        <v>80326.4408092503</v>
      </c>
      <c r="C564" s="13" t="n">
        <v>81730.270702131</v>
      </c>
      <c r="D564" s="13" t="n">
        <v>2050</v>
      </c>
      <c r="E564" s="14" t="n">
        <v>39.1836296630489</v>
      </c>
      <c r="F564" s="14" t="n">
        <v>39.8684247327468</v>
      </c>
      <c r="G564" s="13" t="n">
        <v>-1403.82989288075</v>
      </c>
      <c r="H564" s="15" t="n">
        <v>-0.017476560379594</v>
      </c>
      <c r="I564" s="15" t="n">
        <v>-0.0174765603795941</v>
      </c>
      <c r="J564" s="16" t="n">
        <v>2015</v>
      </c>
      <c r="K564" s="16" t="n">
        <v>7</v>
      </c>
      <c r="L564" s="16" t="n">
        <v>29</v>
      </c>
      <c r="M564" s="16" t="s">
        <v>34</v>
      </c>
      <c r="N564" s="17" t="b">
        <f aca="false">FALSE()</f>
        <v>0</v>
      </c>
      <c r="O564" s="14" t="n">
        <v>38.6134094945872</v>
      </c>
      <c r="P564" s="13" t="n">
        <v>4115.57142857143</v>
      </c>
      <c r="Q564" s="15" t="n">
        <v>0.014767413080723</v>
      </c>
      <c r="R564" s="15" t="n">
        <v>-0.501891769933007</v>
      </c>
      <c r="S564" s="17" t="b">
        <f aca="false">FALSE()</f>
        <v>0</v>
      </c>
    </row>
    <row r="565" customFormat="false" ht="15" hidden="false" customHeight="true" outlineLevel="0" collapsed="false">
      <c r="A565" s="12" t="n">
        <v>42201</v>
      </c>
      <c r="B565" s="13" t="n">
        <v>71912.5657280603</v>
      </c>
      <c r="C565" s="13" t="n">
        <v>73762.6291732688</v>
      </c>
      <c r="D565" s="13" t="n">
        <v>1849</v>
      </c>
      <c r="E565" s="14" t="n">
        <v>38.8926802206924</v>
      </c>
      <c r="F565" s="14" t="n">
        <v>39.8932553668301</v>
      </c>
      <c r="G565" s="13" t="n">
        <v>-1850.06344520854</v>
      </c>
      <c r="H565" s="15" t="n">
        <v>-0.0257265670676334</v>
      </c>
      <c r="I565" s="15" t="n">
        <v>-0.0257265670676334</v>
      </c>
      <c r="J565" s="16" t="n">
        <v>2015</v>
      </c>
      <c r="K565" s="16" t="n">
        <v>7</v>
      </c>
      <c r="L565" s="16" t="n">
        <v>29</v>
      </c>
      <c r="M565" s="16" t="s">
        <v>35</v>
      </c>
      <c r="N565" s="17" t="b">
        <f aca="false">FALSE()</f>
        <v>0</v>
      </c>
      <c r="O565" s="14" t="n">
        <v>38.7159405126524</v>
      </c>
      <c r="P565" s="13" t="n">
        <v>3684.42857142857</v>
      </c>
      <c r="Q565" s="15" t="n">
        <v>0.0045650371836426</v>
      </c>
      <c r="R565" s="15" t="n">
        <v>-0.498158272265519</v>
      </c>
      <c r="S565" s="17" t="b">
        <f aca="false">FALSE()</f>
        <v>0</v>
      </c>
    </row>
    <row r="566" customFormat="false" ht="15" hidden="false" customHeight="true" outlineLevel="0" collapsed="false">
      <c r="A566" s="12" t="n">
        <v>42202</v>
      </c>
      <c r="B566" s="13" t="n">
        <v>119204.309534746</v>
      </c>
      <c r="C566" s="13" t="n">
        <v>122669.699427925</v>
      </c>
      <c r="D566" s="13" t="n">
        <v>3070</v>
      </c>
      <c r="E566" s="14" t="n">
        <v>38.8287653207643</v>
      </c>
      <c r="F566" s="14" t="n">
        <v>39.9575568169138</v>
      </c>
      <c r="G566" s="13" t="n">
        <v>-3465.38989317894</v>
      </c>
      <c r="H566" s="15" t="n">
        <v>-0.0290710118342562</v>
      </c>
      <c r="I566" s="15" t="n">
        <v>-0.029071011834256</v>
      </c>
      <c r="J566" s="16" t="n">
        <v>2015</v>
      </c>
      <c r="K566" s="16" t="n">
        <v>7</v>
      </c>
      <c r="L566" s="16" t="n">
        <v>29</v>
      </c>
      <c r="M566" s="16" t="s">
        <v>36</v>
      </c>
      <c r="N566" s="17" t="b">
        <f aca="false">FALSE()</f>
        <v>0</v>
      </c>
      <c r="O566" s="14" t="n">
        <v>38.7990735826924</v>
      </c>
      <c r="P566" s="13" t="n">
        <v>3342.28571428571</v>
      </c>
      <c r="Q566" s="15" t="n">
        <v>0.00076526925336541</v>
      </c>
      <c r="R566" s="15" t="n">
        <v>-0.0814669174217815</v>
      </c>
      <c r="S566" s="17" t="b">
        <f aca="false">FALSE()</f>
        <v>0</v>
      </c>
    </row>
    <row r="567" customFormat="false" ht="15" hidden="false" customHeight="true" outlineLevel="0" collapsed="false">
      <c r="A567" s="12" t="n">
        <v>42203</v>
      </c>
      <c r="B567" s="13" t="n">
        <v>129441.278656736</v>
      </c>
      <c r="C567" s="13" t="n">
        <v>132493.431520894</v>
      </c>
      <c r="D567" s="13" t="n">
        <v>3322</v>
      </c>
      <c r="E567" s="14" t="n">
        <v>38.9648641350802</v>
      </c>
      <c r="F567" s="14" t="n">
        <v>39.8836338112263</v>
      </c>
      <c r="G567" s="13" t="n">
        <v>-3052.15286415735</v>
      </c>
      <c r="H567" s="15" t="n">
        <v>-0.0235794400042302</v>
      </c>
      <c r="I567" s="15" t="n">
        <v>-0.0235794400042302</v>
      </c>
      <c r="J567" s="16" t="n">
        <v>2015</v>
      </c>
      <c r="K567" s="16" t="n">
        <v>7</v>
      </c>
      <c r="L567" s="16" t="n">
        <v>29</v>
      </c>
      <c r="M567" s="16" t="s">
        <v>37</v>
      </c>
      <c r="N567" s="17" t="b">
        <f aca="false">TRUE()</f>
        <v>1</v>
      </c>
      <c r="O567" s="14" t="n">
        <v>38.8737706159202</v>
      </c>
      <c r="P567" s="13" t="n">
        <v>3054.14285714286</v>
      </c>
      <c r="Q567" s="15" t="n">
        <v>0.0023433157555014</v>
      </c>
      <c r="R567" s="15" t="n">
        <v>0.0877028860096356</v>
      </c>
      <c r="S567" s="17" t="b">
        <f aca="false">FALSE()</f>
        <v>0</v>
      </c>
    </row>
    <row r="568" customFormat="false" ht="15" hidden="false" customHeight="true" outlineLevel="0" collapsed="false">
      <c r="A568" s="12" t="n">
        <v>42204</v>
      </c>
      <c r="B568" s="13" t="n">
        <v>77645.7499351202</v>
      </c>
      <c r="C568" s="13" t="n">
        <v>79555.6347362423</v>
      </c>
      <c r="D568" s="13" t="n">
        <v>1982</v>
      </c>
      <c r="E568" s="14" t="n">
        <v>39.1754540540465</v>
      </c>
      <c r="F568" s="14" t="n">
        <v>40.1390689890224</v>
      </c>
      <c r="G568" s="13" t="n">
        <v>-1909.8848011221</v>
      </c>
      <c r="H568" s="15" t="n">
        <v>-0.0245974158626579</v>
      </c>
      <c r="I568" s="15" t="n">
        <v>-0.0245974158626579</v>
      </c>
      <c r="J568" s="16" t="n">
        <v>2015</v>
      </c>
      <c r="K568" s="16" t="n">
        <v>7</v>
      </c>
      <c r="L568" s="16" t="n">
        <v>29</v>
      </c>
      <c r="M568" s="16" t="s">
        <v>38</v>
      </c>
      <c r="N568" s="17" t="b">
        <f aca="false">TRUE()</f>
        <v>1</v>
      </c>
      <c r="O568" s="14" t="n">
        <v>38.9552134054896</v>
      </c>
      <c r="P568" s="13" t="n">
        <v>2694</v>
      </c>
      <c r="Q568" s="15" t="n">
        <v>0.00565368866714903</v>
      </c>
      <c r="R568" s="15" t="n">
        <v>-0.264291017074981</v>
      </c>
      <c r="S568" s="17" t="b">
        <f aca="false">FALSE()</f>
        <v>0</v>
      </c>
    </row>
    <row r="569" customFormat="false" ht="15" hidden="false" customHeight="true" outlineLevel="0" collapsed="false">
      <c r="A569" s="12" t="n">
        <v>42205</v>
      </c>
      <c r="B569" s="13" t="n">
        <v>69926.65036245</v>
      </c>
      <c r="C569" s="13" t="n">
        <v>71362.5178381369</v>
      </c>
      <c r="D569" s="13" t="n">
        <v>1787</v>
      </c>
      <c r="E569" s="14" t="n">
        <v>39.1307500629267</v>
      </c>
      <c r="F569" s="14" t="n">
        <v>39.9342573240833</v>
      </c>
      <c r="G569" s="13" t="n">
        <v>-1435.86747568686</v>
      </c>
      <c r="H569" s="15" t="n">
        <v>-0.0205339090067141</v>
      </c>
      <c r="I569" s="15" t="n">
        <v>-0.0205339090067142</v>
      </c>
      <c r="J569" s="16" t="n">
        <v>2015</v>
      </c>
      <c r="K569" s="16" t="n">
        <v>7</v>
      </c>
      <c r="L569" s="16" t="n">
        <v>30</v>
      </c>
      <c r="M569" s="16" t="s">
        <v>32</v>
      </c>
      <c r="N569" s="17" t="b">
        <f aca="false">FALSE()</f>
        <v>0</v>
      </c>
      <c r="O569" s="14" t="n">
        <v>39.0508027661438</v>
      </c>
      <c r="P569" s="13" t="n">
        <v>2539.42857142857</v>
      </c>
      <c r="Q569" s="15" t="n">
        <v>0.00204726384913771</v>
      </c>
      <c r="R569" s="15" t="n">
        <v>-0.296298379837984</v>
      </c>
      <c r="S569" s="17" t="b">
        <f aca="false">FALSE()</f>
        <v>0</v>
      </c>
    </row>
    <row r="570" customFormat="false" ht="15" hidden="false" customHeight="true" outlineLevel="0" collapsed="false">
      <c r="A570" s="12" t="n">
        <v>42206</v>
      </c>
      <c r="B570" s="13" t="n">
        <v>71973.0443003401</v>
      </c>
      <c r="C570" s="13" t="n">
        <v>73851.7883987347</v>
      </c>
      <c r="D570" s="13" t="n">
        <v>1846</v>
      </c>
      <c r="E570" s="14" t="n">
        <v>38.9886480500217</v>
      </c>
      <c r="F570" s="14" t="n">
        <v>40.0063859148076</v>
      </c>
      <c r="G570" s="13" t="n">
        <v>-1878.7440983946</v>
      </c>
      <c r="H570" s="15" t="n">
        <v>-0.026103440762554</v>
      </c>
      <c r="I570" s="15" t="n">
        <v>-0.026103440762554</v>
      </c>
      <c r="J570" s="16" t="n">
        <v>2015</v>
      </c>
      <c r="K570" s="16" t="n">
        <v>7</v>
      </c>
      <c r="L570" s="16" t="n">
        <v>30</v>
      </c>
      <c r="M570" s="16" t="s">
        <v>33</v>
      </c>
      <c r="N570" s="17" t="b">
        <f aca="false">FALSE()</f>
        <v>0</v>
      </c>
      <c r="O570" s="14" t="n">
        <v>39.1447703740974</v>
      </c>
      <c r="P570" s="13" t="n">
        <v>2338.42857142857</v>
      </c>
      <c r="Q570" s="15" t="n">
        <v>-0.00398833158512912</v>
      </c>
      <c r="R570" s="15" t="n">
        <v>-0.210580976235567</v>
      </c>
      <c r="S570" s="17" t="b">
        <f aca="false">FALSE()</f>
        <v>0</v>
      </c>
    </row>
    <row r="571" customFormat="false" ht="15" hidden="false" customHeight="true" outlineLevel="0" collapsed="false">
      <c r="A571" s="12" t="n">
        <v>42207</v>
      </c>
      <c r="B571" s="13" t="n">
        <v>44304.8983622103</v>
      </c>
      <c r="C571" s="13" t="n">
        <v>45468.8369760094</v>
      </c>
      <c r="D571" s="13" t="n">
        <v>1142</v>
      </c>
      <c r="E571" s="14" t="n">
        <v>38.7958829791683</v>
      </c>
      <c r="F571" s="14" t="n">
        <v>39.815093674264</v>
      </c>
      <c r="G571" s="13" t="n">
        <v>-1163.93861379918</v>
      </c>
      <c r="H571" s="15" t="n">
        <v>-0.0262711044788664</v>
      </c>
      <c r="I571" s="15" t="n">
        <v>-0.0262711044788665</v>
      </c>
      <c r="J571" s="16" t="n">
        <v>2015</v>
      </c>
      <c r="K571" s="16" t="n">
        <v>7</v>
      </c>
      <c r="L571" s="16" t="n">
        <v>30</v>
      </c>
      <c r="M571" s="16" t="s">
        <v>34</v>
      </c>
      <c r="N571" s="17" t="b">
        <f aca="false">FALSE()</f>
        <v>0</v>
      </c>
      <c r="O571" s="14" t="n">
        <v>39.2308990847179</v>
      </c>
      <c r="P571" s="13" t="n">
        <v>2213.64285714286</v>
      </c>
      <c r="Q571" s="15" t="n">
        <v>-0.0110886091244079</v>
      </c>
      <c r="R571" s="15" t="n">
        <v>-0.484108289503404</v>
      </c>
      <c r="S571" s="17" t="b">
        <f aca="false">FALSE()</f>
        <v>0</v>
      </c>
    </row>
    <row r="572" customFormat="false" ht="15" hidden="false" customHeight="true" outlineLevel="0" collapsed="false">
      <c r="A572" s="12" t="n">
        <v>42208</v>
      </c>
      <c r="B572" s="13" t="n">
        <v>66799.7237304905</v>
      </c>
      <c r="C572" s="13" t="n">
        <v>69323.6478719116</v>
      </c>
      <c r="D572" s="13" t="n">
        <v>1734</v>
      </c>
      <c r="E572" s="14" t="n">
        <v>38.5234854270418</v>
      </c>
      <c r="F572" s="14" t="n">
        <v>39.9790356816099</v>
      </c>
      <c r="G572" s="13" t="n">
        <v>-2523.92414142106</v>
      </c>
      <c r="H572" s="15" t="n">
        <v>-0.0377834517939633</v>
      </c>
      <c r="I572" s="15" t="n">
        <v>-0.0377834517939633</v>
      </c>
      <c r="J572" s="16" t="n">
        <v>2015</v>
      </c>
      <c r="K572" s="16" t="n">
        <v>7</v>
      </c>
      <c r="L572" s="16" t="n">
        <v>30</v>
      </c>
      <c r="M572" s="16" t="s">
        <v>35</v>
      </c>
      <c r="N572" s="17" t="b">
        <f aca="false">FALSE()</f>
        <v>0</v>
      </c>
      <c r="O572" s="14" t="n">
        <v>39.1494011527653</v>
      </c>
      <c r="P572" s="13" t="n">
        <v>2144.21428571429</v>
      </c>
      <c r="Q572" s="15" t="n">
        <v>-0.0159878748408211</v>
      </c>
      <c r="R572" s="15" t="n">
        <v>-0.191312168959659</v>
      </c>
      <c r="S572" s="17" t="b">
        <f aca="false">FALSE()</f>
        <v>0</v>
      </c>
    </row>
    <row r="573" customFormat="false" ht="15" hidden="false" customHeight="true" outlineLevel="0" collapsed="false">
      <c r="A573" s="12" t="n">
        <v>42209</v>
      </c>
      <c r="B573" s="13" t="n">
        <v>125689.592840906</v>
      </c>
      <c r="C573" s="13" t="n">
        <v>130428.226395117</v>
      </c>
      <c r="D573" s="13" t="n">
        <v>3259</v>
      </c>
      <c r="E573" s="14" t="n">
        <v>38.56692017211</v>
      </c>
      <c r="F573" s="14" t="n">
        <v>40.0209347637671</v>
      </c>
      <c r="G573" s="13" t="n">
        <v>-4738.63355421046</v>
      </c>
      <c r="H573" s="15" t="n">
        <v>-0.0377010812677901</v>
      </c>
      <c r="I573" s="15" t="n">
        <v>-0.0377010812677901</v>
      </c>
      <c r="J573" s="16" t="n">
        <v>2015</v>
      </c>
      <c r="K573" s="16" t="n">
        <v>7</v>
      </c>
      <c r="L573" s="16" t="n">
        <v>30</v>
      </c>
      <c r="M573" s="16" t="s">
        <v>36</v>
      </c>
      <c r="N573" s="17" t="b">
        <f aca="false">FALSE()</f>
        <v>0</v>
      </c>
      <c r="O573" s="14" t="n">
        <v>39.0862607213663</v>
      </c>
      <c r="P573" s="13" t="n">
        <v>2139.71428571429</v>
      </c>
      <c r="Q573" s="15" t="n">
        <v>-0.0132870358962854</v>
      </c>
      <c r="R573" s="15" t="n">
        <v>0.523100547469622</v>
      </c>
      <c r="S573" s="17" t="b">
        <f aca="false">FALSE()</f>
        <v>0</v>
      </c>
    </row>
    <row r="574" customFormat="false" ht="15" hidden="false" customHeight="true" outlineLevel="0" collapsed="false">
      <c r="A574" s="12" t="n">
        <v>42210</v>
      </c>
      <c r="B574" s="13" t="n">
        <v>138624.945003635</v>
      </c>
      <c r="C574" s="13" t="n">
        <v>143537.395218836</v>
      </c>
      <c r="D574" s="13" t="n">
        <v>3572</v>
      </c>
      <c r="E574" s="14" t="n">
        <v>38.8087751969863</v>
      </c>
      <c r="F574" s="14" t="n">
        <v>40.1840412146798</v>
      </c>
      <c r="G574" s="13" t="n">
        <v>-4912.45021520121</v>
      </c>
      <c r="H574" s="15" t="n">
        <v>-0.0354369858546916</v>
      </c>
      <c r="I574" s="15" t="n">
        <v>-0.0354369858546916</v>
      </c>
      <c r="J574" s="16" t="n">
        <v>2015</v>
      </c>
      <c r="K574" s="16" t="n">
        <v>7</v>
      </c>
      <c r="L574" s="16" t="n">
        <v>30</v>
      </c>
      <c r="M574" s="16" t="s">
        <v>37</v>
      </c>
      <c r="N574" s="17" t="b">
        <f aca="false">TRUE()</f>
        <v>1</v>
      </c>
      <c r="O574" s="14" t="n">
        <v>39.0245159906787</v>
      </c>
      <c r="P574" s="13" t="n">
        <v>2144.28571428571</v>
      </c>
      <c r="Q574" s="15" t="n">
        <v>-0.00552834002461298</v>
      </c>
      <c r="R574" s="15" t="n">
        <v>0.665822784810127</v>
      </c>
      <c r="S574" s="17" t="b">
        <f aca="false">FALSE()</f>
        <v>0</v>
      </c>
    </row>
    <row r="575" customFormat="false" ht="15" hidden="false" customHeight="true" outlineLevel="0" collapsed="false">
      <c r="A575" s="12" t="n">
        <v>42211</v>
      </c>
      <c r="B575" s="13" t="n">
        <v>81715.0453317804</v>
      </c>
      <c r="C575" s="13" t="n">
        <v>85089.2234300569</v>
      </c>
      <c r="D575" s="13" t="n">
        <v>2109</v>
      </c>
      <c r="E575" s="14" t="n">
        <v>38.7458726087152</v>
      </c>
      <c r="F575" s="14" t="n">
        <v>40.345767392156</v>
      </c>
      <c r="G575" s="13" t="n">
        <v>-3374.17809827656</v>
      </c>
      <c r="H575" s="15" t="n">
        <v>-0.0412920054633353</v>
      </c>
      <c r="I575" s="15" t="n">
        <v>-0.0412920054633353</v>
      </c>
      <c r="J575" s="16" t="n">
        <v>2015</v>
      </c>
      <c r="K575" s="16" t="n">
        <v>7</v>
      </c>
      <c r="L575" s="16" t="n">
        <v>30</v>
      </c>
      <c r="M575" s="16" t="s">
        <v>38</v>
      </c>
      <c r="N575" s="17" t="b">
        <f aca="false">TRUE()</f>
        <v>1</v>
      </c>
      <c r="O575" s="14" t="n">
        <v>38.9676783747825</v>
      </c>
      <c r="P575" s="13" t="n">
        <v>2142.64285714286</v>
      </c>
      <c r="Q575" s="15" t="n">
        <v>-0.00569204467184239</v>
      </c>
      <c r="R575" s="15" t="n">
        <v>-0.0157015701570158</v>
      </c>
      <c r="S575" s="17" t="b">
        <f aca="false">FALSE()</f>
        <v>0</v>
      </c>
    </row>
    <row r="576" customFormat="false" ht="15" hidden="false" customHeight="true" outlineLevel="0" collapsed="false">
      <c r="A576" s="12" t="n">
        <v>42212</v>
      </c>
      <c r="B576" s="13" t="n">
        <v>86842.8613578801</v>
      </c>
      <c r="C576" s="13" t="n">
        <v>90242.7940971536</v>
      </c>
      <c r="D576" s="13" t="n">
        <v>2242</v>
      </c>
      <c r="E576" s="14" t="n">
        <v>38.7345501150224</v>
      </c>
      <c r="F576" s="14" t="n">
        <v>40.2510232369106</v>
      </c>
      <c r="G576" s="13" t="n">
        <v>-3399.93273927349</v>
      </c>
      <c r="H576" s="15" t="n">
        <v>-0.0391503997693297</v>
      </c>
      <c r="I576" s="15" t="n">
        <v>-0.0391503997693297</v>
      </c>
      <c r="J576" s="16" t="n">
        <v>2015</v>
      </c>
      <c r="K576" s="16" t="n">
        <v>7</v>
      </c>
      <c r="L576" s="16" t="n">
        <v>31</v>
      </c>
      <c r="M576" s="16" t="s">
        <v>32</v>
      </c>
      <c r="N576" s="17" t="b">
        <f aca="false">FALSE()</f>
        <v>0</v>
      </c>
      <c r="O576" s="14" t="n">
        <v>38.9390735646732</v>
      </c>
      <c r="P576" s="13" t="n">
        <v>2188.5</v>
      </c>
      <c r="Q576" s="15" t="n">
        <v>-0.00525239639590048</v>
      </c>
      <c r="R576" s="15" t="n">
        <v>0.0244459675576879</v>
      </c>
      <c r="S576" s="17" t="b">
        <f aca="false">FALSE()</f>
        <v>0</v>
      </c>
    </row>
    <row r="577" customFormat="false" ht="15" hidden="false" customHeight="true" outlineLevel="0" collapsed="false">
      <c r="A577" s="12" t="n">
        <v>42213</v>
      </c>
      <c r="B577" s="13" t="n">
        <v>56976.7852839004</v>
      </c>
      <c r="C577" s="13" t="n">
        <v>59094.0768578214</v>
      </c>
      <c r="D577" s="13" t="n">
        <v>1474</v>
      </c>
      <c r="E577" s="14" t="n">
        <v>38.6545354707601</v>
      </c>
      <c r="F577" s="14" t="n">
        <v>40.0909612332574</v>
      </c>
      <c r="G577" s="13" t="n">
        <v>-2117.29157392106</v>
      </c>
      <c r="H577" s="15" t="n">
        <v>-0.0371606008196347</v>
      </c>
      <c r="I577" s="15" t="n">
        <v>-0.0371606008196346</v>
      </c>
      <c r="J577" s="16" t="n">
        <v>2015</v>
      </c>
      <c r="K577" s="16" t="n">
        <v>7</v>
      </c>
      <c r="L577" s="16" t="n">
        <v>31</v>
      </c>
      <c r="M577" s="16" t="s">
        <v>33</v>
      </c>
      <c r="N577" s="17" t="b">
        <f aca="false">FALSE()</f>
        <v>0</v>
      </c>
      <c r="O577" s="14" t="n">
        <v>38.896096398877</v>
      </c>
      <c r="P577" s="13" t="n">
        <v>2233.64285714286</v>
      </c>
      <c r="Q577" s="15" t="n">
        <v>-0.0062104157095804</v>
      </c>
      <c r="R577" s="15" t="n">
        <v>-0.340091458539861</v>
      </c>
      <c r="S577" s="17" t="b">
        <f aca="false">FALSE()</f>
        <v>0</v>
      </c>
    </row>
    <row r="578" customFormat="false" ht="15" hidden="false" customHeight="true" outlineLevel="0" collapsed="false">
      <c r="A578" s="12" t="n">
        <v>42214</v>
      </c>
      <c r="B578" s="13" t="n">
        <v>53433.6680275304</v>
      </c>
      <c r="C578" s="13" t="n">
        <v>55516.5255620796</v>
      </c>
      <c r="D578" s="13" t="n">
        <v>1381</v>
      </c>
      <c r="E578" s="14" t="n">
        <v>38.6920116057425</v>
      </c>
      <c r="F578" s="14" t="n">
        <v>40.2002357437217</v>
      </c>
      <c r="G578" s="13" t="n">
        <v>-2082.85753454924</v>
      </c>
      <c r="H578" s="15" t="n">
        <v>-0.0389802461900256</v>
      </c>
      <c r="I578" s="15" t="n">
        <v>-0.0389802461900256</v>
      </c>
      <c r="J578" s="16" t="n">
        <v>2015</v>
      </c>
      <c r="K578" s="16" t="n">
        <v>7</v>
      </c>
      <c r="L578" s="16" t="n">
        <v>31</v>
      </c>
      <c r="M578" s="16" t="s">
        <v>34</v>
      </c>
      <c r="N578" s="17" t="b">
        <f aca="false">FALSE()</f>
        <v>0</v>
      </c>
      <c r="O578" s="14" t="n">
        <v>38.8567723911704</v>
      </c>
      <c r="P578" s="13" t="n">
        <v>2245.57142857143</v>
      </c>
      <c r="Q578" s="15" t="n">
        <v>-0.00424020769839611</v>
      </c>
      <c r="R578" s="15" t="n">
        <v>-0.385011769196514</v>
      </c>
      <c r="S578" s="17" t="b">
        <f aca="false">FALSE()</f>
        <v>0</v>
      </c>
    </row>
    <row r="579" customFormat="false" ht="15" hidden="false" customHeight="true" outlineLevel="0" collapsed="false">
      <c r="A579" s="12" t="n">
        <v>42215</v>
      </c>
      <c r="B579" s="13" t="n">
        <v>55134.0818183804</v>
      </c>
      <c r="C579" s="13" t="n">
        <v>57064.7506960124</v>
      </c>
      <c r="D579" s="13" t="n">
        <v>1423</v>
      </c>
      <c r="E579" s="14" t="n">
        <v>38.744962627112</v>
      </c>
      <c r="F579" s="14" t="n">
        <v>40.1017222038035</v>
      </c>
      <c r="G579" s="13" t="n">
        <v>-1930.66887763207</v>
      </c>
      <c r="H579" s="15" t="n">
        <v>-0.0350177025526965</v>
      </c>
      <c r="I579" s="15" t="n">
        <v>-0.0350177025526966</v>
      </c>
      <c r="J579" s="16" t="n">
        <v>2015</v>
      </c>
      <c r="K579" s="16" t="n">
        <v>7</v>
      </c>
      <c r="L579" s="16" t="n">
        <v>31</v>
      </c>
      <c r="M579" s="16" t="s">
        <v>35</v>
      </c>
      <c r="N579" s="17" t="b">
        <f aca="false">FALSE()</f>
        <v>0</v>
      </c>
      <c r="O579" s="14" t="n">
        <v>38.8216568156485</v>
      </c>
      <c r="P579" s="13" t="n">
        <v>2197.78571428571</v>
      </c>
      <c r="Q579" s="15" t="n">
        <v>-0.00197555165923669</v>
      </c>
      <c r="R579" s="15" t="n">
        <v>-0.35253014397608</v>
      </c>
      <c r="S579" s="17" t="b">
        <f aca="false">FALSE()</f>
        <v>0</v>
      </c>
    </row>
    <row r="580" customFormat="false" ht="15" hidden="false" customHeight="true" outlineLevel="0" collapsed="false">
      <c r="A580" s="12" t="n">
        <v>42216</v>
      </c>
      <c r="B580" s="13" t="n">
        <v>145033.610792665</v>
      </c>
      <c r="C580" s="13" t="n">
        <v>149876.87328204</v>
      </c>
      <c r="D580" s="13" t="n">
        <v>3740</v>
      </c>
      <c r="E580" s="14" t="n">
        <v>38.7790403188944</v>
      </c>
      <c r="F580" s="14" t="n">
        <v>40.0740302893155</v>
      </c>
      <c r="G580" s="13" t="n">
        <v>-4843.26248937499</v>
      </c>
      <c r="H580" s="15" t="n">
        <v>-0.0333940695739744</v>
      </c>
      <c r="I580" s="15" t="n">
        <v>-0.0333940695739743</v>
      </c>
      <c r="J580" s="16" t="n">
        <v>2015</v>
      </c>
      <c r="K580" s="16" t="n">
        <v>7</v>
      </c>
      <c r="L580" s="16" t="n">
        <v>31</v>
      </c>
      <c r="M580" s="16" t="s">
        <v>36</v>
      </c>
      <c r="N580" s="17" t="b">
        <f aca="false">FALSE()</f>
        <v>0</v>
      </c>
      <c r="O580" s="14" t="n">
        <v>38.8111055589642</v>
      </c>
      <c r="P580" s="13" t="n">
        <v>2167.35714285714</v>
      </c>
      <c r="Q580" s="15" t="n">
        <v>-0.00082618723707843</v>
      </c>
      <c r="R580" s="15" t="n">
        <v>0.725603928418416</v>
      </c>
      <c r="S580" s="17" t="b">
        <f aca="false">FALSE()</f>
        <v>0</v>
      </c>
    </row>
    <row r="581" customFormat="false" ht="15" hidden="false" customHeight="true" outlineLevel="0" collapsed="false">
      <c r="A581" s="12" t="n">
        <v>42217</v>
      </c>
      <c r="B581" s="13" t="n">
        <v>173306.906489943</v>
      </c>
      <c r="C581" s="13" t="n">
        <v>178699.9758751</v>
      </c>
      <c r="D581" s="13" t="n">
        <v>4453</v>
      </c>
      <c r="E581" s="14" t="n">
        <v>38.9191346260819</v>
      </c>
      <c r="F581" s="14" t="n">
        <v>40.1302438524814</v>
      </c>
      <c r="G581" s="13" t="n">
        <v>-5393.06938515671</v>
      </c>
      <c r="H581" s="15" t="n">
        <v>-0.031118606259755</v>
      </c>
      <c r="I581" s="15" t="n">
        <v>-0.0311186062597549</v>
      </c>
      <c r="J581" s="16" t="n">
        <v>2015</v>
      </c>
      <c r="K581" s="16" t="n">
        <v>8</v>
      </c>
      <c r="L581" s="16" t="n">
        <v>31</v>
      </c>
      <c r="M581" s="16" t="s">
        <v>37</v>
      </c>
      <c r="N581" s="17" t="b">
        <f aca="false">TRUE()</f>
        <v>1</v>
      </c>
      <c r="O581" s="14" t="n">
        <v>38.8075537731163</v>
      </c>
      <c r="P581" s="13" t="n">
        <v>2215.21428571429</v>
      </c>
      <c r="Q581" s="15" t="n">
        <v>0.00287523541468139</v>
      </c>
      <c r="R581" s="15" t="n">
        <v>1.01018927546513</v>
      </c>
      <c r="S581" s="17" t="b">
        <f aca="false">FALSE()</f>
        <v>0</v>
      </c>
    </row>
    <row r="582" customFormat="false" ht="15" hidden="false" customHeight="true" outlineLevel="0" collapsed="false">
      <c r="A582" s="12" t="n">
        <v>42218</v>
      </c>
      <c r="B582" s="13" t="n">
        <v>88154.33871239</v>
      </c>
      <c r="C582" s="13" t="n">
        <v>90828.6616998234</v>
      </c>
      <c r="D582" s="13" t="n">
        <v>2258</v>
      </c>
      <c r="E582" s="14" t="n">
        <v>39.0408940267449</v>
      </c>
      <c r="F582" s="14" t="n">
        <v>40.2252709033762</v>
      </c>
      <c r="G582" s="13" t="n">
        <v>-2674.32298743335</v>
      </c>
      <c r="H582" s="15" t="n">
        <v>-0.0303368277329891</v>
      </c>
      <c r="I582" s="15" t="n">
        <v>-0.030336827732989</v>
      </c>
      <c r="J582" s="16" t="n">
        <v>2015</v>
      </c>
      <c r="K582" s="16" t="n">
        <v>8</v>
      </c>
      <c r="L582" s="16" t="n">
        <v>31</v>
      </c>
      <c r="M582" s="16" t="s">
        <v>38</v>
      </c>
      <c r="N582" s="17" t="b">
        <f aca="false">TRUE()</f>
        <v>1</v>
      </c>
      <c r="O582" s="14" t="n">
        <v>38.8042873796164</v>
      </c>
      <c r="P582" s="13" t="n">
        <v>2296</v>
      </c>
      <c r="Q582" s="15" t="n">
        <v>0.00609743569863306</v>
      </c>
      <c r="R582" s="15" t="n">
        <v>-0.0165505226480836</v>
      </c>
      <c r="S582" s="17" t="b">
        <f aca="false">FALSE()</f>
        <v>0</v>
      </c>
    </row>
    <row r="583" customFormat="false" ht="15" hidden="false" customHeight="true" outlineLevel="0" collapsed="false">
      <c r="A583" s="12" t="n">
        <v>42219</v>
      </c>
      <c r="B583" s="13" t="n">
        <v>81142.0278477904</v>
      </c>
      <c r="C583" s="13" t="n">
        <v>83114.5768093384</v>
      </c>
      <c r="D583" s="13" t="n">
        <v>2074</v>
      </c>
      <c r="E583" s="14" t="n">
        <v>39.123446406842</v>
      </c>
      <c r="F583" s="14" t="n">
        <v>40.0745307663155</v>
      </c>
      <c r="G583" s="13" t="n">
        <v>-1972.54896154803</v>
      </c>
      <c r="H583" s="15" t="n">
        <v>-0.0243098307235829</v>
      </c>
      <c r="I583" s="15" t="n">
        <v>-0.0243098307235829</v>
      </c>
      <c r="J583" s="16" t="n">
        <v>2015</v>
      </c>
      <c r="K583" s="16" t="n">
        <v>8</v>
      </c>
      <c r="L583" s="16" t="n">
        <v>32</v>
      </c>
      <c r="M583" s="16" t="s">
        <v>32</v>
      </c>
      <c r="N583" s="17" t="b">
        <f aca="false">FALSE()</f>
        <v>0</v>
      </c>
      <c r="O583" s="14" t="n">
        <v>38.7946759490949</v>
      </c>
      <c r="P583" s="13" t="n">
        <v>2315.71428571429</v>
      </c>
      <c r="Q583" s="15" t="n">
        <v>0.0084746282757604</v>
      </c>
      <c r="R583" s="15" t="n">
        <v>-0.104380012338063</v>
      </c>
      <c r="S583" s="17" t="b">
        <f aca="false">FALSE()</f>
        <v>0</v>
      </c>
    </row>
    <row r="584" customFormat="false" ht="15" hidden="false" customHeight="true" outlineLevel="0" collapsed="false">
      <c r="A584" s="12" t="n">
        <v>42220</v>
      </c>
      <c r="B584" s="13" t="n">
        <v>77672.8827777405</v>
      </c>
      <c r="C584" s="13" t="n">
        <v>80417.7464421733</v>
      </c>
      <c r="D584" s="13" t="n">
        <v>2007</v>
      </c>
      <c r="E584" s="14" t="n">
        <v>38.7009879311114</v>
      </c>
      <c r="F584" s="14" t="n">
        <v>40.0686330055672</v>
      </c>
      <c r="G584" s="13" t="n">
        <v>-2744.86366443281</v>
      </c>
      <c r="H584" s="15" t="n">
        <v>-0.0353387638809182</v>
      </c>
      <c r="I584" s="15" t="n">
        <v>-0.0353387638809182</v>
      </c>
      <c r="J584" s="16" t="n">
        <v>2015</v>
      </c>
      <c r="K584" s="16" t="n">
        <v>8</v>
      </c>
      <c r="L584" s="16" t="n">
        <v>32</v>
      </c>
      <c r="M584" s="16" t="s">
        <v>33</v>
      </c>
      <c r="N584" s="17" t="b">
        <f aca="false">FALSE()</f>
        <v>0</v>
      </c>
      <c r="O584" s="14" t="n">
        <v>38.7941542593745</v>
      </c>
      <c r="P584" s="13" t="n">
        <v>2336.21428571429</v>
      </c>
      <c r="Q584" s="15" t="n">
        <v>-0.00240155585401566</v>
      </c>
      <c r="R584" s="15" t="n">
        <v>-0.140917846332589</v>
      </c>
      <c r="S584" s="17" t="b">
        <f aca="false">FALSE()</f>
        <v>0</v>
      </c>
    </row>
    <row r="585" customFormat="false" ht="15" hidden="false" customHeight="true" outlineLevel="0" collapsed="false">
      <c r="A585" s="12" t="n">
        <v>42221</v>
      </c>
      <c r="B585" s="13" t="n">
        <v>75483.4225543005</v>
      </c>
      <c r="C585" s="13" t="n">
        <v>78024.2846750306</v>
      </c>
      <c r="D585" s="13" t="n">
        <v>1948</v>
      </c>
      <c r="E585" s="14" t="n">
        <v>38.7491902229469</v>
      </c>
      <c r="F585" s="14" t="n">
        <v>40.0535342274285</v>
      </c>
      <c r="G585" s="13" t="n">
        <v>-2540.86212073015</v>
      </c>
      <c r="H585" s="15" t="n">
        <v>-0.0336611938721026</v>
      </c>
      <c r="I585" s="15" t="n">
        <v>-0.0336611938721025</v>
      </c>
      <c r="J585" s="16" t="n">
        <v>2015</v>
      </c>
      <c r="K585" s="16" t="n">
        <v>8</v>
      </c>
      <c r="L585" s="16" t="n">
        <v>32</v>
      </c>
      <c r="M585" s="16" t="s">
        <v>34</v>
      </c>
      <c r="N585" s="17" t="b">
        <f aca="false">FALSE()</f>
        <v>0</v>
      </c>
      <c r="O585" s="14" t="n">
        <v>38.7736071080238</v>
      </c>
      <c r="P585" s="13" t="n">
        <v>2347.71428571429</v>
      </c>
      <c r="Q585" s="15" t="n">
        <v>-0.000629729522169878</v>
      </c>
      <c r="R585" s="15" t="n">
        <v>-0.170256784714616</v>
      </c>
      <c r="S585" s="17" t="b">
        <f aca="false">FALSE()</f>
        <v>0</v>
      </c>
    </row>
    <row r="586" customFormat="false" ht="15" hidden="false" customHeight="true" outlineLevel="0" collapsed="false">
      <c r="A586" s="12" t="n">
        <v>42222</v>
      </c>
      <c r="B586" s="13" t="n">
        <v>74354.5701020405</v>
      </c>
      <c r="C586" s="13" t="n">
        <v>76978.3052384074</v>
      </c>
      <c r="D586" s="13" t="n">
        <v>1922</v>
      </c>
      <c r="E586" s="14" t="n">
        <v>38.6860406358171</v>
      </c>
      <c r="F586" s="14" t="n">
        <v>40.0511473664971</v>
      </c>
      <c r="G586" s="13" t="n">
        <v>-2623.73513636692</v>
      </c>
      <c r="H586" s="15" t="n">
        <v>-0.0352868039283427</v>
      </c>
      <c r="I586" s="15" t="n">
        <v>-0.0352868039283427</v>
      </c>
      <c r="J586" s="16" t="n">
        <v>2015</v>
      </c>
      <c r="K586" s="16" t="n">
        <v>8</v>
      </c>
      <c r="L586" s="16" t="n">
        <v>32</v>
      </c>
      <c r="M586" s="16" t="s">
        <v>35</v>
      </c>
      <c r="N586" s="17" t="b">
        <f aca="false">FALSE()</f>
        <v>0</v>
      </c>
      <c r="O586" s="14" t="n">
        <v>38.7702719111508</v>
      </c>
      <c r="P586" s="13" t="n">
        <v>2405.28571428571</v>
      </c>
      <c r="Q586" s="15" t="n">
        <v>-0.00217257375771706</v>
      </c>
      <c r="R586" s="15" t="n">
        <v>-0.200926530854665</v>
      </c>
      <c r="S586" s="17" t="b">
        <f aca="false">FALSE()</f>
        <v>0</v>
      </c>
    </row>
    <row r="587" customFormat="false" ht="15" hidden="false" customHeight="true" outlineLevel="0" collapsed="false">
      <c r="A587" s="12" t="n">
        <v>42223</v>
      </c>
      <c r="B587" s="13" t="n">
        <v>120326.876292698</v>
      </c>
      <c r="C587" s="13" t="n">
        <v>123707.761573167</v>
      </c>
      <c r="D587" s="13" t="n">
        <v>3088</v>
      </c>
      <c r="E587" s="14" t="n">
        <v>38.9659573486716</v>
      </c>
      <c r="F587" s="14" t="n">
        <v>40.0608036182536</v>
      </c>
      <c r="G587" s="13" t="n">
        <v>-3380.88528046901</v>
      </c>
      <c r="H587" s="15" t="n">
        <v>-0.0280975072621758</v>
      </c>
      <c r="I587" s="15" t="n">
        <v>-0.0280975072621759</v>
      </c>
      <c r="J587" s="16" t="n">
        <v>2015</v>
      </c>
      <c r="K587" s="16" t="n">
        <v>8</v>
      </c>
      <c r="L587" s="16" t="n">
        <v>32</v>
      </c>
      <c r="M587" s="16" t="s">
        <v>36</v>
      </c>
      <c r="N587" s="17" t="b">
        <f aca="false">FALSE()</f>
        <v>0</v>
      </c>
      <c r="O587" s="14" t="n">
        <v>38.7818829974919</v>
      </c>
      <c r="P587" s="13" t="n">
        <v>2418.71428571429</v>
      </c>
      <c r="Q587" s="15" t="n">
        <v>0.00474640056006509</v>
      </c>
      <c r="R587" s="15" t="n">
        <v>0.276711357864273</v>
      </c>
      <c r="S587" s="17" t="b">
        <f aca="false">FALSE()</f>
        <v>0</v>
      </c>
    </row>
    <row r="588" customFormat="false" ht="15" hidden="false" customHeight="true" outlineLevel="0" collapsed="false">
      <c r="A588" s="12" t="n">
        <v>42224</v>
      </c>
      <c r="B588" s="13" t="n">
        <v>131867.993504016</v>
      </c>
      <c r="C588" s="13" t="n">
        <v>135721.426030331</v>
      </c>
      <c r="D588" s="13" t="n">
        <v>3388</v>
      </c>
      <c r="E588" s="14" t="n">
        <v>38.9220760047274</v>
      </c>
      <c r="F588" s="14" t="n">
        <v>40.0594527834507</v>
      </c>
      <c r="G588" s="13" t="n">
        <v>-3853.4325263146</v>
      </c>
      <c r="H588" s="15" t="n">
        <v>-0.0292218939859522</v>
      </c>
      <c r="I588" s="15" t="n">
        <v>-0.0292218939859523</v>
      </c>
      <c r="J588" s="16" t="n">
        <v>2015</v>
      </c>
      <c r="K588" s="16" t="n">
        <v>8</v>
      </c>
      <c r="L588" s="16" t="n">
        <v>32</v>
      </c>
      <c r="M588" s="16" t="s">
        <v>37</v>
      </c>
      <c r="N588" s="17" t="b">
        <f aca="false">TRUE()</f>
        <v>1</v>
      </c>
      <c r="O588" s="14" t="n">
        <v>38.8103856529606</v>
      </c>
      <c r="P588" s="13" t="n">
        <v>2406.5</v>
      </c>
      <c r="Q588" s="15" t="n">
        <v>0.00287784699604585</v>
      </c>
      <c r="R588" s="15" t="n">
        <v>0.407853729482651</v>
      </c>
      <c r="S588" s="17" t="b">
        <f aca="false">FALSE()</f>
        <v>0</v>
      </c>
    </row>
    <row r="589" customFormat="false" ht="15" hidden="false" customHeight="true" outlineLevel="0" collapsed="false">
      <c r="A589" s="12" t="n">
        <v>42225</v>
      </c>
      <c r="B589" s="13" t="n">
        <v>75504.0027426205</v>
      </c>
      <c r="C589" s="13" t="n">
        <v>77978.6944714788</v>
      </c>
      <c r="D589" s="13" t="n">
        <v>1944</v>
      </c>
      <c r="E589" s="14" t="n">
        <v>38.8395075836525</v>
      </c>
      <c r="F589" s="14" t="n">
        <v>40.1124971561105</v>
      </c>
      <c r="G589" s="13" t="n">
        <v>-2474.69172885832</v>
      </c>
      <c r="H589" s="15" t="n">
        <v>-0.0327756362440028</v>
      </c>
      <c r="I589" s="15" t="n">
        <v>-0.0327756362440029</v>
      </c>
      <c r="J589" s="16" t="n">
        <v>2015</v>
      </c>
      <c r="K589" s="16" t="n">
        <v>8</v>
      </c>
      <c r="L589" s="16" t="n">
        <v>32</v>
      </c>
      <c r="M589" s="16" t="s">
        <v>38</v>
      </c>
      <c r="N589" s="17" t="b">
        <f aca="false">TRUE()</f>
        <v>1</v>
      </c>
      <c r="O589" s="14" t="n">
        <v>38.8184785677993</v>
      </c>
      <c r="P589" s="13" t="n">
        <v>2393.35714285714</v>
      </c>
      <c r="Q589" s="15" t="n">
        <v>0.000541726946266474</v>
      </c>
      <c r="R589" s="15" t="n">
        <v>-0.187751813053989</v>
      </c>
      <c r="S589" s="17" t="b">
        <f aca="false">FALSE()</f>
        <v>0</v>
      </c>
    </row>
    <row r="590" customFormat="false" ht="15" hidden="false" customHeight="true" outlineLevel="0" collapsed="false">
      <c r="A590" s="12" t="n">
        <v>42226</v>
      </c>
      <c r="B590" s="13" t="n">
        <v>69968.0776990805</v>
      </c>
      <c r="C590" s="13" t="n">
        <v>72665.7255271172</v>
      </c>
      <c r="D590" s="13" t="n">
        <v>1812</v>
      </c>
      <c r="E590" s="14" t="n">
        <v>38.6137294145036</v>
      </c>
      <c r="F590" s="14" t="n">
        <v>40.1024975315216</v>
      </c>
      <c r="G590" s="13" t="n">
        <v>-2697.64782803672</v>
      </c>
      <c r="H590" s="15" t="n">
        <v>-0.038555408648481</v>
      </c>
      <c r="I590" s="15" t="n">
        <v>-0.0385554086484809</v>
      </c>
      <c r="J590" s="16" t="n">
        <v>2015</v>
      </c>
      <c r="K590" s="16" t="n">
        <v>8</v>
      </c>
      <c r="L590" s="16" t="n">
        <v>33</v>
      </c>
      <c r="M590" s="16" t="s">
        <v>32</v>
      </c>
      <c r="N590" s="17" t="b">
        <f aca="false">FALSE()</f>
        <v>0</v>
      </c>
      <c r="O590" s="14" t="n">
        <v>38.8251667802948</v>
      </c>
      <c r="P590" s="13" t="n">
        <v>2381.57142857143</v>
      </c>
      <c r="Q590" s="15" t="n">
        <v>-0.00544588428911849</v>
      </c>
      <c r="R590" s="15" t="n">
        <v>-0.239157818967069</v>
      </c>
      <c r="S590" s="17" t="b">
        <f aca="false">FALSE()</f>
        <v>0</v>
      </c>
    </row>
    <row r="591" customFormat="false" ht="15" hidden="false" customHeight="true" outlineLevel="0" collapsed="false">
      <c r="A591" s="12" t="n">
        <v>42227</v>
      </c>
      <c r="B591" s="13" t="n">
        <v>60187.1490472804</v>
      </c>
      <c r="C591" s="13" t="n">
        <v>62538.493277925</v>
      </c>
      <c r="D591" s="13" t="n">
        <v>1563</v>
      </c>
      <c r="E591" s="14" t="n">
        <v>38.5074530052977</v>
      </c>
      <c r="F591" s="14" t="n">
        <v>40.0118319116603</v>
      </c>
      <c r="G591" s="13" t="n">
        <v>-2351.34423064461</v>
      </c>
      <c r="H591" s="15" t="n">
        <v>-0.0390672139794742</v>
      </c>
      <c r="I591" s="15" t="n">
        <v>-0.0390672139794741</v>
      </c>
      <c r="J591" s="16" t="n">
        <v>2015</v>
      </c>
      <c r="K591" s="16" t="n">
        <v>8</v>
      </c>
      <c r="L591" s="16" t="n">
        <v>33</v>
      </c>
      <c r="M591" s="16" t="s">
        <v>33</v>
      </c>
      <c r="N591" s="17" t="b">
        <f aca="false">FALSE()</f>
        <v>0</v>
      </c>
      <c r="O591" s="14" t="n">
        <v>38.8165367302577</v>
      </c>
      <c r="P591" s="13" t="n">
        <v>2350.85714285714</v>
      </c>
      <c r="Q591" s="15" t="n">
        <v>-0.00796268165570434</v>
      </c>
      <c r="R591" s="15" t="n">
        <v>-0.335136120563928</v>
      </c>
      <c r="S591" s="17" t="b">
        <f aca="false">FALSE()</f>
        <v>0</v>
      </c>
    </row>
    <row r="592" customFormat="false" ht="15" hidden="false" customHeight="true" outlineLevel="0" collapsed="false">
      <c r="A592" s="12" t="n">
        <v>42228</v>
      </c>
      <c r="B592" s="13" t="n">
        <v>44698.7007510953</v>
      </c>
      <c r="C592" s="13" t="n">
        <v>46849.5671464748</v>
      </c>
      <c r="D592" s="13" t="n">
        <v>1171</v>
      </c>
      <c r="E592" s="14" t="n">
        <v>38.1713926140865</v>
      </c>
      <c r="F592" s="14" t="n">
        <v>40.0081700653073</v>
      </c>
      <c r="G592" s="13" t="n">
        <v>-2150.8663953796</v>
      </c>
      <c r="H592" s="15" t="n">
        <v>-0.0481192150831564</v>
      </c>
      <c r="I592" s="15" t="n">
        <v>-0.0481192150831564</v>
      </c>
      <c r="J592" s="16" t="n">
        <v>2015</v>
      </c>
      <c r="K592" s="16" t="n">
        <v>8</v>
      </c>
      <c r="L592" s="16" t="n">
        <v>33</v>
      </c>
      <c r="M592" s="16" t="s">
        <v>34</v>
      </c>
      <c r="N592" s="17" t="b">
        <f aca="false">FALSE()</f>
        <v>0</v>
      </c>
      <c r="O592" s="14" t="n">
        <v>38.8060308398676</v>
      </c>
      <c r="P592" s="13" t="n">
        <v>2357.21428571429</v>
      </c>
      <c r="Q592" s="15" t="n">
        <v>-0.0163541133181058</v>
      </c>
      <c r="R592" s="15" t="n">
        <v>-0.503227174934093</v>
      </c>
      <c r="S592" s="17" t="b">
        <f aca="false">FALSE()</f>
        <v>0</v>
      </c>
    </row>
    <row r="593" customFormat="false" ht="15" hidden="false" customHeight="true" outlineLevel="0" collapsed="false">
      <c r="A593" s="12" t="n">
        <v>42229</v>
      </c>
      <c r="B593" s="13" t="n">
        <v>39463.4090599303</v>
      </c>
      <c r="C593" s="13" t="n">
        <v>41414.4183701398</v>
      </c>
      <c r="D593" s="13" t="n">
        <v>1035</v>
      </c>
      <c r="E593" s="14" t="n">
        <v>38.1288976424447</v>
      </c>
      <c r="F593" s="14" t="n">
        <v>40.0139307924056</v>
      </c>
      <c r="G593" s="13" t="n">
        <v>-1951.00931020956</v>
      </c>
      <c r="H593" s="15" t="n">
        <v>-0.0494384382060533</v>
      </c>
      <c r="I593" s="15" t="n">
        <v>-0.0494384382060533</v>
      </c>
      <c r="J593" s="16" t="n">
        <v>2015</v>
      </c>
      <c r="K593" s="16" t="n">
        <v>8</v>
      </c>
      <c r="L593" s="16" t="n">
        <v>33</v>
      </c>
      <c r="M593" s="16" t="s">
        <v>35</v>
      </c>
      <c r="N593" s="17" t="b">
        <f aca="false">FALSE()</f>
        <v>0</v>
      </c>
      <c r="O593" s="14" t="n">
        <v>38.768843769035</v>
      </c>
      <c r="P593" s="13" t="n">
        <v>2342.21428571429</v>
      </c>
      <c r="Q593" s="15" t="n">
        <v>-0.0165067116884574</v>
      </c>
      <c r="R593" s="15" t="n">
        <v>-0.558110457137629</v>
      </c>
      <c r="S593" s="17" t="b">
        <f aca="false">FALSE()</f>
        <v>0</v>
      </c>
    </row>
    <row r="594" customFormat="false" ht="15" hidden="false" customHeight="true" outlineLevel="0" collapsed="false">
      <c r="A594" s="12" t="n">
        <v>42230</v>
      </c>
      <c r="B594" s="13" t="n">
        <v>85794.0969026203</v>
      </c>
      <c r="C594" s="13" t="n">
        <v>89898.8942275</v>
      </c>
      <c r="D594" s="13" t="n">
        <v>2247</v>
      </c>
      <c r="E594" s="14" t="n">
        <v>38.1816185592436</v>
      </c>
      <c r="F594" s="14" t="n">
        <v>40.0084086459724</v>
      </c>
      <c r="G594" s="13" t="n">
        <v>-4104.79732487971</v>
      </c>
      <c r="H594" s="15" t="n">
        <v>-0.0478447524138965</v>
      </c>
      <c r="I594" s="15" t="n">
        <v>-0.0478447524138965</v>
      </c>
      <c r="J594" s="16" t="n">
        <v>2015</v>
      </c>
      <c r="K594" s="16" t="n">
        <v>8</v>
      </c>
      <c r="L594" s="16" t="n">
        <v>33</v>
      </c>
      <c r="M594" s="16" t="s">
        <v>36</v>
      </c>
      <c r="N594" s="17" t="b">
        <f aca="false">FALSE()</f>
        <v>0</v>
      </c>
      <c r="O594" s="14" t="n">
        <v>38.7248391272731</v>
      </c>
      <c r="P594" s="13" t="n">
        <v>2314.5</v>
      </c>
      <c r="Q594" s="15" t="n">
        <v>-0.0140277036721613</v>
      </c>
      <c r="R594" s="15" t="n">
        <v>-0.0291639662994167</v>
      </c>
      <c r="S594" s="17" t="b">
        <f aca="false">FALSE()</f>
        <v>0</v>
      </c>
    </row>
    <row r="595" customFormat="false" ht="15" hidden="false" customHeight="true" outlineLevel="0" collapsed="false">
      <c r="A595" s="12" t="n">
        <v>42231</v>
      </c>
      <c r="B595" s="13" t="n">
        <v>117288.010053802</v>
      </c>
      <c r="C595" s="13" t="n">
        <v>122504.357202297</v>
      </c>
      <c r="D595" s="13" t="n">
        <v>3068</v>
      </c>
      <c r="E595" s="14" t="n">
        <v>38.2294687267933</v>
      </c>
      <c r="F595" s="14" t="n">
        <v>39.9297122562898</v>
      </c>
      <c r="G595" s="13" t="n">
        <v>-5216.34714849545</v>
      </c>
      <c r="H595" s="15" t="n">
        <v>-0.044474683696165</v>
      </c>
      <c r="I595" s="15" t="n">
        <v>-0.044474683696165</v>
      </c>
      <c r="J595" s="16" t="n">
        <v>2015</v>
      </c>
      <c r="K595" s="16" t="n">
        <v>8</v>
      </c>
      <c r="L595" s="16" t="n">
        <v>33</v>
      </c>
      <c r="M595" s="16" t="s">
        <v>37</v>
      </c>
      <c r="N595" s="17" t="b">
        <f aca="false">TRUE()</f>
        <v>1</v>
      </c>
      <c r="O595" s="14" t="n">
        <v>38.6821661444408</v>
      </c>
      <c r="P595" s="13" t="n">
        <v>2207.85714285714</v>
      </c>
      <c r="Q595" s="15" t="n">
        <v>-0.0117030007046965</v>
      </c>
      <c r="R595" s="15" t="n">
        <v>0.389582659333549</v>
      </c>
      <c r="S595" s="17" t="b">
        <f aca="false">FALSE()</f>
        <v>0</v>
      </c>
    </row>
    <row r="596" customFormat="false" ht="15" hidden="false" customHeight="true" outlineLevel="0" collapsed="false">
      <c r="A596" s="12" t="n">
        <v>42232</v>
      </c>
      <c r="B596" s="13" t="n">
        <v>71056.0610037805</v>
      </c>
      <c r="C596" s="13" t="n">
        <v>74589.1728662503</v>
      </c>
      <c r="D596" s="13" t="n">
        <v>1866</v>
      </c>
      <c r="E596" s="14" t="n">
        <v>38.0793467330013</v>
      </c>
      <c r="F596" s="14" t="n">
        <v>39.9727614502949</v>
      </c>
      <c r="G596" s="13" t="n">
        <v>-3533.11186246977</v>
      </c>
      <c r="H596" s="15" t="n">
        <v>-0.0497228781409906</v>
      </c>
      <c r="I596" s="15" t="n">
        <v>-0.0497228781409908</v>
      </c>
      <c r="J596" s="16" t="n">
        <v>2015</v>
      </c>
      <c r="K596" s="16" t="n">
        <v>8</v>
      </c>
      <c r="L596" s="16" t="n">
        <v>33</v>
      </c>
      <c r="M596" s="16" t="s">
        <v>38</v>
      </c>
      <c r="N596" s="17" t="b">
        <f aca="false">TRUE()</f>
        <v>1</v>
      </c>
      <c r="O596" s="14" t="n">
        <v>38.6329042944917</v>
      </c>
      <c r="P596" s="13" t="n">
        <v>2108.92857142857</v>
      </c>
      <c r="Q596" s="15" t="n">
        <v>-0.0143286551088847</v>
      </c>
      <c r="R596" s="15" t="n">
        <v>-0.115190516511431</v>
      </c>
      <c r="S596" s="17" t="b">
        <f aca="false">FALSE()</f>
        <v>0</v>
      </c>
    </row>
    <row r="597" customFormat="false" ht="15" hidden="false" customHeight="true" outlineLevel="0" collapsed="false">
      <c r="A597" s="12" t="n">
        <v>42233</v>
      </c>
      <c r="B597" s="13" t="n">
        <v>64394.0744533304</v>
      </c>
      <c r="C597" s="13" t="n">
        <v>67505.2541392837</v>
      </c>
      <c r="D597" s="13" t="n">
        <v>1690</v>
      </c>
      <c r="E597" s="14" t="n">
        <v>38.1030026351067</v>
      </c>
      <c r="F597" s="14" t="n">
        <v>39.9439373605229</v>
      </c>
      <c r="G597" s="13" t="n">
        <v>-3111.17968595334</v>
      </c>
      <c r="H597" s="15" t="n">
        <v>-0.0483146890822722</v>
      </c>
      <c r="I597" s="15" t="n">
        <v>-0.0483146890822723</v>
      </c>
      <c r="J597" s="16" t="n">
        <v>2015</v>
      </c>
      <c r="K597" s="16" t="n">
        <v>8</v>
      </c>
      <c r="L597" s="16" t="n">
        <v>34</v>
      </c>
      <c r="M597" s="16" t="s">
        <v>32</v>
      </c>
      <c r="N597" s="17" t="b">
        <f aca="false">FALSE()</f>
        <v>0</v>
      </c>
      <c r="O597" s="14" t="n">
        <v>38.5642223449385</v>
      </c>
      <c r="P597" s="13" t="n">
        <v>2080.92857142857</v>
      </c>
      <c r="Q597" s="15" t="n">
        <v>-0.0119597824560397</v>
      </c>
      <c r="R597" s="15" t="n">
        <v>-0.187862561356537</v>
      </c>
      <c r="S597" s="17" t="b">
        <f aca="false">FALSE()</f>
        <v>0</v>
      </c>
    </row>
    <row r="598" customFormat="false" ht="15" hidden="false" customHeight="true" outlineLevel="0" collapsed="false">
      <c r="A598" s="12" t="n">
        <v>42234</v>
      </c>
      <c r="B598" s="13" t="n">
        <v>35165.9720827253</v>
      </c>
      <c r="C598" s="13" t="n">
        <v>36841.9673228138</v>
      </c>
      <c r="D598" s="13" t="n">
        <v>922</v>
      </c>
      <c r="E598" s="14" t="n">
        <v>38.1409675517627</v>
      </c>
      <c r="F598" s="14" t="n">
        <v>39.9587498078241</v>
      </c>
      <c r="G598" s="13" t="n">
        <v>-1675.99524008856</v>
      </c>
      <c r="H598" s="15" t="n">
        <v>-0.0476595737534543</v>
      </c>
      <c r="I598" s="15" t="n">
        <v>-0.0476595737534543</v>
      </c>
      <c r="J598" s="16" t="n">
        <v>2015</v>
      </c>
      <c r="K598" s="16" t="n">
        <v>8</v>
      </c>
      <c r="L598" s="16" t="n">
        <v>34</v>
      </c>
      <c r="M598" s="16" t="s">
        <v>33</v>
      </c>
      <c r="N598" s="17" t="b">
        <f aca="false">FALSE()</f>
        <v>0</v>
      </c>
      <c r="O598" s="14" t="n">
        <v>38.4913335041003</v>
      </c>
      <c r="P598" s="13" t="n">
        <v>2053.5</v>
      </c>
      <c r="Q598" s="15" t="n">
        <v>-0.00910246334542376</v>
      </c>
      <c r="R598" s="15" t="n">
        <v>-0.551010469929389</v>
      </c>
      <c r="S598" s="17" t="b">
        <f aca="false">FALSE()</f>
        <v>0</v>
      </c>
    </row>
    <row r="599" customFormat="false" ht="15" hidden="false" customHeight="true" outlineLevel="0" collapsed="false">
      <c r="A599" s="12" t="n">
        <v>42235</v>
      </c>
      <c r="B599" s="13" t="n">
        <v>23234.1831951301</v>
      </c>
      <c r="C599" s="13" t="n">
        <v>24104.0859779125</v>
      </c>
      <c r="D599" s="13" t="n">
        <v>604</v>
      </c>
      <c r="E599" s="14" t="n">
        <v>38.4671907204141</v>
      </c>
      <c r="F599" s="14" t="n">
        <v>39.9074271157492</v>
      </c>
      <c r="G599" s="13" t="n">
        <v>-869.902782782403</v>
      </c>
      <c r="H599" s="15" t="n">
        <v>-0.0374406440491841</v>
      </c>
      <c r="I599" s="15" t="n">
        <v>-0.037440644049184</v>
      </c>
      <c r="J599" s="16" t="n">
        <v>2015</v>
      </c>
      <c r="K599" s="16" t="n">
        <v>8</v>
      </c>
      <c r="L599" s="16" t="n">
        <v>34</v>
      </c>
      <c r="M599" s="16" t="s">
        <v>34</v>
      </c>
      <c r="N599" s="17" t="b">
        <f aca="false">FALSE()</f>
        <v>0</v>
      </c>
      <c r="O599" s="14" t="n">
        <v>38.4513320484325</v>
      </c>
      <c r="P599" s="13" t="n">
        <v>1976</v>
      </c>
      <c r="Q599" s="15" t="n">
        <v>0.000412434918030944</v>
      </c>
      <c r="R599" s="15" t="n">
        <v>-0.694331983805668</v>
      </c>
      <c r="S599" s="17" t="b">
        <f aca="false">FALSE()</f>
        <v>0</v>
      </c>
    </row>
    <row r="600" customFormat="false" ht="15" hidden="false" customHeight="true" outlineLevel="0" collapsed="false">
      <c r="A600" s="12" t="n">
        <v>42236</v>
      </c>
      <c r="B600" s="13" t="n">
        <v>24754.9571818001</v>
      </c>
      <c r="C600" s="13" t="n">
        <v>25407.1740703462</v>
      </c>
      <c r="D600" s="13" t="n">
        <v>643</v>
      </c>
      <c r="E600" s="14" t="n">
        <v>38.4991558037327</v>
      </c>
      <c r="F600" s="14" t="n">
        <v>39.5134900005384</v>
      </c>
      <c r="G600" s="13" t="n">
        <v>-652.216888546063</v>
      </c>
      <c r="H600" s="15" t="n">
        <v>-0.0263469204877306</v>
      </c>
      <c r="I600" s="15" t="n">
        <v>-0.0263469204877306</v>
      </c>
      <c r="J600" s="16" t="n">
        <v>2015</v>
      </c>
      <c r="K600" s="16" t="n">
        <v>8</v>
      </c>
      <c r="L600" s="16" t="n">
        <v>34</v>
      </c>
      <c r="M600" s="16" t="s">
        <v>35</v>
      </c>
      <c r="N600" s="17" t="b">
        <f aca="false">FALSE()</f>
        <v>0</v>
      </c>
      <c r="O600" s="14" t="n">
        <v>38.4311892268231</v>
      </c>
      <c r="P600" s="13" t="n">
        <v>1880</v>
      </c>
      <c r="Q600" s="15" t="n">
        <v>0.00176852650872961</v>
      </c>
      <c r="R600" s="15" t="n">
        <v>-0.657978723404255</v>
      </c>
      <c r="S600" s="17" t="b">
        <f aca="false">FALSE()</f>
        <v>0</v>
      </c>
    </row>
    <row r="601" customFormat="false" ht="15" hidden="false" customHeight="true" outlineLevel="0" collapsed="false">
      <c r="A601" s="12" t="n">
        <v>42237</v>
      </c>
      <c r="B601" s="13" t="n">
        <v>76691.2830290555</v>
      </c>
      <c r="C601" s="13" t="n">
        <v>78691.9563155523</v>
      </c>
      <c r="D601" s="13" t="n">
        <v>2006</v>
      </c>
      <c r="E601" s="14" t="n">
        <v>38.2309486685222</v>
      </c>
      <c r="F601" s="14" t="n">
        <v>39.2282932779423</v>
      </c>
      <c r="G601" s="13" t="n">
        <v>-2000.67328649681</v>
      </c>
      <c r="H601" s="15" t="n">
        <v>-0.026087362311292</v>
      </c>
      <c r="I601" s="15" t="n">
        <v>-0.0260873623112921</v>
      </c>
      <c r="J601" s="16" t="n">
        <v>2015</v>
      </c>
      <c r="K601" s="16" t="n">
        <v>8</v>
      </c>
      <c r="L601" s="16" t="n">
        <v>34</v>
      </c>
      <c r="M601" s="16" t="s">
        <v>36</v>
      </c>
      <c r="N601" s="17" t="b">
        <f aca="false">FALSE()</f>
        <v>0</v>
      </c>
      <c r="O601" s="14" t="n">
        <v>38.4178403102456</v>
      </c>
      <c r="P601" s="13" t="n">
        <v>1788.64285714286</v>
      </c>
      <c r="Q601" s="15" t="n">
        <v>-0.00486470973417989</v>
      </c>
      <c r="R601" s="15" t="n">
        <v>0.121520706042091</v>
      </c>
      <c r="S601" s="17" t="b">
        <f aca="false">FALSE()</f>
        <v>0</v>
      </c>
    </row>
    <row r="602" customFormat="false" ht="15" hidden="false" customHeight="true" outlineLevel="0" collapsed="false">
      <c r="A602" s="12" t="n">
        <v>42238</v>
      </c>
      <c r="B602" s="13" t="n">
        <v>102231.211792358</v>
      </c>
      <c r="C602" s="13" t="n">
        <v>104713.007499776</v>
      </c>
      <c r="D602" s="13" t="n">
        <v>2677</v>
      </c>
      <c r="E602" s="14" t="n">
        <v>38.188723120044</v>
      </c>
      <c r="F602" s="14" t="n">
        <v>39.1158040716386</v>
      </c>
      <c r="G602" s="13" t="n">
        <v>-2481.79570741863</v>
      </c>
      <c r="H602" s="15" t="n">
        <v>-0.0242763013751555</v>
      </c>
      <c r="I602" s="15" t="n">
        <v>-0.0242763013751556</v>
      </c>
      <c r="J602" s="16" t="n">
        <v>2015</v>
      </c>
      <c r="K602" s="16" t="n">
        <v>8</v>
      </c>
      <c r="L602" s="16" t="n">
        <v>34</v>
      </c>
      <c r="M602" s="16" t="s">
        <v>37</v>
      </c>
      <c r="N602" s="17" t="b">
        <f aca="false">TRUE()</f>
        <v>1</v>
      </c>
      <c r="O602" s="14" t="n">
        <v>38.3653396902349</v>
      </c>
      <c r="P602" s="13" t="n">
        <v>1711.35714285714</v>
      </c>
      <c r="Q602" s="15" t="n">
        <v>-0.00460354506481458</v>
      </c>
      <c r="R602" s="15" t="n">
        <v>0.564255603322342</v>
      </c>
      <c r="S602" s="17" t="b">
        <f aca="false">FALSE()</f>
        <v>0</v>
      </c>
    </row>
    <row r="603" customFormat="false" ht="15" hidden="false" customHeight="true" outlineLevel="0" collapsed="false">
      <c r="A603" s="12" t="n">
        <v>42239</v>
      </c>
      <c r="B603" s="13" t="n">
        <v>56974.8680257904</v>
      </c>
      <c r="C603" s="13" t="n">
        <v>57548.9851534096</v>
      </c>
      <c r="D603" s="13" t="n">
        <v>1467</v>
      </c>
      <c r="E603" s="14" t="n">
        <v>38.8376741825429</v>
      </c>
      <c r="F603" s="14" t="n">
        <v>39.2290287344306</v>
      </c>
      <c r="G603" s="13" t="n">
        <v>-574.117127619255</v>
      </c>
      <c r="H603" s="15" t="n">
        <v>-0.0100766732335277</v>
      </c>
      <c r="I603" s="15" t="n">
        <v>-0.0100766732335278</v>
      </c>
      <c r="J603" s="16" t="n">
        <v>2015</v>
      </c>
      <c r="K603" s="16" t="n">
        <v>8</v>
      </c>
      <c r="L603" s="16" t="n">
        <v>34</v>
      </c>
      <c r="M603" s="16" t="s">
        <v>38</v>
      </c>
      <c r="N603" s="17" t="b">
        <f aca="false">TRUE()</f>
        <v>1</v>
      </c>
      <c r="O603" s="14" t="n">
        <v>38.312957341329</v>
      </c>
      <c r="P603" s="13" t="n">
        <v>1660.57142857143</v>
      </c>
      <c r="Q603" s="15" t="n">
        <v>0.013695545257423</v>
      </c>
      <c r="R603" s="15" t="n">
        <v>-0.116569167240193</v>
      </c>
      <c r="S603" s="17" t="b">
        <f aca="false">FALSE()</f>
        <v>0</v>
      </c>
    </row>
    <row r="604" customFormat="false" ht="15" hidden="false" customHeight="true" outlineLevel="0" collapsed="false">
      <c r="A604" s="12" t="n">
        <v>42240</v>
      </c>
      <c r="B604" s="13" t="n">
        <v>59442.7311151654</v>
      </c>
      <c r="C604" s="13" t="n">
        <v>59785.4286145638</v>
      </c>
      <c r="D604" s="13" t="n">
        <v>1528</v>
      </c>
      <c r="E604" s="14" t="n">
        <v>38.9023109392444</v>
      </c>
      <c r="F604" s="14" t="n">
        <v>39.126589407437</v>
      </c>
      <c r="G604" s="13" t="n">
        <v>-342.697499398419</v>
      </c>
      <c r="H604" s="15" t="n">
        <v>-0.00576517082861604</v>
      </c>
      <c r="I604" s="15" t="n">
        <v>-0.00576517082861615</v>
      </c>
      <c r="J604" s="16" t="n">
        <v>2015</v>
      </c>
      <c r="K604" s="16" t="n">
        <v>8</v>
      </c>
      <c r="L604" s="16" t="n">
        <v>35</v>
      </c>
      <c r="M604" s="16" t="s">
        <v>32</v>
      </c>
      <c r="N604" s="17" t="b">
        <f aca="false">FALSE()</f>
        <v>0</v>
      </c>
      <c r="O604" s="14" t="n">
        <v>38.3128263841069</v>
      </c>
      <c r="P604" s="13" t="n">
        <v>1626.5</v>
      </c>
      <c r="Q604" s="15" t="n">
        <v>0.0153860889621557</v>
      </c>
      <c r="R604" s="15" t="n">
        <v>-0.0605594835536428</v>
      </c>
      <c r="S604" s="17" t="b">
        <f aca="false">FALSE()</f>
        <v>0</v>
      </c>
    </row>
    <row r="605" customFormat="false" ht="15" hidden="false" customHeight="true" outlineLevel="0" collapsed="false">
      <c r="A605" s="12" t="n">
        <v>42241</v>
      </c>
      <c r="B605" s="13" t="n">
        <v>217683.362264025</v>
      </c>
      <c r="C605" s="13" t="n">
        <v>246975.730765643</v>
      </c>
      <c r="D605" s="13" t="n">
        <v>6360</v>
      </c>
      <c r="E605" s="14" t="n">
        <v>34.2269437522052</v>
      </c>
      <c r="F605" s="14" t="n">
        <v>38.8326620700697</v>
      </c>
      <c r="G605" s="13" t="n">
        <v>-29292.3685016181</v>
      </c>
      <c r="H605" s="15" t="n">
        <v>-0.134564112741376</v>
      </c>
      <c r="I605" s="15" t="n">
        <v>-0.134564112741376</v>
      </c>
      <c r="J605" s="16" t="n">
        <v>2015</v>
      </c>
      <c r="K605" s="16" t="n">
        <v>8</v>
      </c>
      <c r="L605" s="16" t="n">
        <v>35</v>
      </c>
      <c r="M605" s="16" t="s">
        <v>33</v>
      </c>
      <c r="N605" s="17" t="b">
        <f aca="false">FALSE()</f>
        <v>0</v>
      </c>
      <c r="O605" s="14" t="n">
        <v>38.3334393501598</v>
      </c>
      <c r="P605" s="13" t="n">
        <v>1606.21428571429</v>
      </c>
      <c r="Q605" s="15" t="n">
        <v>-0.107125675847749</v>
      </c>
      <c r="R605" s="15" t="n">
        <v>2.95962111442167</v>
      </c>
      <c r="S605" s="17" t="b">
        <f aca="false">TRUE()</f>
        <v>1</v>
      </c>
    </row>
    <row r="606" customFormat="false" ht="15" hidden="false" customHeight="true" outlineLevel="0" collapsed="false">
      <c r="A606" s="12" t="n">
        <v>42242</v>
      </c>
      <c r="B606" s="13" t="n">
        <v>275458.806896196</v>
      </c>
      <c r="C606" s="13" t="n">
        <v>307092.274379028</v>
      </c>
      <c r="D606" s="13" t="n">
        <v>8035</v>
      </c>
      <c r="E606" s="14" t="n">
        <v>34.2823655129056</v>
      </c>
      <c r="F606" s="14" t="n">
        <v>38.2193247515903</v>
      </c>
      <c r="G606" s="13" t="n">
        <v>-31633.4674828321</v>
      </c>
      <c r="H606" s="15" t="n">
        <v>-0.114839194430813</v>
      </c>
      <c r="I606" s="15" t="n">
        <v>-0.114839194430813</v>
      </c>
      <c r="J606" s="16" t="n">
        <v>2015</v>
      </c>
      <c r="K606" s="16" t="n">
        <v>8</v>
      </c>
      <c r="L606" s="16" t="n">
        <v>35</v>
      </c>
      <c r="M606" s="16" t="s">
        <v>34</v>
      </c>
      <c r="N606" s="17" t="b">
        <f aca="false">FALSE()</f>
        <v>0</v>
      </c>
      <c r="O606" s="14" t="n">
        <v>38.0276886892246</v>
      </c>
      <c r="P606" s="13" t="n">
        <v>1948.85714285714</v>
      </c>
      <c r="Q606" s="15" t="n">
        <v>-0.0984893719659669</v>
      </c>
      <c r="R606" s="15" t="n">
        <v>3.12292918926844</v>
      </c>
      <c r="S606" s="17" t="b">
        <f aca="false">TRUE()</f>
        <v>1</v>
      </c>
    </row>
    <row r="607" customFormat="false" ht="15" hidden="false" customHeight="true" outlineLevel="0" collapsed="false">
      <c r="A607" s="12" t="n">
        <v>42243</v>
      </c>
      <c r="B607" s="13" t="n">
        <v>228731.865486527</v>
      </c>
      <c r="C607" s="13" t="n">
        <v>252845.445553577</v>
      </c>
      <c r="D607" s="13" t="n">
        <v>6675</v>
      </c>
      <c r="E607" s="14" t="n">
        <v>34.2669461403037</v>
      </c>
      <c r="F607" s="14" t="n">
        <v>37.8794674986632</v>
      </c>
      <c r="G607" s="13" t="n">
        <v>-24113.5800670492</v>
      </c>
      <c r="H607" s="15" t="n">
        <v>-0.105422915236397</v>
      </c>
      <c r="I607" s="15" t="n">
        <v>-0.105422915236397</v>
      </c>
      <c r="J607" s="16" t="n">
        <v>2015</v>
      </c>
      <c r="K607" s="16" t="n">
        <v>8</v>
      </c>
      <c r="L607" s="16" t="n">
        <v>35</v>
      </c>
      <c r="M607" s="16" t="s">
        <v>35</v>
      </c>
      <c r="N607" s="17" t="b">
        <f aca="false">FALSE()</f>
        <v>0</v>
      </c>
      <c r="O607" s="14" t="n">
        <v>37.7499010391402</v>
      </c>
      <c r="P607" s="13" t="n">
        <v>2439.14285714286</v>
      </c>
      <c r="Q607" s="15" t="n">
        <v>-0.0922639477975125</v>
      </c>
      <c r="R607" s="15" t="n">
        <v>1.73661707859904</v>
      </c>
      <c r="S607" s="17" t="b">
        <f aca="false">TRUE()</f>
        <v>1</v>
      </c>
    </row>
    <row r="608" customFormat="false" ht="15" hidden="false" customHeight="true" outlineLevel="0" collapsed="false">
      <c r="A608" s="12" t="n">
        <v>42244</v>
      </c>
      <c r="B608" s="13" t="n">
        <v>387639.119999522</v>
      </c>
      <c r="C608" s="13" t="n">
        <v>426783.302218144</v>
      </c>
      <c r="D608" s="13" t="n">
        <v>11330</v>
      </c>
      <c r="E608" s="14" t="n">
        <v>34.2135145630646</v>
      </c>
      <c r="F608" s="14" t="n">
        <v>37.6684291454673</v>
      </c>
      <c r="G608" s="13" t="n">
        <v>-39144.1822186221</v>
      </c>
      <c r="H608" s="15" t="n">
        <v>-0.100980990305288</v>
      </c>
      <c r="I608" s="15" t="n">
        <v>-0.100980990305288</v>
      </c>
      <c r="J608" s="16" t="n">
        <v>2015</v>
      </c>
      <c r="K608" s="16" t="n">
        <v>8</v>
      </c>
      <c r="L608" s="16" t="n">
        <v>35</v>
      </c>
      <c r="M608" s="16" t="s">
        <v>36</v>
      </c>
      <c r="N608" s="17" t="b">
        <f aca="false">FALSE()</f>
        <v>0</v>
      </c>
      <c r="O608" s="14" t="n">
        <v>37.4740473604159</v>
      </c>
      <c r="P608" s="13" t="n">
        <v>2842</v>
      </c>
      <c r="Q608" s="15" t="n">
        <v>-0.0870077567547559</v>
      </c>
      <c r="R608" s="15" t="n">
        <v>2.98662913441239</v>
      </c>
      <c r="S608" s="17" t="b">
        <f aca="false">TRUE()</f>
        <v>1</v>
      </c>
    </row>
    <row r="609" customFormat="false" ht="15" hidden="false" customHeight="true" outlineLevel="0" collapsed="false">
      <c r="A609" s="12" t="n">
        <v>42245</v>
      </c>
      <c r="B609" s="13" t="n">
        <v>461188.004851735</v>
      </c>
      <c r="C609" s="13" t="n">
        <v>504578.188757227</v>
      </c>
      <c r="D609" s="13" t="n">
        <v>13484</v>
      </c>
      <c r="E609" s="14" t="n">
        <v>34.2026108611491</v>
      </c>
      <c r="F609" s="14" t="n">
        <v>37.4205123670444</v>
      </c>
      <c r="G609" s="13" t="n">
        <v>-43390.1839054917</v>
      </c>
      <c r="H609" s="15" t="n">
        <v>-0.0940835048809239</v>
      </c>
      <c r="I609" s="15" t="n">
        <v>-0.0940835048809239</v>
      </c>
      <c r="J609" s="16" t="n">
        <v>2015</v>
      </c>
      <c r="K609" s="16" t="n">
        <v>8</v>
      </c>
      <c r="L609" s="16" t="n">
        <v>35</v>
      </c>
      <c r="M609" s="16" t="s">
        <v>37</v>
      </c>
      <c r="N609" s="17" t="b">
        <f aca="false">TRUE()</f>
        <v>1</v>
      </c>
      <c r="O609" s="14" t="n">
        <v>37.1906113606888</v>
      </c>
      <c r="P609" s="13" t="n">
        <v>3490.78571428571</v>
      </c>
      <c r="Q609" s="15" t="n">
        <v>-0.0803428712306155</v>
      </c>
      <c r="R609" s="15" t="n">
        <v>2.86274068465961</v>
      </c>
      <c r="S609" s="17" t="b">
        <f aca="false">TRUE()</f>
        <v>1</v>
      </c>
    </row>
    <row r="610" customFormat="false" ht="15" hidden="false" customHeight="true" outlineLevel="0" collapsed="false">
      <c r="A610" s="12" t="n">
        <v>42246</v>
      </c>
      <c r="B610" s="13" t="n">
        <v>202249.677169425</v>
      </c>
      <c r="C610" s="13" t="n">
        <v>220152.186753958</v>
      </c>
      <c r="D610" s="13" t="n">
        <v>5913</v>
      </c>
      <c r="E610" s="14" t="n">
        <v>34.204241023072</v>
      </c>
      <c r="F610" s="14" t="n">
        <v>37.2318935826075</v>
      </c>
      <c r="G610" s="13" t="n">
        <v>-17902.5095845332</v>
      </c>
      <c r="H610" s="15" t="n">
        <v>-0.0885168759480207</v>
      </c>
      <c r="I610" s="15" t="n">
        <v>-0.0885168759480207</v>
      </c>
      <c r="J610" s="16" t="n">
        <v>2015</v>
      </c>
      <c r="K610" s="16" t="n">
        <v>8</v>
      </c>
      <c r="L610" s="16" t="n">
        <v>35</v>
      </c>
      <c r="M610" s="16" t="s">
        <v>38</v>
      </c>
      <c r="N610" s="17" t="b">
        <f aca="false">TRUE()</f>
        <v>1</v>
      </c>
      <c r="O610" s="14" t="n">
        <v>36.902978656</v>
      </c>
      <c r="P610" s="13" t="n">
        <v>4234.78571428572</v>
      </c>
      <c r="Q610" s="15" t="n">
        <v>-0.0731306179396747</v>
      </c>
      <c r="R610" s="15" t="n">
        <v>0.396292610521699</v>
      </c>
      <c r="S610" s="17" t="b">
        <f aca="false">TRUE()</f>
        <v>1</v>
      </c>
    </row>
    <row r="611" customFormat="false" ht="15" hidden="false" customHeight="true" outlineLevel="0" collapsed="false">
      <c r="A611" s="12" t="n">
        <v>42247</v>
      </c>
      <c r="B611" s="13" t="n">
        <v>332559.764979086</v>
      </c>
      <c r="C611" s="13" t="n">
        <v>361970.285938652</v>
      </c>
      <c r="D611" s="13" t="n">
        <v>9721</v>
      </c>
      <c r="E611" s="14" t="n">
        <v>34.2104479970256</v>
      </c>
      <c r="F611" s="14" t="n">
        <v>37.2359104967238</v>
      </c>
      <c r="G611" s="13" t="n">
        <v>-29410.5209595661</v>
      </c>
      <c r="H611" s="15" t="n">
        <v>-0.0884367986049534</v>
      </c>
      <c r="I611" s="15" t="n">
        <v>-0.0884367986049534</v>
      </c>
      <c r="J611" s="16" t="n">
        <v>2015</v>
      </c>
      <c r="K611" s="16" t="n">
        <v>8</v>
      </c>
      <c r="L611" s="16" t="n">
        <v>36</v>
      </c>
      <c r="M611" s="16" t="s">
        <v>32</v>
      </c>
      <c r="N611" s="17" t="b">
        <f aca="false">FALSE()</f>
        <v>0</v>
      </c>
      <c r="O611" s="14" t="n">
        <v>36.626185391005</v>
      </c>
      <c r="P611" s="13" t="n">
        <v>4523.85714285714</v>
      </c>
      <c r="Q611" s="15" t="n">
        <v>-0.065956565451467</v>
      </c>
      <c r="R611" s="15" t="n">
        <v>1.14883001231566</v>
      </c>
      <c r="S611" s="17" t="b">
        <f aca="false">TRUE()</f>
        <v>1</v>
      </c>
    </row>
    <row r="612" customFormat="false" ht="15" hidden="false" customHeight="true" outlineLevel="0" collapsed="false">
      <c r="A612" s="12" t="n">
        <v>42248</v>
      </c>
      <c r="B612" s="13" t="n">
        <v>384806.771581978</v>
      </c>
      <c r="C612" s="13" t="n">
        <v>418101.59754836</v>
      </c>
      <c r="D612" s="13" t="n">
        <v>11257</v>
      </c>
      <c r="E612" s="14" t="n">
        <v>34.1837764574912</v>
      </c>
      <c r="F612" s="14" t="n">
        <v>37.1414761968873</v>
      </c>
      <c r="G612" s="13" t="n">
        <v>-33294.8259663819</v>
      </c>
      <c r="H612" s="15" t="n">
        <v>-0.0865234928935985</v>
      </c>
      <c r="I612" s="15" t="n">
        <v>-0.0865234928935985</v>
      </c>
      <c r="J612" s="16" t="n">
        <v>2015</v>
      </c>
      <c r="K612" s="16" t="n">
        <v>9</v>
      </c>
      <c r="L612" s="16" t="n">
        <v>36</v>
      </c>
      <c r="M612" s="16" t="s">
        <v>33</v>
      </c>
      <c r="N612" s="17" t="b">
        <f aca="false">FALSE()</f>
        <v>0</v>
      </c>
      <c r="O612" s="14" t="n">
        <v>36.3481457739992</v>
      </c>
      <c r="P612" s="13" t="n">
        <v>5097.5</v>
      </c>
      <c r="Q612" s="15" t="n">
        <v>-0.0595455220732671</v>
      </c>
      <c r="R612" s="15" t="n">
        <v>1.20833742030407</v>
      </c>
      <c r="S612" s="17" t="b">
        <f aca="false">TRUE()</f>
        <v>1</v>
      </c>
    </row>
    <row r="613" customFormat="false" ht="15" hidden="false" customHeight="true" outlineLevel="0" collapsed="false">
      <c r="A613" s="12" t="n">
        <v>42249</v>
      </c>
      <c r="B613" s="13" t="n">
        <v>345776.250280376</v>
      </c>
      <c r="C613" s="13" t="n">
        <v>373816.168400634</v>
      </c>
      <c r="D613" s="13" t="n">
        <v>10102</v>
      </c>
      <c r="E613" s="14" t="n">
        <v>34.2284943853075</v>
      </c>
      <c r="F613" s="14" t="n">
        <v>37.0041742625851</v>
      </c>
      <c r="G613" s="13" t="n">
        <v>-28039.9181202584</v>
      </c>
      <c r="H613" s="15" t="n">
        <v>-0.0810926664209064</v>
      </c>
      <c r="I613" s="15" t="n">
        <v>-0.0810926664209064</v>
      </c>
      <c r="J613" s="16" t="n">
        <v>2015</v>
      </c>
      <c r="K613" s="16" t="n">
        <v>9</v>
      </c>
      <c r="L613" s="16" t="n">
        <v>36</v>
      </c>
      <c r="M613" s="16" t="s">
        <v>34</v>
      </c>
      <c r="N613" s="17" t="b">
        <f aca="false">FALSE()</f>
        <v>0</v>
      </c>
      <c r="O613" s="14" t="n">
        <v>36.0654892672655</v>
      </c>
      <c r="P613" s="13" t="n">
        <v>5835.71428571429</v>
      </c>
      <c r="Q613" s="15" t="n">
        <v>-0.0509349774335487</v>
      </c>
      <c r="R613" s="15" t="n">
        <v>0.731064871481028</v>
      </c>
      <c r="S613" s="17" t="b">
        <f aca="false">TRUE()</f>
        <v>1</v>
      </c>
    </row>
    <row r="614" customFormat="false" ht="15" hidden="false" customHeight="true" outlineLevel="0" collapsed="false">
      <c r="A614" s="12" t="n">
        <v>42250</v>
      </c>
      <c r="B614" s="13" t="n">
        <v>271551.095100756</v>
      </c>
      <c r="C614" s="13" t="n">
        <v>293343.873973562</v>
      </c>
      <c r="D614" s="13" t="n">
        <v>7938</v>
      </c>
      <c r="E614" s="14" t="n">
        <v>34.2090066894377</v>
      </c>
      <c r="F614" s="14" t="n">
        <v>36.9543806970978</v>
      </c>
      <c r="G614" s="13" t="n">
        <v>-21792.7788728061</v>
      </c>
      <c r="H614" s="15" t="n">
        <v>-0.0802529588942373</v>
      </c>
      <c r="I614" s="15" t="n">
        <v>-0.0802529588942374</v>
      </c>
      <c r="J614" s="16" t="n">
        <v>2015</v>
      </c>
      <c r="K614" s="16" t="n">
        <v>9</v>
      </c>
      <c r="L614" s="16" t="n">
        <v>36</v>
      </c>
      <c r="M614" s="16" t="s">
        <v>35</v>
      </c>
      <c r="N614" s="17" t="b">
        <f aca="false">FALSE()</f>
        <v>0</v>
      </c>
      <c r="O614" s="14" t="n">
        <v>35.7627252433293</v>
      </c>
      <c r="P614" s="13" t="n">
        <v>6514.14285714286</v>
      </c>
      <c r="Q614" s="15" t="n">
        <v>-0.0434451944956708</v>
      </c>
      <c r="R614" s="15" t="n">
        <v>0.218579354810413</v>
      </c>
      <c r="S614" s="17" t="b">
        <f aca="false">FALSE()</f>
        <v>0</v>
      </c>
    </row>
    <row r="615" customFormat="false" ht="15" hidden="false" customHeight="true" outlineLevel="0" collapsed="false">
      <c r="A615" s="12" t="n">
        <v>42251</v>
      </c>
      <c r="B615" s="13" t="n">
        <v>340440.205462086</v>
      </c>
      <c r="C615" s="13" t="n">
        <v>366359.658592485</v>
      </c>
      <c r="D615" s="13" t="n">
        <v>9936</v>
      </c>
      <c r="E615" s="14" t="n">
        <v>34.2633057027059</v>
      </c>
      <c r="F615" s="14" t="n">
        <v>36.8719463156687</v>
      </c>
      <c r="G615" s="13" t="n">
        <v>-25919.4531303989</v>
      </c>
      <c r="H615" s="15" t="n">
        <v>-0.0761351118773352</v>
      </c>
      <c r="I615" s="15" t="n">
        <v>-0.0761351118773353</v>
      </c>
      <c r="J615" s="16" t="n">
        <v>2015</v>
      </c>
      <c r="K615" s="16" t="n">
        <v>9</v>
      </c>
      <c r="L615" s="16" t="n">
        <v>36</v>
      </c>
      <c r="M615" s="16" t="s">
        <v>36</v>
      </c>
      <c r="N615" s="17" t="b">
        <f aca="false">FALSE()</f>
        <v>0</v>
      </c>
      <c r="O615" s="14" t="n">
        <v>35.4562860208797</v>
      </c>
      <c r="P615" s="13" t="n">
        <v>7035.21428571429</v>
      </c>
      <c r="Q615" s="15" t="n">
        <v>-0.0336465110156003</v>
      </c>
      <c r="R615" s="15" t="n">
        <v>0.412323718436843</v>
      </c>
      <c r="S615" s="17" t="b">
        <f aca="false">FALSE()</f>
        <v>0</v>
      </c>
    </row>
    <row r="616" customFormat="false" ht="15" hidden="false" customHeight="true" outlineLevel="0" collapsed="false">
      <c r="A616" s="12" t="n">
        <v>42252</v>
      </c>
      <c r="B616" s="13" t="n">
        <v>364416.731582138</v>
      </c>
      <c r="C616" s="13" t="n">
        <v>392128.301265169</v>
      </c>
      <c r="D616" s="13" t="n">
        <v>10643</v>
      </c>
      <c r="E616" s="14" t="n">
        <v>34.2400386716281</v>
      </c>
      <c r="F616" s="14" t="n">
        <v>36.8437753702122</v>
      </c>
      <c r="G616" s="13" t="n">
        <v>-27711.5696830305</v>
      </c>
      <c r="H616" s="15" t="n">
        <v>-0.0760436261055277</v>
      </c>
      <c r="I616" s="15" t="n">
        <v>-0.0760436261055278</v>
      </c>
      <c r="J616" s="16" t="n">
        <v>2015</v>
      </c>
      <c r="K616" s="16" t="n">
        <v>9</v>
      </c>
      <c r="L616" s="16" t="n">
        <v>36</v>
      </c>
      <c r="M616" s="16" t="s">
        <v>37</v>
      </c>
      <c r="N616" s="17" t="b">
        <f aca="false">TRUE()</f>
        <v>1</v>
      </c>
      <c r="O616" s="14" t="n">
        <v>35.1728829518928</v>
      </c>
      <c r="P616" s="13" t="n">
        <v>7601.64285714286</v>
      </c>
      <c r="Q616" s="15" t="n">
        <v>-0.0265216894941644</v>
      </c>
      <c r="R616" s="15" t="n">
        <v>0.400092085357489</v>
      </c>
      <c r="S616" s="17" t="b">
        <f aca="false">FALSE()</f>
        <v>0</v>
      </c>
    </row>
    <row r="617" customFormat="false" ht="15" hidden="false" customHeight="true" outlineLevel="0" collapsed="false">
      <c r="A617" s="12" t="n">
        <v>42253</v>
      </c>
      <c r="B617" s="13" t="n">
        <v>164719.604491615</v>
      </c>
      <c r="C617" s="13" t="n">
        <v>176647.842651849</v>
      </c>
      <c r="D617" s="13" t="n">
        <v>4800</v>
      </c>
      <c r="E617" s="14" t="n">
        <v>34.3165842690865</v>
      </c>
      <c r="F617" s="14" t="n">
        <v>36.8016338858019</v>
      </c>
      <c r="G617" s="13" t="n">
        <v>-11928.238160234</v>
      </c>
      <c r="H617" s="15" t="n">
        <v>-0.0724154128286606</v>
      </c>
      <c r="I617" s="15" t="n">
        <v>-0.0724154128286605</v>
      </c>
      <c r="J617" s="16" t="n">
        <v>2015</v>
      </c>
      <c r="K617" s="16" t="n">
        <v>9</v>
      </c>
      <c r="L617" s="16" t="n">
        <v>36</v>
      </c>
      <c r="M617" s="16" t="s">
        <v>38</v>
      </c>
      <c r="N617" s="17" t="b">
        <f aca="false">TRUE()</f>
        <v>1</v>
      </c>
      <c r="O617" s="14" t="n">
        <v>34.8908340627202</v>
      </c>
      <c r="P617" s="13" t="n">
        <v>8170.64285714286</v>
      </c>
      <c r="Q617" s="15" t="n">
        <v>-0.0164584713739276</v>
      </c>
      <c r="R617" s="15" t="n">
        <v>-0.412530925176372</v>
      </c>
      <c r="S617" s="17" t="b">
        <f aca="false">FALSE()</f>
        <v>0</v>
      </c>
    </row>
    <row r="618" customFormat="false" ht="15" hidden="false" customHeight="true" outlineLevel="0" collapsed="false">
      <c r="A618" s="12" t="n">
        <v>42254</v>
      </c>
      <c r="B618" s="13" t="n">
        <v>178921.099348736</v>
      </c>
      <c r="C618" s="13" t="n">
        <v>192507.528732489</v>
      </c>
      <c r="D618" s="13" t="n">
        <v>5228</v>
      </c>
      <c r="E618" s="14" t="n">
        <v>34.2236226757338</v>
      </c>
      <c r="F618" s="14" t="n">
        <v>36.8224041186858</v>
      </c>
      <c r="G618" s="13" t="n">
        <v>-13586.429383753</v>
      </c>
      <c r="H618" s="15" t="n">
        <v>-0.0759353113367117</v>
      </c>
      <c r="I618" s="15" t="n">
        <v>-0.0759353113367116</v>
      </c>
      <c r="J618" s="16" t="n">
        <v>2015</v>
      </c>
      <c r="K618" s="16" t="n">
        <v>9</v>
      </c>
      <c r="L618" s="16" t="n">
        <v>37</v>
      </c>
      <c r="M618" s="16" t="s">
        <v>32</v>
      </c>
      <c r="N618" s="17" t="b">
        <f aca="false">FALSE()</f>
        <v>0</v>
      </c>
      <c r="O618" s="14" t="n">
        <v>34.5678990689019</v>
      </c>
      <c r="P618" s="13" t="n">
        <v>8408.71428571429</v>
      </c>
      <c r="Q618" s="15" t="n">
        <v>-0.00995942485488898</v>
      </c>
      <c r="R618" s="15" t="n">
        <v>-0.378264045802824</v>
      </c>
      <c r="S618" s="17" t="b">
        <f aca="false">FALSE()</f>
        <v>0</v>
      </c>
    </row>
    <row r="619" customFormat="false" ht="15" hidden="false" customHeight="true" outlineLevel="0" collapsed="false">
      <c r="A619" s="12" t="n">
        <v>42255</v>
      </c>
      <c r="B619" s="13" t="n">
        <v>70286.9978107705</v>
      </c>
      <c r="C619" s="13" t="n">
        <v>66639.6980528115</v>
      </c>
      <c r="D619" s="13" t="n">
        <v>1810</v>
      </c>
      <c r="E619" s="14" t="n">
        <v>38.8325954755638</v>
      </c>
      <c r="F619" s="14" t="n">
        <v>36.8175127363599</v>
      </c>
      <c r="G619" s="13" t="n">
        <v>3647.299757959</v>
      </c>
      <c r="H619" s="15" t="n">
        <v>0.0518915286121398</v>
      </c>
      <c r="I619" s="15" t="n">
        <v>0.0518915286121396</v>
      </c>
      <c r="J619" s="16" t="n">
        <v>2015</v>
      </c>
      <c r="K619" s="16" t="n">
        <v>9</v>
      </c>
      <c r="L619" s="16" t="n">
        <v>37</v>
      </c>
      <c r="M619" s="16" t="s">
        <v>33</v>
      </c>
      <c r="N619" s="17" t="b">
        <f aca="false">FALSE()</f>
        <v>0</v>
      </c>
      <c r="O619" s="14" t="n">
        <v>34.2337070500798</v>
      </c>
      <c r="P619" s="13" t="n">
        <v>8673</v>
      </c>
      <c r="Q619" s="15" t="n">
        <v>0.13433802009103</v>
      </c>
      <c r="R619" s="15" t="n">
        <v>-0.791306353049694</v>
      </c>
      <c r="S619" s="17" t="b">
        <f aca="false">FALSE()</f>
        <v>0</v>
      </c>
    </row>
    <row r="620" customFormat="false" ht="15" hidden="false" customHeight="true" outlineLevel="0" collapsed="false">
      <c r="A620" s="12" t="n">
        <v>42256</v>
      </c>
      <c r="B620" s="13" t="n">
        <v>76013.6779017105</v>
      </c>
      <c r="C620" s="13" t="n">
        <v>72211.1031746507</v>
      </c>
      <c r="D620" s="13" t="n">
        <v>1961</v>
      </c>
      <c r="E620" s="14" t="n">
        <v>38.7627118315709</v>
      </c>
      <c r="F620" s="14" t="n">
        <v>36.8236120217495</v>
      </c>
      <c r="G620" s="13" t="n">
        <v>3802.57472705979</v>
      </c>
      <c r="H620" s="15" t="n">
        <v>0.0500248748912888</v>
      </c>
      <c r="I620" s="15" t="n">
        <v>0.0500248748912888</v>
      </c>
      <c r="J620" s="16" t="n">
        <v>2015</v>
      </c>
      <c r="K620" s="16" t="n">
        <v>9</v>
      </c>
      <c r="L620" s="16" t="n">
        <v>37</v>
      </c>
      <c r="M620" s="16" t="s">
        <v>34</v>
      </c>
      <c r="N620" s="17" t="b">
        <f aca="false">FALSE()</f>
        <v>0</v>
      </c>
      <c r="O620" s="14" t="n">
        <v>34.5626821731768</v>
      </c>
      <c r="P620" s="13" t="n">
        <v>8348</v>
      </c>
      <c r="Q620" s="15" t="n">
        <v>0.121519204943349</v>
      </c>
      <c r="R620" s="15" t="n">
        <v>-0.765093435553426</v>
      </c>
      <c r="S620" s="17" t="b">
        <f aca="false">FALSE()</f>
        <v>0</v>
      </c>
    </row>
    <row r="621" customFormat="false" ht="15" hidden="false" customHeight="true" outlineLevel="0" collapsed="false">
      <c r="A621" s="12" t="n">
        <v>42257</v>
      </c>
      <c r="B621" s="13" t="n">
        <v>48406.7871467402</v>
      </c>
      <c r="C621" s="13" t="n">
        <v>45316.5427336108</v>
      </c>
      <c r="D621" s="13" t="n">
        <v>1232</v>
      </c>
      <c r="E621" s="14" t="n">
        <v>39.2912233333931</v>
      </c>
      <c r="F621" s="14" t="n">
        <v>36.7829080629958</v>
      </c>
      <c r="G621" s="13" t="n">
        <v>3090.24441312941</v>
      </c>
      <c r="H621" s="15" t="n">
        <v>0.0638390728920234</v>
      </c>
      <c r="I621" s="15" t="n">
        <v>0.0638390728920233</v>
      </c>
      <c r="J621" s="16" t="n">
        <v>2015</v>
      </c>
      <c r="K621" s="16" t="n">
        <v>9</v>
      </c>
      <c r="L621" s="16" t="n">
        <v>37</v>
      </c>
      <c r="M621" s="16" t="s">
        <v>35</v>
      </c>
      <c r="N621" s="17" t="b">
        <f aca="false">FALSE()</f>
        <v>0</v>
      </c>
      <c r="O621" s="14" t="n">
        <v>34.8827069102243</v>
      </c>
      <c r="P621" s="13" t="n">
        <v>7914.14285714286</v>
      </c>
      <c r="Q621" s="15" t="n">
        <v>0.126381144517101</v>
      </c>
      <c r="R621" s="15" t="n">
        <v>-0.844329320023827</v>
      </c>
      <c r="S621" s="17" t="b">
        <f aca="false">FALSE()</f>
        <v>0</v>
      </c>
    </row>
    <row r="622" customFormat="false" ht="15" hidden="false" customHeight="true" outlineLevel="0" collapsed="false">
      <c r="A622" s="12" t="n">
        <v>42258</v>
      </c>
      <c r="B622" s="13" t="n">
        <v>85940.02694079</v>
      </c>
      <c r="C622" s="13" t="n">
        <v>81559.845623272</v>
      </c>
      <c r="D622" s="13" t="n">
        <v>2194</v>
      </c>
      <c r="E622" s="14" t="n">
        <v>39.1704771835871</v>
      </c>
      <c r="F622" s="14" t="n">
        <v>37.174040849258</v>
      </c>
      <c r="G622" s="13" t="n">
        <v>4380.18131751804</v>
      </c>
      <c r="H622" s="15" t="n">
        <v>0.0509678839237024</v>
      </c>
      <c r="I622" s="15" t="n">
        <v>0.0509678839237025</v>
      </c>
      <c r="J622" s="16" t="n">
        <v>2015</v>
      </c>
      <c r="K622" s="16" t="n">
        <v>9</v>
      </c>
      <c r="L622" s="16" t="n">
        <v>37</v>
      </c>
      <c r="M622" s="16" t="s">
        <v>36</v>
      </c>
      <c r="N622" s="17" t="b">
        <f aca="false">FALSE()</f>
        <v>0</v>
      </c>
      <c r="O622" s="14" t="n">
        <v>35.2415838525878</v>
      </c>
      <c r="P622" s="13" t="n">
        <v>7525.35714285714</v>
      </c>
      <c r="Q622" s="15" t="n">
        <v>0.111484584445279</v>
      </c>
      <c r="R622" s="15" t="n">
        <v>-0.708452375302549</v>
      </c>
      <c r="S622" s="17" t="b">
        <f aca="false">FALSE()</f>
        <v>0</v>
      </c>
    </row>
    <row r="623" customFormat="false" ht="15" hidden="false" customHeight="true" outlineLevel="0" collapsed="false">
      <c r="A623" s="12" t="n">
        <v>42259</v>
      </c>
      <c r="B623" s="13" t="n">
        <v>57381.7514541854</v>
      </c>
      <c r="C623" s="13" t="n">
        <v>54340.8915093229</v>
      </c>
      <c r="D623" s="13" t="n">
        <v>1469</v>
      </c>
      <c r="E623" s="14" t="n">
        <v>39.0617777087715</v>
      </c>
      <c r="F623" s="14" t="n">
        <v>36.9917573242497</v>
      </c>
      <c r="G623" s="13" t="n">
        <v>3040.8599448625</v>
      </c>
      <c r="H623" s="15" t="n">
        <v>0.0529935017283392</v>
      </c>
      <c r="I623" s="15" t="n">
        <v>0.0529935017283391</v>
      </c>
      <c r="J623" s="16" t="n">
        <v>2015</v>
      </c>
      <c r="K623" s="16" t="n">
        <v>9</v>
      </c>
      <c r="L623" s="16" t="n">
        <v>37</v>
      </c>
      <c r="M623" s="16" t="s">
        <v>37</v>
      </c>
      <c r="N623" s="17" t="b">
        <f aca="false">TRUE()</f>
        <v>1</v>
      </c>
      <c r="O623" s="14" t="n">
        <v>35.5956526111966</v>
      </c>
      <c r="P623" s="13" t="n">
        <v>6872.78571428572</v>
      </c>
      <c r="Q623" s="15" t="n">
        <v>0.0973749557406535</v>
      </c>
      <c r="R623" s="15" t="n">
        <v>-0.78625843128696</v>
      </c>
      <c r="S623" s="17" t="b">
        <f aca="false">FALSE()</f>
        <v>0</v>
      </c>
    </row>
    <row r="624" customFormat="false" ht="15" hidden="false" customHeight="true" outlineLevel="0" collapsed="false">
      <c r="A624" s="12" t="n">
        <v>42260</v>
      </c>
      <c r="B624" s="13" t="n">
        <v>32479.7963942551</v>
      </c>
      <c r="C624" s="13" t="n">
        <v>30763.6881173133</v>
      </c>
      <c r="D624" s="13" t="n">
        <v>829</v>
      </c>
      <c r="E624" s="14" t="n">
        <v>39.1794890159893</v>
      </c>
      <c r="F624" s="14" t="n">
        <v>37.1093945926578</v>
      </c>
      <c r="G624" s="13" t="n">
        <v>1716.10827694181</v>
      </c>
      <c r="H624" s="15" t="n">
        <v>0.0528361771764477</v>
      </c>
      <c r="I624" s="15" t="n">
        <v>0.0528361771764477</v>
      </c>
      <c r="J624" s="16" t="n">
        <v>2015</v>
      </c>
      <c r="K624" s="16" t="n">
        <v>9</v>
      </c>
      <c r="L624" s="16" t="n">
        <v>37</v>
      </c>
      <c r="M624" s="16" t="s">
        <v>38</v>
      </c>
      <c r="N624" s="17" t="b">
        <f aca="false">TRUE()</f>
        <v>1</v>
      </c>
      <c r="O624" s="14" t="n">
        <v>35.9427359574553</v>
      </c>
      <c r="P624" s="13" t="n">
        <v>6014.57142857143</v>
      </c>
      <c r="Q624" s="15" t="n">
        <v>0.0900530516754551</v>
      </c>
      <c r="R624" s="15" t="n">
        <v>-0.862168068025272</v>
      </c>
      <c r="S624" s="17" t="b">
        <f aca="false">FALSE()</f>
        <v>0</v>
      </c>
    </row>
    <row r="625" customFormat="false" ht="15" hidden="false" customHeight="true" outlineLevel="0" collapsed="false">
      <c r="A625" s="12" t="n">
        <v>42261</v>
      </c>
      <c r="B625" s="13" t="n">
        <v>52160.1839334154</v>
      </c>
      <c r="C625" s="13" t="n">
        <v>49656.0077485688</v>
      </c>
      <c r="D625" s="13" t="n">
        <v>1329</v>
      </c>
      <c r="E625" s="14" t="n">
        <v>39.247692952156</v>
      </c>
      <c r="F625" s="14" t="n">
        <v>37.3634369816169</v>
      </c>
      <c r="G625" s="13" t="n">
        <v>2504.17618484658</v>
      </c>
      <c r="H625" s="15" t="n">
        <v>0.0480093434494645</v>
      </c>
      <c r="I625" s="15" t="n">
        <v>0.0480093434494645</v>
      </c>
      <c r="J625" s="16" t="n">
        <v>2015</v>
      </c>
      <c r="K625" s="16" t="n">
        <v>9</v>
      </c>
      <c r="L625" s="16" t="n">
        <v>38</v>
      </c>
      <c r="M625" s="16" t="s">
        <v>32</v>
      </c>
      <c r="N625" s="17" t="b">
        <f aca="false">FALSE()</f>
        <v>0</v>
      </c>
      <c r="O625" s="14" t="n">
        <v>36.2981108140923</v>
      </c>
      <c r="P625" s="13" t="n">
        <v>5651.42857142857</v>
      </c>
      <c r="Q625" s="15" t="n">
        <v>0.0812599353495451</v>
      </c>
      <c r="R625" s="15" t="n">
        <v>-0.764838220424671</v>
      </c>
      <c r="S625" s="17" t="b">
        <f aca="false">FALSE()</f>
        <v>0</v>
      </c>
    </row>
    <row r="626" customFormat="false" ht="15" hidden="false" customHeight="true" outlineLevel="0" collapsed="false">
      <c r="A626" s="12" t="n">
        <v>42262</v>
      </c>
      <c r="B626" s="13" t="n">
        <v>51002.8395694952</v>
      </c>
      <c r="C626" s="13" t="n">
        <v>48601.9675047073</v>
      </c>
      <c r="D626" s="13" t="n">
        <v>1300</v>
      </c>
      <c r="E626" s="14" t="n">
        <v>39.2329535149963</v>
      </c>
      <c r="F626" s="14" t="n">
        <v>37.3861288497748</v>
      </c>
      <c r="G626" s="13" t="n">
        <v>2400.87206478795</v>
      </c>
      <c r="H626" s="15" t="n">
        <v>0.0470733018995261</v>
      </c>
      <c r="I626" s="15" t="n">
        <v>0.0470733018995261</v>
      </c>
      <c r="J626" s="16" t="n">
        <v>2015</v>
      </c>
      <c r="K626" s="16" t="n">
        <v>9</v>
      </c>
      <c r="L626" s="16" t="n">
        <v>38</v>
      </c>
      <c r="M626" s="16" t="s">
        <v>33</v>
      </c>
      <c r="N626" s="17" t="b">
        <f aca="false">FALSE()</f>
        <v>0</v>
      </c>
      <c r="O626" s="14" t="n">
        <v>36.657914025173</v>
      </c>
      <c r="P626" s="13" t="n">
        <v>5052</v>
      </c>
      <c r="Q626" s="15" t="n">
        <v>0.0702451178224447</v>
      </c>
      <c r="R626" s="15" t="n">
        <v>-0.742676167854315</v>
      </c>
      <c r="S626" s="17" t="b">
        <f aca="false">FALSE()</f>
        <v>0</v>
      </c>
    </row>
    <row r="627" customFormat="false" ht="15" hidden="false" customHeight="true" outlineLevel="0" collapsed="false">
      <c r="A627" s="12" t="n">
        <v>42263</v>
      </c>
      <c r="B627" s="13" t="n">
        <v>30194.7159562151</v>
      </c>
      <c r="C627" s="13" t="n">
        <v>28605.4607976138</v>
      </c>
      <c r="D627" s="13" t="n">
        <v>773</v>
      </c>
      <c r="E627" s="14" t="n">
        <v>39.0617282745344</v>
      </c>
      <c r="F627" s="14" t="n">
        <v>37.0057707601731</v>
      </c>
      <c r="G627" s="13" t="n">
        <v>1589.25515860131</v>
      </c>
      <c r="H627" s="15" t="n">
        <v>0.0526335522051561</v>
      </c>
      <c r="I627" s="15" t="n">
        <v>0.0526335522051561</v>
      </c>
      <c r="J627" s="16" t="n">
        <v>2015</v>
      </c>
      <c r="K627" s="16" t="n">
        <v>9</v>
      </c>
      <c r="L627" s="16" t="n">
        <v>38</v>
      </c>
      <c r="M627" s="16" t="s">
        <v>34</v>
      </c>
      <c r="N627" s="17" t="b">
        <f aca="false">FALSE()</f>
        <v>0</v>
      </c>
      <c r="O627" s="14" t="n">
        <v>37.0185695292805</v>
      </c>
      <c r="P627" s="13" t="n">
        <v>4340.78571428572</v>
      </c>
      <c r="Q627" s="15" t="n">
        <v>0.0551928065085775</v>
      </c>
      <c r="R627" s="15" t="n">
        <v>-0.821921640256043</v>
      </c>
      <c r="S627" s="17" t="b">
        <f aca="false">FALSE()</f>
        <v>0</v>
      </c>
    </row>
    <row r="628" customFormat="false" ht="15" hidden="false" customHeight="true" outlineLevel="0" collapsed="false">
      <c r="A628" s="12" t="n">
        <v>42264</v>
      </c>
      <c r="B628" s="13" t="n">
        <v>29751.2226055551</v>
      </c>
      <c r="C628" s="13" t="n">
        <v>28084.2351283641</v>
      </c>
      <c r="D628" s="13" t="n">
        <v>760</v>
      </c>
      <c r="E628" s="14" t="n">
        <v>39.1463455336252</v>
      </c>
      <c r="F628" s="14" t="n">
        <v>36.9529409583738</v>
      </c>
      <c r="G628" s="13" t="n">
        <v>1666.98747719104</v>
      </c>
      <c r="H628" s="15" t="n">
        <v>0.0560308898660113</v>
      </c>
      <c r="I628" s="15" t="n">
        <v>0.0560308898660112</v>
      </c>
      <c r="J628" s="16" t="n">
        <v>2015</v>
      </c>
      <c r="K628" s="16" t="n">
        <v>9</v>
      </c>
      <c r="L628" s="16" t="n">
        <v>38</v>
      </c>
      <c r="M628" s="16" t="s">
        <v>35</v>
      </c>
      <c r="N628" s="17" t="b">
        <f aca="false">FALSE()</f>
        <v>0</v>
      </c>
      <c r="O628" s="14" t="n">
        <v>37.3638005213682</v>
      </c>
      <c r="P628" s="13" t="n">
        <v>3674.42857142857</v>
      </c>
      <c r="Q628" s="15" t="n">
        <v>0.0477078077546624</v>
      </c>
      <c r="R628" s="15" t="n">
        <v>-0.793165117996967</v>
      </c>
      <c r="S628" s="17" t="b">
        <f aca="false">FALSE()</f>
        <v>0</v>
      </c>
    </row>
    <row r="629" customFormat="false" ht="15" hidden="false" customHeight="true" outlineLevel="0" collapsed="false">
      <c r="A629" s="12" t="n">
        <v>42265</v>
      </c>
      <c r="B629" s="13" t="n">
        <v>68504.6394375354</v>
      </c>
      <c r="C629" s="13" t="n">
        <v>64881.9756482569</v>
      </c>
      <c r="D629" s="13" t="n">
        <v>1755</v>
      </c>
      <c r="E629" s="14" t="n">
        <v>39.0339825854902</v>
      </c>
      <c r="F629" s="14" t="n">
        <v>36.9697866941635</v>
      </c>
      <c r="G629" s="13" t="n">
        <v>3622.66378927844</v>
      </c>
      <c r="H629" s="15" t="n">
        <v>0.0528820211159815</v>
      </c>
      <c r="I629" s="15" t="n">
        <v>0.0528820211159816</v>
      </c>
      <c r="J629" s="16" t="n">
        <v>2015</v>
      </c>
      <c r="K629" s="16" t="n">
        <v>9</v>
      </c>
      <c r="L629" s="16" t="n">
        <v>38</v>
      </c>
      <c r="M629" s="16" t="s">
        <v>36</v>
      </c>
      <c r="N629" s="17" t="b">
        <f aca="false">FALSE()</f>
        <v>0</v>
      </c>
      <c r="O629" s="14" t="n">
        <v>37.7164675816673</v>
      </c>
      <c r="P629" s="13" t="n">
        <v>3161.71428571429</v>
      </c>
      <c r="Q629" s="15" t="n">
        <v>0.0349320890396258</v>
      </c>
      <c r="R629" s="15" t="n">
        <v>-0.444921380806073</v>
      </c>
      <c r="S629" s="17" t="b">
        <f aca="false">FALSE()</f>
        <v>0</v>
      </c>
    </row>
    <row r="630" customFormat="false" ht="15" hidden="false" customHeight="true" outlineLevel="0" collapsed="false">
      <c r="A630" s="12" t="n">
        <v>42266</v>
      </c>
      <c r="B630" s="13" t="n">
        <v>68996.5617572905</v>
      </c>
      <c r="C630" s="13" t="n">
        <v>65211.5717709412</v>
      </c>
      <c r="D630" s="13" t="n">
        <v>1766</v>
      </c>
      <c r="E630" s="14" t="n">
        <v>39.0694007685677</v>
      </c>
      <c r="F630" s="14" t="n">
        <v>36.9261448306575</v>
      </c>
      <c r="G630" s="13" t="n">
        <v>3784.98998634927</v>
      </c>
      <c r="H630" s="15" t="n">
        <v>0.0548576608739396</v>
      </c>
      <c r="I630" s="15" t="n">
        <v>0.0548576608739396</v>
      </c>
      <c r="J630" s="16" t="n">
        <v>2015</v>
      </c>
      <c r="K630" s="16" t="n">
        <v>9</v>
      </c>
      <c r="L630" s="16" t="n">
        <v>38</v>
      </c>
      <c r="M630" s="16" t="s">
        <v>37</v>
      </c>
      <c r="N630" s="17" t="b">
        <f aca="false">TRUE()</f>
        <v>1</v>
      </c>
      <c r="O630" s="14" t="n">
        <v>38.0572302161519</v>
      </c>
      <c r="P630" s="13" t="n">
        <v>2577.35714285714</v>
      </c>
      <c r="Q630" s="15" t="n">
        <v>0.026596012023655</v>
      </c>
      <c r="R630" s="15" t="n">
        <v>-0.314801984313943</v>
      </c>
      <c r="S630" s="17" t="b">
        <f aca="false">FALSE()</f>
        <v>0</v>
      </c>
    </row>
    <row r="631" customFormat="false" ht="15" hidden="false" customHeight="true" outlineLevel="0" collapsed="false">
      <c r="A631" s="12" t="n">
        <v>42267</v>
      </c>
      <c r="B631" s="13" t="n">
        <v>41855.9287594003</v>
      </c>
      <c r="C631" s="13" t="n">
        <v>39629.4518722776</v>
      </c>
      <c r="D631" s="13" t="n">
        <v>1078</v>
      </c>
      <c r="E631" s="14" t="n">
        <v>38.8273921701301</v>
      </c>
      <c r="F631" s="14" t="n">
        <v>36.7620147238196</v>
      </c>
      <c r="G631" s="13" t="n">
        <v>2226.4768871227</v>
      </c>
      <c r="H631" s="15" t="n">
        <v>0.0531938235063692</v>
      </c>
      <c r="I631" s="15" t="n">
        <v>0.0531938235063691</v>
      </c>
      <c r="J631" s="16" t="n">
        <v>2015</v>
      </c>
      <c r="K631" s="16" t="n">
        <v>9</v>
      </c>
      <c r="L631" s="16" t="n">
        <v>38</v>
      </c>
      <c r="M631" s="16" t="s">
        <v>38</v>
      </c>
      <c r="N631" s="17" t="b">
        <f aca="false">TRUE()</f>
        <v>1</v>
      </c>
      <c r="O631" s="14" t="n">
        <v>38.4021846516476</v>
      </c>
      <c r="P631" s="13" t="n">
        <v>1943.28571428571</v>
      </c>
      <c r="Q631" s="15" t="n">
        <v>0.0110724825251394</v>
      </c>
      <c r="R631" s="15" t="n">
        <v>-0.445269425861942</v>
      </c>
      <c r="S631" s="17" t="b">
        <f aca="false">FALSE()</f>
        <v>0</v>
      </c>
    </row>
    <row r="632" customFormat="false" ht="15" hidden="false" customHeight="true" outlineLevel="0" collapsed="false">
      <c r="A632" s="12" t="n">
        <v>42268</v>
      </c>
      <c r="B632" s="13" t="n">
        <v>44303.4664859002</v>
      </c>
      <c r="C632" s="13" t="n">
        <v>41485.4587188014</v>
      </c>
      <c r="D632" s="13" t="n">
        <v>1124</v>
      </c>
      <c r="E632" s="14" t="n">
        <v>39.4158954500892</v>
      </c>
      <c r="F632" s="14" t="n">
        <v>36.9087711021365</v>
      </c>
      <c r="G632" s="13" t="n">
        <v>2818.00776709884</v>
      </c>
      <c r="H632" s="15" t="n">
        <v>0.0636069362201191</v>
      </c>
      <c r="I632" s="15" t="n">
        <v>0.0636069362201191</v>
      </c>
      <c r="J632" s="16" t="n">
        <v>2015</v>
      </c>
      <c r="K632" s="16" t="n">
        <v>9</v>
      </c>
      <c r="L632" s="16" t="n">
        <v>39</v>
      </c>
      <c r="M632" s="16" t="s">
        <v>32</v>
      </c>
      <c r="N632" s="17" t="b">
        <f aca="false">FALSE()</f>
        <v>0</v>
      </c>
      <c r="O632" s="14" t="n">
        <v>38.7243852160078</v>
      </c>
      <c r="P632" s="13" t="n">
        <v>1677.42857142857</v>
      </c>
      <c r="Q632" s="15" t="n">
        <v>0.0178572295008447</v>
      </c>
      <c r="R632" s="15" t="n">
        <v>-0.329926758644183</v>
      </c>
      <c r="S632" s="17" t="b">
        <f aca="false">FALSE()</f>
        <v>0</v>
      </c>
    </row>
    <row r="633" customFormat="false" ht="15" hidden="false" customHeight="true" outlineLevel="0" collapsed="false">
      <c r="A633" s="12" t="n">
        <v>42269</v>
      </c>
      <c r="B633" s="13" t="n">
        <v>46599.2981308103</v>
      </c>
      <c r="C633" s="13" t="n">
        <v>43806.7320104359</v>
      </c>
      <c r="D633" s="13" t="n">
        <v>1182</v>
      </c>
      <c r="E633" s="14" t="n">
        <v>39.4241100937481</v>
      </c>
      <c r="F633" s="14" t="n">
        <v>37.0615330037529</v>
      </c>
      <c r="G633" s="13" t="n">
        <v>2792.56612037434</v>
      </c>
      <c r="H633" s="15" t="n">
        <v>0.059927214193983</v>
      </c>
      <c r="I633" s="15" t="n">
        <v>0.0599272141939829</v>
      </c>
      <c r="J633" s="16" t="n">
        <v>2015</v>
      </c>
      <c r="K633" s="16" t="n">
        <v>9</v>
      </c>
      <c r="L633" s="16" t="n">
        <v>39</v>
      </c>
      <c r="M633" s="16" t="s">
        <v>33</v>
      </c>
      <c r="N633" s="17" t="b">
        <f aca="false">FALSE()</f>
        <v>0</v>
      </c>
      <c r="O633" s="14" t="n">
        <v>39.0952618427475</v>
      </c>
      <c r="P633" s="13" t="n">
        <v>1384.28571428571</v>
      </c>
      <c r="Q633" s="15" t="n">
        <v>0.00841146050698736</v>
      </c>
      <c r="R633" s="15" t="n">
        <v>-0.146130030959752</v>
      </c>
      <c r="S633" s="17" t="b">
        <f aca="false">FALSE()</f>
        <v>0</v>
      </c>
    </row>
    <row r="634" customFormat="false" ht="15" hidden="false" customHeight="true" outlineLevel="0" collapsed="false">
      <c r="A634" s="12" t="n">
        <v>42270</v>
      </c>
      <c r="B634" s="13" t="n">
        <v>125182.757165348</v>
      </c>
      <c r="C634" s="13" t="n">
        <v>138583.837816216</v>
      </c>
      <c r="D634" s="13" t="n">
        <v>3725</v>
      </c>
      <c r="E634" s="14" t="n">
        <v>33.6061093061336</v>
      </c>
      <c r="F634" s="14" t="n">
        <v>37.203714849991</v>
      </c>
      <c r="G634" s="13" t="n">
        <v>-13401.0806508688</v>
      </c>
      <c r="H634" s="15" t="n">
        <v>-0.107052128858035</v>
      </c>
      <c r="I634" s="15" t="n">
        <v>-0.107052128858035</v>
      </c>
      <c r="J634" s="16" t="n">
        <v>2015</v>
      </c>
      <c r="K634" s="16" t="n">
        <v>9</v>
      </c>
      <c r="L634" s="16" t="n">
        <v>39</v>
      </c>
      <c r="M634" s="16" t="s">
        <v>34</v>
      </c>
      <c r="N634" s="17" t="b">
        <f aca="false">FALSE()</f>
        <v>0</v>
      </c>
      <c r="O634" s="14" t="n">
        <v>39.1375128869035</v>
      </c>
      <c r="P634" s="13" t="n">
        <v>1339.42857142857</v>
      </c>
      <c r="Q634" s="15" t="n">
        <v>-0.141332526590388</v>
      </c>
      <c r="R634" s="15" t="n">
        <v>1.7810366894198</v>
      </c>
      <c r="S634" s="17" t="b">
        <f aca="false">TRUE()</f>
        <v>1</v>
      </c>
    </row>
    <row r="635" customFormat="false" ht="15" hidden="false" customHeight="true" outlineLevel="0" collapsed="false">
      <c r="A635" s="12" t="n">
        <v>42271</v>
      </c>
      <c r="B635" s="13" t="n">
        <v>150036.805041618</v>
      </c>
      <c r="C635" s="13" t="n">
        <v>167704.855406774</v>
      </c>
      <c r="D635" s="13" t="n">
        <v>4492</v>
      </c>
      <c r="E635" s="14" t="n">
        <v>33.4008915943049</v>
      </c>
      <c r="F635" s="14" t="n">
        <v>37.3341174102346</v>
      </c>
      <c r="G635" s="13" t="n">
        <v>-17668.0503651561</v>
      </c>
      <c r="H635" s="15" t="n">
        <v>-0.11775810848715</v>
      </c>
      <c r="I635" s="15" t="n">
        <v>-0.11775810848715</v>
      </c>
      <c r="J635" s="16" t="n">
        <v>2015</v>
      </c>
      <c r="K635" s="16" t="n">
        <v>9</v>
      </c>
      <c r="L635" s="16" t="n">
        <v>39</v>
      </c>
      <c r="M635" s="16" t="s">
        <v>35</v>
      </c>
      <c r="N635" s="17" t="b">
        <f aca="false">FALSE()</f>
        <v>0</v>
      </c>
      <c r="O635" s="14" t="n">
        <v>38.7691841350866</v>
      </c>
      <c r="P635" s="13" t="n">
        <v>1465.42857142857</v>
      </c>
      <c r="Q635" s="15" t="n">
        <v>-0.138468029713406</v>
      </c>
      <c r="R635" s="15" t="n">
        <v>2.06531487619419</v>
      </c>
      <c r="S635" s="17" t="b">
        <f aca="false">TRUE()</f>
        <v>1</v>
      </c>
    </row>
    <row r="636" customFormat="false" ht="15" hidden="false" customHeight="true" outlineLevel="0" collapsed="false">
      <c r="A636" s="12" t="n">
        <v>42272</v>
      </c>
      <c r="B636" s="13" t="n">
        <v>368037.691944659</v>
      </c>
      <c r="C636" s="13" t="n">
        <v>413540.807164328</v>
      </c>
      <c r="D636" s="13" t="n">
        <v>11030</v>
      </c>
      <c r="E636" s="14" t="n">
        <v>33.3669711645203</v>
      </c>
      <c r="F636" s="14" t="n">
        <v>37.4923669233298</v>
      </c>
      <c r="G636" s="13" t="n">
        <v>-45503.1152196692</v>
      </c>
      <c r="H636" s="15" t="n">
        <v>-0.123637106241041</v>
      </c>
      <c r="I636" s="15" t="n">
        <v>-0.123637106241041</v>
      </c>
      <c r="J636" s="16" t="n">
        <v>2015</v>
      </c>
      <c r="K636" s="16" t="n">
        <v>9</v>
      </c>
      <c r="L636" s="16" t="n">
        <v>39</v>
      </c>
      <c r="M636" s="16" t="s">
        <v>36</v>
      </c>
      <c r="N636" s="17" t="b">
        <f aca="false">FALSE()</f>
        <v>0</v>
      </c>
      <c r="O636" s="14" t="n">
        <v>38.3484461537231</v>
      </c>
      <c r="P636" s="13" t="n">
        <v>1698.28571428571</v>
      </c>
      <c r="Q636" s="15" t="n">
        <v>-0.129900308587058</v>
      </c>
      <c r="R636" s="15" t="n">
        <v>5.49478465679677</v>
      </c>
      <c r="S636" s="17" t="b">
        <f aca="false">TRUE()</f>
        <v>1</v>
      </c>
    </row>
    <row r="637" customFormat="false" ht="15" hidden="false" customHeight="true" outlineLevel="0" collapsed="false">
      <c r="A637" s="12" t="n">
        <v>42273</v>
      </c>
      <c r="B637" s="13" t="n">
        <v>351319.63806908</v>
      </c>
      <c r="C637" s="13" t="n">
        <v>397626.585058456</v>
      </c>
      <c r="D637" s="13" t="n">
        <v>10528</v>
      </c>
      <c r="E637" s="14" t="n">
        <v>33.3700264123366</v>
      </c>
      <c r="F637" s="14" t="n">
        <v>37.7684826233336</v>
      </c>
      <c r="G637" s="13" t="n">
        <v>-46306.9469893756</v>
      </c>
      <c r="H637" s="15" t="n">
        <v>-0.131808592437039</v>
      </c>
      <c r="I637" s="15" t="n">
        <v>-0.131808592437039</v>
      </c>
      <c r="J637" s="16" t="n">
        <v>2015</v>
      </c>
      <c r="K637" s="16" t="n">
        <v>9</v>
      </c>
      <c r="L637" s="16" t="n">
        <v>39</v>
      </c>
      <c r="M637" s="16" t="s">
        <v>37</v>
      </c>
      <c r="N637" s="17" t="b">
        <f aca="false">TRUE()</f>
        <v>1</v>
      </c>
      <c r="O637" s="14" t="n">
        <v>37.9339100095041</v>
      </c>
      <c r="P637" s="13" t="n">
        <v>2329.42857142857</v>
      </c>
      <c r="Q637" s="15" t="n">
        <v>-0.120311446830131</v>
      </c>
      <c r="R637" s="15" t="n">
        <v>3.51956335091377</v>
      </c>
      <c r="S637" s="17" t="b">
        <f aca="false">TRUE()</f>
        <v>1</v>
      </c>
    </row>
    <row r="638" customFormat="false" ht="15" hidden="false" customHeight="true" outlineLevel="0" collapsed="false">
      <c r="A638" s="12" t="n">
        <v>42274</v>
      </c>
      <c r="B638" s="13" t="n">
        <v>163289.936668804</v>
      </c>
      <c r="C638" s="13" t="n">
        <v>185404.04401051</v>
      </c>
      <c r="D638" s="13" t="n">
        <v>4895</v>
      </c>
      <c r="E638" s="14" t="n">
        <v>33.3585161734022</v>
      </c>
      <c r="F638" s="14" t="n">
        <v>37.8762091952013</v>
      </c>
      <c r="G638" s="13" t="n">
        <v>-22114.1073417062</v>
      </c>
      <c r="H638" s="15" t="n">
        <v>-0.135428476444079</v>
      </c>
      <c r="I638" s="15" t="n">
        <v>-0.135428476444079</v>
      </c>
      <c r="J638" s="16" t="n">
        <v>2015</v>
      </c>
      <c r="K638" s="16" t="n">
        <v>9</v>
      </c>
      <c r="L638" s="16" t="n">
        <v>39</v>
      </c>
      <c r="M638" s="16" t="s">
        <v>38</v>
      </c>
      <c r="N638" s="17" t="b">
        <f aca="false">TRUE()</f>
        <v>1</v>
      </c>
      <c r="O638" s="14" t="n">
        <v>37.527356345473</v>
      </c>
      <c r="P638" s="13" t="n">
        <v>2976.5</v>
      </c>
      <c r="Q638" s="15" t="n">
        <v>-0.111088032252868</v>
      </c>
      <c r="R638" s="15" t="n">
        <v>0.644548966907442</v>
      </c>
      <c r="S638" s="17" t="b">
        <f aca="false">TRUE()</f>
        <v>1</v>
      </c>
    </row>
    <row r="639" customFormat="false" ht="15" hidden="false" customHeight="true" outlineLevel="0" collapsed="false">
      <c r="A639" s="12" t="n">
        <v>42275</v>
      </c>
      <c r="B639" s="13" t="n">
        <v>190892.458987576</v>
      </c>
      <c r="C639" s="13" t="n">
        <v>216571.059521462</v>
      </c>
      <c r="D639" s="13" t="n">
        <v>5720</v>
      </c>
      <c r="E639" s="14" t="n">
        <v>33.3728075153106</v>
      </c>
      <c r="F639" s="14" t="n">
        <v>37.862073342913</v>
      </c>
      <c r="G639" s="13" t="n">
        <v>-25678.6005338858</v>
      </c>
      <c r="H639" s="15" t="n">
        <v>-0.134518674389107</v>
      </c>
      <c r="I639" s="15" t="n">
        <v>-0.134518674389107</v>
      </c>
      <c r="J639" s="16" t="n">
        <v>2015</v>
      </c>
      <c r="K639" s="16" t="n">
        <v>9</v>
      </c>
      <c r="L639" s="16" t="n">
        <v>40</v>
      </c>
      <c r="M639" s="16" t="s">
        <v>32</v>
      </c>
      <c r="N639" s="17" t="b">
        <f aca="false">FALSE()</f>
        <v>0</v>
      </c>
      <c r="O639" s="14" t="n">
        <v>37.1115725710025</v>
      </c>
      <c r="P639" s="13" t="n">
        <v>3266.92857142857</v>
      </c>
      <c r="Q639" s="15" t="n">
        <v>-0.100743913466315</v>
      </c>
      <c r="R639" s="15" t="n">
        <v>0.750880031484356</v>
      </c>
      <c r="S639" s="17" t="b">
        <f aca="false">TRUE()</f>
        <v>1</v>
      </c>
    </row>
    <row r="640" customFormat="false" ht="15" hidden="false" customHeight="true" outlineLevel="0" collapsed="false">
      <c r="A640" s="12" t="n">
        <v>42276</v>
      </c>
      <c r="B640" s="13" t="n">
        <v>143082.133265768</v>
      </c>
      <c r="C640" s="13" t="n">
        <v>162929.018472353</v>
      </c>
      <c r="D640" s="13" t="n">
        <v>4288</v>
      </c>
      <c r="E640" s="14" t="n">
        <v>33.3680348101137</v>
      </c>
      <c r="F640" s="14" t="n">
        <v>37.9965061735897</v>
      </c>
      <c r="G640" s="13" t="n">
        <v>-19846.8852065852</v>
      </c>
      <c r="H640" s="15" t="n">
        <v>-0.13870973792179</v>
      </c>
      <c r="I640" s="15" t="n">
        <v>-0.13870973792179</v>
      </c>
      <c r="J640" s="16" t="n">
        <v>2015</v>
      </c>
      <c r="K640" s="16" t="n">
        <v>9</v>
      </c>
      <c r="L640" s="16" t="n">
        <v>40</v>
      </c>
      <c r="M640" s="16" t="s">
        <v>33</v>
      </c>
      <c r="N640" s="17" t="b">
        <f aca="false">FALSE()</f>
        <v>0</v>
      </c>
      <c r="O640" s="14" t="n">
        <v>36.6919378969421</v>
      </c>
      <c r="P640" s="13" t="n">
        <v>3580.57142857143</v>
      </c>
      <c r="Q640" s="15" t="n">
        <v>-0.0905894667151226</v>
      </c>
      <c r="R640" s="15" t="n">
        <v>0.197574210022343</v>
      </c>
      <c r="S640" s="17" t="b">
        <f aca="false">TRUE()</f>
        <v>1</v>
      </c>
    </row>
    <row r="641" customFormat="false" ht="15" hidden="false" customHeight="true" outlineLevel="0" collapsed="false">
      <c r="A641" s="12" t="n">
        <v>42277</v>
      </c>
      <c r="B641" s="13" t="n">
        <v>323548.785342069</v>
      </c>
      <c r="C641" s="13" t="n">
        <v>368434.885908865</v>
      </c>
      <c r="D641" s="13" t="n">
        <v>9693</v>
      </c>
      <c r="E641" s="14" t="n">
        <v>33.3796332757731</v>
      </c>
      <c r="F641" s="14" t="n">
        <v>38.0104081201759</v>
      </c>
      <c r="G641" s="13" t="n">
        <v>-44886.1005667961</v>
      </c>
      <c r="H641" s="15" t="n">
        <v>-0.138730548839306</v>
      </c>
      <c r="I641" s="15" t="n">
        <v>-0.138730548839306</v>
      </c>
      <c r="J641" s="16" t="n">
        <v>2015</v>
      </c>
      <c r="K641" s="16" t="n">
        <v>9</v>
      </c>
      <c r="L641" s="16" t="n">
        <v>40</v>
      </c>
      <c r="M641" s="16" t="s">
        <v>34</v>
      </c>
      <c r="N641" s="17" t="b">
        <f aca="false">FALSE()</f>
        <v>0</v>
      </c>
      <c r="O641" s="14" t="n">
        <v>36.2730151323076</v>
      </c>
      <c r="P641" s="13" t="n">
        <v>3794</v>
      </c>
      <c r="Q641" s="15" t="n">
        <v>-0.0797667865762127</v>
      </c>
      <c r="R641" s="15" t="n">
        <v>1.55482340537691</v>
      </c>
      <c r="S641" s="17" t="b">
        <f aca="false">TRUE()</f>
        <v>1</v>
      </c>
    </row>
    <row r="642" customFormat="false" ht="15" hidden="false" customHeight="true" outlineLevel="0" collapsed="false">
      <c r="A642" s="12" t="n">
        <v>42278</v>
      </c>
      <c r="B642" s="13" t="n">
        <v>402312.333158947</v>
      </c>
      <c r="C642" s="13" t="n">
        <v>459285.804526007</v>
      </c>
      <c r="D642" s="13" t="n">
        <v>12065</v>
      </c>
      <c r="E642" s="14" t="n">
        <v>33.345406809693</v>
      </c>
      <c r="F642" s="14" t="n">
        <v>38.0676174493168</v>
      </c>
      <c r="G642" s="13" t="n">
        <v>-56973.4713670602</v>
      </c>
      <c r="H642" s="15" t="n">
        <v>-0.141615025618792</v>
      </c>
      <c r="I642" s="15" t="n">
        <v>-0.141615025618792</v>
      </c>
      <c r="J642" s="16" t="n">
        <v>2015</v>
      </c>
      <c r="K642" s="16" t="n">
        <v>10</v>
      </c>
      <c r="L642" s="16" t="n">
        <v>40</v>
      </c>
      <c r="M642" s="16" t="s">
        <v>35</v>
      </c>
      <c r="N642" s="17" t="b">
        <f aca="false">FALSE()</f>
        <v>0</v>
      </c>
      <c r="O642" s="14" t="n">
        <v>35.8671512038247</v>
      </c>
      <c r="P642" s="13" t="n">
        <v>4431.14285714286</v>
      </c>
      <c r="Q642" s="15" t="n">
        <v>-0.0703079087547587</v>
      </c>
      <c r="R642" s="15" t="n">
        <v>1.7227738732349</v>
      </c>
      <c r="S642" s="17" t="b">
        <f aca="false">TRUE()</f>
        <v>1</v>
      </c>
    </row>
    <row r="643" customFormat="false" ht="15" hidden="false" customHeight="true" outlineLevel="0" collapsed="false">
      <c r="A643" s="12" t="n">
        <v>42279</v>
      </c>
      <c r="B643" s="13" t="n">
        <v>393635.174854894</v>
      </c>
      <c r="C643" s="13" t="n">
        <v>448390.965761974</v>
      </c>
      <c r="D643" s="13" t="n">
        <v>11758</v>
      </c>
      <c r="E643" s="14" t="n">
        <v>33.4780723639134</v>
      </c>
      <c r="F643" s="14" t="n">
        <v>38.1349690221104</v>
      </c>
      <c r="G643" s="13" t="n">
        <v>-54755.7909070802</v>
      </c>
      <c r="H643" s="15" t="n">
        <v>-0.13910289121714</v>
      </c>
      <c r="I643" s="15" t="n">
        <v>-0.13910289121714</v>
      </c>
      <c r="J643" s="16" t="n">
        <v>2015</v>
      </c>
      <c r="K643" s="16" t="n">
        <v>10</v>
      </c>
      <c r="L643" s="16" t="n">
        <v>40</v>
      </c>
      <c r="M643" s="16" t="s">
        <v>36</v>
      </c>
      <c r="N643" s="17" t="b">
        <f aca="false">FALSE()</f>
        <v>0</v>
      </c>
      <c r="O643" s="14" t="n">
        <v>35.4527984378295</v>
      </c>
      <c r="P643" s="13" t="n">
        <v>5238.64285714286</v>
      </c>
      <c r="Q643" s="15" t="n">
        <v>-0.0557001467000978</v>
      </c>
      <c r="R643" s="15" t="n">
        <v>1.24447444130841</v>
      </c>
      <c r="S643" s="17" t="b">
        <f aca="false">TRUE()</f>
        <v>1</v>
      </c>
    </row>
    <row r="644" customFormat="false" ht="15" hidden="false" customHeight="true" outlineLevel="0" collapsed="false">
      <c r="A644" s="12" t="n">
        <v>42280</v>
      </c>
      <c r="B644" s="13" t="n">
        <v>451100.060076857</v>
      </c>
      <c r="C644" s="13" t="n">
        <v>515549.389916234</v>
      </c>
      <c r="D644" s="13" t="n">
        <v>13508</v>
      </c>
      <c r="E644" s="14" t="n">
        <v>33.3950296177715</v>
      </c>
      <c r="F644" s="14" t="n">
        <v>38.1662266742844</v>
      </c>
      <c r="G644" s="13" t="n">
        <v>-64449.329839377</v>
      </c>
      <c r="H644" s="15" t="n">
        <v>-0.142871472525179</v>
      </c>
      <c r="I644" s="15" t="n">
        <v>-0.142871472525178</v>
      </c>
      <c r="J644" s="16" t="n">
        <v>2015</v>
      </c>
      <c r="K644" s="16" t="n">
        <v>10</v>
      </c>
      <c r="L644" s="16" t="n">
        <v>40</v>
      </c>
      <c r="M644" s="16" t="s">
        <v>37</v>
      </c>
      <c r="N644" s="17" t="b">
        <f aca="false">TRUE()</f>
        <v>1</v>
      </c>
      <c r="O644" s="14" t="n">
        <v>35.0559477077169</v>
      </c>
      <c r="P644" s="13" t="n">
        <v>5953.14285714286</v>
      </c>
      <c r="Q644" s="15" t="n">
        <v>-0.0473790668503253</v>
      </c>
      <c r="R644" s="15" t="n">
        <v>1.26905356114417</v>
      </c>
      <c r="S644" s="17" t="b">
        <f aca="false">FALSE()</f>
        <v>0</v>
      </c>
    </row>
    <row r="645" customFormat="false" ht="15" hidden="false" customHeight="true" outlineLevel="0" collapsed="false">
      <c r="A645" s="12" t="n">
        <v>42281</v>
      </c>
      <c r="B645" s="13" t="n">
        <v>202902.624901325</v>
      </c>
      <c r="C645" s="13" t="n">
        <v>232360.327155489</v>
      </c>
      <c r="D645" s="13" t="n">
        <v>6085</v>
      </c>
      <c r="E645" s="14" t="n">
        <v>33.3447206082704</v>
      </c>
      <c r="F645" s="14" t="n">
        <v>38.185756311502</v>
      </c>
      <c r="G645" s="13" t="n">
        <v>-29457.7022541642</v>
      </c>
      <c r="H645" s="15" t="n">
        <v>-0.145181474455986</v>
      </c>
      <c r="I645" s="15" t="n">
        <v>-0.145181474455986</v>
      </c>
      <c r="J645" s="16" t="n">
        <v>2015</v>
      </c>
      <c r="K645" s="16" t="n">
        <v>10</v>
      </c>
      <c r="L645" s="16" t="n">
        <v>40</v>
      </c>
      <c r="M645" s="16" t="s">
        <v>38</v>
      </c>
      <c r="N645" s="17" t="b">
        <f aca="false">TRUE()</f>
        <v>1</v>
      </c>
      <c r="O645" s="14" t="n">
        <v>34.65063548266</v>
      </c>
      <c r="P645" s="13" t="n">
        <v>6791.85714285714</v>
      </c>
      <c r="Q645" s="15" t="n">
        <v>-0.0376880497629884</v>
      </c>
      <c r="R645" s="15" t="n">
        <v>-0.104074206507793</v>
      </c>
      <c r="S645" s="17" t="b">
        <f aca="false">FALSE()</f>
        <v>0</v>
      </c>
    </row>
    <row r="646" customFormat="false" ht="15" hidden="false" customHeight="true" outlineLevel="0" collapsed="false">
      <c r="A646" s="12" t="n">
        <v>42282</v>
      </c>
      <c r="B646" s="13" t="n">
        <v>294557.646366224</v>
      </c>
      <c r="C646" s="13" t="n">
        <v>336897.922400406</v>
      </c>
      <c r="D646" s="13" t="n">
        <v>8828</v>
      </c>
      <c r="E646" s="14" t="n">
        <v>33.366294332377</v>
      </c>
      <c r="F646" s="14" t="n">
        <v>38.1624289080659</v>
      </c>
      <c r="G646" s="13" t="n">
        <v>-42340.2760341817</v>
      </c>
      <c r="H646" s="15" t="n">
        <v>-0.143741900970854</v>
      </c>
      <c r="I646" s="15" t="n">
        <v>-0.143741900970854</v>
      </c>
      <c r="J646" s="16" t="n">
        <v>2015</v>
      </c>
      <c r="K646" s="16" t="n">
        <v>10</v>
      </c>
      <c r="L646" s="16" t="n">
        <v>41</v>
      </c>
      <c r="M646" s="16" t="s">
        <v>32</v>
      </c>
      <c r="N646" s="17" t="b">
        <f aca="false">FALSE()</f>
        <v>0</v>
      </c>
      <c r="O646" s="14" t="n">
        <v>34.2590160853843</v>
      </c>
      <c r="P646" s="13" t="n">
        <v>7149.5</v>
      </c>
      <c r="Q646" s="15" t="n">
        <v>-0.0260580091028423</v>
      </c>
      <c r="R646" s="15" t="n">
        <v>0.234771662354011</v>
      </c>
      <c r="S646" s="17" t="b">
        <f aca="false">FALSE()</f>
        <v>0</v>
      </c>
    </row>
    <row r="647" customFormat="false" ht="15" hidden="false" customHeight="true" outlineLevel="0" collapsed="false">
      <c r="A647" s="12" t="n">
        <v>42283</v>
      </c>
      <c r="B647" s="13" t="n">
        <v>221618.32824753</v>
      </c>
      <c r="C647" s="13" t="n">
        <v>253291.062286083</v>
      </c>
      <c r="D647" s="13" t="n">
        <v>6636</v>
      </c>
      <c r="E647" s="14" t="n">
        <v>33.3963725508635</v>
      </c>
      <c r="F647" s="14" t="n">
        <v>38.1692378369625</v>
      </c>
      <c r="G647" s="13" t="n">
        <v>-31672.7340385528</v>
      </c>
      <c r="H647" s="15" t="n">
        <v>-0.14291567980414</v>
      </c>
      <c r="I647" s="15" t="n">
        <v>-0.14291567980414</v>
      </c>
      <c r="J647" s="16" t="n">
        <v>2015</v>
      </c>
      <c r="K647" s="16" t="n">
        <v>10</v>
      </c>
      <c r="L647" s="16" t="n">
        <v>41</v>
      </c>
      <c r="M647" s="16" t="s">
        <v>33</v>
      </c>
      <c r="N647" s="17" t="b">
        <f aca="false">FALSE()</f>
        <v>0</v>
      </c>
      <c r="O647" s="14" t="n">
        <v>33.8269017198335</v>
      </c>
      <c r="P647" s="13" t="n">
        <v>7699.78571428572</v>
      </c>
      <c r="Q647" s="15" t="n">
        <v>-0.0127274195117176</v>
      </c>
      <c r="R647" s="15" t="n">
        <v>-0.138157833705947</v>
      </c>
      <c r="S647" s="17" t="b">
        <f aca="false">FALSE()</f>
        <v>0</v>
      </c>
    </row>
    <row r="648" customFormat="false" ht="15" hidden="false" customHeight="true" outlineLevel="0" collapsed="false">
      <c r="A648" s="12" t="n">
        <v>42284</v>
      </c>
      <c r="B648" s="13" t="n">
        <v>63968.3824801854</v>
      </c>
      <c r="C648" s="13" t="n">
        <v>61942.8426777466</v>
      </c>
      <c r="D648" s="13" t="n">
        <v>1622</v>
      </c>
      <c r="E648" s="14" t="n">
        <v>39.4379670038134</v>
      </c>
      <c r="F648" s="14" t="n">
        <v>38.1891755103247</v>
      </c>
      <c r="G648" s="13" t="n">
        <v>2025.53980243873</v>
      </c>
      <c r="H648" s="15" t="n">
        <v>0.0316647025280991</v>
      </c>
      <c r="I648" s="15" t="n">
        <v>0.0316647025280991</v>
      </c>
      <c r="J648" s="16" t="n">
        <v>2015</v>
      </c>
      <c r="K648" s="16" t="n">
        <v>10</v>
      </c>
      <c r="L648" s="16" t="n">
        <v>41</v>
      </c>
      <c r="M648" s="16" t="s">
        <v>34</v>
      </c>
      <c r="N648" s="17" t="b">
        <f aca="false">FALSE()</f>
        <v>0</v>
      </c>
      <c r="O648" s="14" t="n">
        <v>33.3963490381988</v>
      </c>
      <c r="P648" s="13" t="n">
        <v>8089.35714285714</v>
      </c>
      <c r="Q648" s="15" t="n">
        <v>0.180906540373744</v>
      </c>
      <c r="R648" s="15" t="n">
        <v>-0.799489629230647</v>
      </c>
      <c r="S648" s="17" t="b">
        <f aca="false">FALSE()</f>
        <v>0</v>
      </c>
    </row>
    <row r="649" customFormat="false" ht="15" hidden="false" customHeight="true" outlineLevel="0" collapsed="false">
      <c r="A649" s="12" t="n">
        <v>42285</v>
      </c>
      <c r="B649" s="13" t="n">
        <v>59609.5447052804</v>
      </c>
      <c r="C649" s="13" t="n">
        <v>57736.476659463</v>
      </c>
      <c r="D649" s="13" t="n">
        <v>1512</v>
      </c>
      <c r="E649" s="14" t="n">
        <v>39.4243020537569</v>
      </c>
      <c r="F649" s="14" t="n">
        <v>38.1855004361528</v>
      </c>
      <c r="G649" s="13" t="n">
        <v>1873.06804581739</v>
      </c>
      <c r="H649" s="15" t="n">
        <v>0.0314222840499479</v>
      </c>
      <c r="I649" s="15" t="n">
        <v>0.031422284049948</v>
      </c>
      <c r="J649" s="16" t="n">
        <v>2015</v>
      </c>
      <c r="K649" s="16" t="n">
        <v>10</v>
      </c>
      <c r="L649" s="16" t="n">
        <v>41</v>
      </c>
      <c r="M649" s="16" t="s">
        <v>35</v>
      </c>
      <c r="N649" s="17" t="b">
        <f aca="false">FALSE()</f>
        <v>0</v>
      </c>
      <c r="O649" s="14" t="n">
        <v>33.8129103023188</v>
      </c>
      <c r="P649" s="13" t="n">
        <v>7939.14285714286</v>
      </c>
      <c r="Q649" s="15" t="n">
        <v>0.165954119336874</v>
      </c>
      <c r="R649" s="15" t="n">
        <v>-0.809551228991975</v>
      </c>
      <c r="S649" s="17" t="b">
        <f aca="false">FALSE()</f>
        <v>0</v>
      </c>
    </row>
    <row r="650" customFormat="false" ht="15" hidden="false" customHeight="true" outlineLevel="0" collapsed="false">
      <c r="A650" s="12" t="n">
        <v>42286</v>
      </c>
      <c r="B650" s="13" t="n">
        <v>126588.252974516</v>
      </c>
      <c r="C650" s="13" t="n">
        <v>122622.36311479</v>
      </c>
      <c r="D650" s="13" t="n">
        <v>3211</v>
      </c>
      <c r="E650" s="14" t="n">
        <v>39.4233114215249</v>
      </c>
      <c r="F650" s="14" t="n">
        <v>38.1882164792247</v>
      </c>
      <c r="G650" s="13" t="n">
        <v>3965.889859726</v>
      </c>
      <c r="H650" s="15" t="n">
        <v>0.0313290512076533</v>
      </c>
      <c r="I650" s="15" t="n">
        <v>0.0313290512076535</v>
      </c>
      <c r="J650" s="16" t="n">
        <v>2015</v>
      </c>
      <c r="K650" s="16" t="n">
        <v>10</v>
      </c>
      <c r="L650" s="16" t="n">
        <v>41</v>
      </c>
      <c r="M650" s="16" t="s">
        <v>36</v>
      </c>
      <c r="N650" s="17" t="b">
        <f aca="false">FALSE()</f>
        <v>0</v>
      </c>
      <c r="O650" s="14" t="n">
        <v>34.2431539065654</v>
      </c>
      <c r="P650" s="13" t="n">
        <v>7726.28571428572</v>
      </c>
      <c r="Q650" s="15" t="n">
        <v>0.15127571277733</v>
      </c>
      <c r="R650" s="15" t="n">
        <v>-0.584405739220472</v>
      </c>
      <c r="S650" s="17" t="b">
        <f aca="false">FALSE()</f>
        <v>0</v>
      </c>
    </row>
    <row r="651" customFormat="false" ht="15" hidden="false" customHeight="true" outlineLevel="0" collapsed="false">
      <c r="A651" s="12" t="n">
        <v>42287</v>
      </c>
      <c r="B651" s="13" t="n">
        <v>119755.011590481</v>
      </c>
      <c r="C651" s="13" t="n">
        <v>116003.686913625</v>
      </c>
      <c r="D651" s="13" t="n">
        <v>3037</v>
      </c>
      <c r="E651" s="14" t="n">
        <v>39.4320090847813</v>
      </c>
      <c r="F651" s="14" t="n">
        <v>38.1968017496297</v>
      </c>
      <c r="G651" s="13" t="n">
        <v>3751.32467685547</v>
      </c>
      <c r="H651" s="15" t="n">
        <v>0.031324991138439</v>
      </c>
      <c r="I651" s="15" t="n">
        <v>0.0313249911384388</v>
      </c>
      <c r="J651" s="16" t="n">
        <v>2015</v>
      </c>
      <c r="K651" s="16" t="n">
        <v>10</v>
      </c>
      <c r="L651" s="16" t="n">
        <v>41</v>
      </c>
      <c r="M651" s="16" t="s">
        <v>37</v>
      </c>
      <c r="N651" s="17" t="b">
        <f aca="false">TRUE()</f>
        <v>1</v>
      </c>
      <c r="O651" s="14" t="n">
        <v>34.6757496392086</v>
      </c>
      <c r="P651" s="13" t="n">
        <v>7167.78571428572</v>
      </c>
      <c r="Q651" s="15" t="n">
        <v>0.13716385355934</v>
      </c>
      <c r="R651" s="15" t="n">
        <v>-0.576298717476009</v>
      </c>
      <c r="S651" s="17" t="b">
        <f aca="false">FALSE()</f>
        <v>0</v>
      </c>
    </row>
    <row r="652" customFormat="false" ht="15" hidden="false" customHeight="true" outlineLevel="0" collapsed="false">
      <c r="A652" s="12" t="n">
        <v>42288</v>
      </c>
      <c r="B652" s="13" t="n">
        <v>57413.4104820904</v>
      </c>
      <c r="C652" s="13" t="n">
        <v>55617.5846439297</v>
      </c>
      <c r="D652" s="13" t="n">
        <v>1456</v>
      </c>
      <c r="E652" s="14" t="n">
        <v>39.4322874190181</v>
      </c>
      <c r="F652" s="14" t="n">
        <v>38.1988905521495</v>
      </c>
      <c r="G652" s="13" t="n">
        <v>1795.82583816066</v>
      </c>
      <c r="H652" s="15" t="n">
        <v>0.0312788566831585</v>
      </c>
      <c r="I652" s="15" t="n">
        <v>0.0312788566831587</v>
      </c>
      <c r="J652" s="16" t="n">
        <v>2015</v>
      </c>
      <c r="K652" s="16" t="n">
        <v>10</v>
      </c>
      <c r="L652" s="16" t="n">
        <v>41</v>
      </c>
      <c r="M652" s="16" t="s">
        <v>38</v>
      </c>
      <c r="N652" s="17" t="b">
        <f aca="false">TRUE()</f>
        <v>1</v>
      </c>
      <c r="O652" s="14" t="n">
        <v>35.1087484015261</v>
      </c>
      <c r="P652" s="13" t="n">
        <v>6632.71428571429</v>
      </c>
      <c r="Q652" s="15" t="n">
        <v>0.123147056341779</v>
      </c>
      <c r="R652" s="15" t="n">
        <v>-0.780482026319757</v>
      </c>
      <c r="S652" s="17" t="b">
        <f aca="false">FALSE()</f>
        <v>0</v>
      </c>
    </row>
    <row r="653" customFormat="false" ht="15" hidden="false" customHeight="true" outlineLevel="0" collapsed="false">
      <c r="A653" s="12" t="n">
        <v>42289</v>
      </c>
      <c r="B653" s="13" t="n">
        <v>57749.1369386054</v>
      </c>
      <c r="C653" s="13" t="n">
        <v>55933.0085758462</v>
      </c>
      <c r="D653" s="13" t="n">
        <v>1465</v>
      </c>
      <c r="E653" s="14" t="n">
        <v>39.4192061014371</v>
      </c>
      <c r="F653" s="14" t="n">
        <v>38.1795280381203</v>
      </c>
      <c r="G653" s="13" t="n">
        <v>1816.12836275921</v>
      </c>
      <c r="H653" s="15" t="n">
        <v>0.0314485801699511</v>
      </c>
      <c r="I653" s="15" t="n">
        <v>0.031448580169951</v>
      </c>
      <c r="J653" s="16" t="n">
        <v>2015</v>
      </c>
      <c r="K653" s="16" t="n">
        <v>10</v>
      </c>
      <c r="L653" s="16" t="n">
        <v>42</v>
      </c>
      <c r="M653" s="16" t="s">
        <v>32</v>
      </c>
      <c r="N653" s="17" t="b">
        <f aca="false">FALSE()</f>
        <v>0</v>
      </c>
      <c r="O653" s="14" t="n">
        <v>35.5425892047843</v>
      </c>
      <c r="P653" s="13" t="n">
        <v>6387.07142857143</v>
      </c>
      <c r="Q653" s="15" t="n">
        <v>0.109069625578402</v>
      </c>
      <c r="R653" s="15" t="n">
        <v>-0.770630402934499</v>
      </c>
      <c r="S653" s="17" t="b">
        <f aca="false">FALSE()</f>
        <v>0</v>
      </c>
    </row>
    <row r="654" customFormat="false" ht="15" hidden="false" customHeight="true" outlineLevel="0" collapsed="false">
      <c r="A654" s="12" t="n">
        <v>42290</v>
      </c>
      <c r="B654" s="13" t="n">
        <v>40140.8200345552</v>
      </c>
      <c r="C654" s="13" t="n">
        <v>38881.0884417864</v>
      </c>
      <c r="D654" s="13" t="n">
        <v>1018</v>
      </c>
      <c r="E654" s="14" t="n">
        <v>39.4310609376771</v>
      </c>
      <c r="F654" s="14" t="n">
        <v>38.1936035773933</v>
      </c>
      <c r="G654" s="13" t="n">
        <v>1259.73159276882</v>
      </c>
      <c r="H654" s="15" t="n">
        <v>0.0313828066213988</v>
      </c>
      <c r="I654" s="15" t="n">
        <v>0.0313828066213989</v>
      </c>
      <c r="J654" s="16" t="n">
        <v>2015</v>
      </c>
      <c r="K654" s="16" t="n">
        <v>10</v>
      </c>
      <c r="L654" s="16" t="n">
        <v>42</v>
      </c>
      <c r="M654" s="16" t="s">
        <v>33</v>
      </c>
      <c r="N654" s="17" t="b">
        <f aca="false">FALSE()</f>
        <v>0</v>
      </c>
      <c r="O654" s="14" t="n">
        <v>35.9744748180791</v>
      </c>
      <c r="P654" s="13" t="n">
        <v>6083.14285714286</v>
      </c>
      <c r="Q654" s="15" t="n">
        <v>0.0960844080998466</v>
      </c>
      <c r="R654" s="15" t="n">
        <v>-0.832652294396693</v>
      </c>
      <c r="S654" s="17" t="b">
        <f aca="false">FALSE()</f>
        <v>0</v>
      </c>
    </row>
    <row r="655" customFormat="false" ht="15" hidden="false" customHeight="true" outlineLevel="0" collapsed="false">
      <c r="A655" s="12" t="n">
        <v>42291</v>
      </c>
      <c r="B655" s="13" t="n">
        <v>42195.8173648503</v>
      </c>
      <c r="C655" s="13" t="n">
        <v>40869.2494722671</v>
      </c>
      <c r="D655" s="13" t="n">
        <v>1070</v>
      </c>
      <c r="E655" s="14" t="n">
        <v>39.4353433316358</v>
      </c>
      <c r="F655" s="14" t="n">
        <v>38.1955602544552</v>
      </c>
      <c r="G655" s="13" t="n">
        <v>1326.56789258319</v>
      </c>
      <c r="H655" s="15" t="n">
        <v>0.0314383741192377</v>
      </c>
      <c r="I655" s="15" t="n">
        <v>0.0314383741192378</v>
      </c>
      <c r="J655" s="16" t="n">
        <v>2015</v>
      </c>
      <c r="K655" s="16" t="n">
        <v>10</v>
      </c>
      <c r="L655" s="16" t="n">
        <v>42</v>
      </c>
      <c r="M655" s="16" t="s">
        <v>34</v>
      </c>
      <c r="N655" s="17" t="b">
        <f aca="false">FALSE()</f>
        <v>0</v>
      </c>
      <c r="O655" s="14" t="n">
        <v>36.4075481129051</v>
      </c>
      <c r="P655" s="13" t="n">
        <v>5849.57142857143</v>
      </c>
      <c r="Q655" s="15" t="n">
        <v>0.0831639419754682</v>
      </c>
      <c r="R655" s="15" t="n">
        <v>-0.817080616406574</v>
      </c>
      <c r="S655" s="17" t="b">
        <f aca="false">FALSE()</f>
        <v>0</v>
      </c>
    </row>
    <row r="656" customFormat="false" ht="15" hidden="false" customHeight="true" outlineLevel="0" collapsed="false">
      <c r="A656" s="12" t="n">
        <v>42292</v>
      </c>
      <c r="B656" s="13" t="n">
        <v>53490.7974653904</v>
      </c>
      <c r="C656" s="13" t="n">
        <v>51799.1659034008</v>
      </c>
      <c r="D656" s="13" t="n">
        <v>1357</v>
      </c>
      <c r="E656" s="14" t="n">
        <v>39.4184211240902</v>
      </c>
      <c r="F656" s="14" t="n">
        <v>38.1718245419313</v>
      </c>
      <c r="G656" s="13" t="n">
        <v>1691.63156198955</v>
      </c>
      <c r="H656" s="15" t="n">
        <v>0.0316247213005952</v>
      </c>
      <c r="I656" s="15" t="n">
        <v>0.0316247213005951</v>
      </c>
      <c r="J656" s="16" t="n">
        <v>2015</v>
      </c>
      <c r="K656" s="16" t="n">
        <v>10</v>
      </c>
      <c r="L656" s="16" t="n">
        <v>42</v>
      </c>
      <c r="M656" s="16" t="s">
        <v>35</v>
      </c>
      <c r="N656" s="17" t="b">
        <f aca="false">FALSE()</f>
        <v>0</v>
      </c>
      <c r="O656" s="14" t="n">
        <v>36.840098831181</v>
      </c>
      <c r="P656" s="13" t="n">
        <v>5233.64285714286</v>
      </c>
      <c r="Q656" s="15" t="n">
        <v>0.069986845169019</v>
      </c>
      <c r="R656" s="15" t="n">
        <v>-0.740715972212744</v>
      </c>
      <c r="S656" s="17" t="b">
        <f aca="false">FALSE()</f>
        <v>0</v>
      </c>
    </row>
    <row r="657" customFormat="false" ht="15" hidden="false" customHeight="true" outlineLevel="0" collapsed="false">
      <c r="A657" s="12" t="n">
        <v>42293</v>
      </c>
      <c r="B657" s="13" t="n">
        <v>110809.315805578</v>
      </c>
      <c r="C657" s="13" t="n">
        <v>107331.980515123</v>
      </c>
      <c r="D657" s="13" t="n">
        <v>2810</v>
      </c>
      <c r="E657" s="14" t="n">
        <v>39.433920215508</v>
      </c>
      <c r="F657" s="14" t="n">
        <v>38.1964343470188</v>
      </c>
      <c r="G657" s="13" t="n">
        <v>3477.33529045458</v>
      </c>
      <c r="H657" s="15" t="n">
        <v>0.0313812540504789</v>
      </c>
      <c r="I657" s="15" t="n">
        <v>0.0313812540504789</v>
      </c>
      <c r="J657" s="16" t="n">
        <v>2015</v>
      </c>
      <c r="K657" s="16" t="n">
        <v>10</v>
      </c>
      <c r="L657" s="16" t="n">
        <v>42</v>
      </c>
      <c r="M657" s="16" t="s">
        <v>36</v>
      </c>
      <c r="N657" s="17" t="b">
        <f aca="false">FALSE()</f>
        <v>0</v>
      </c>
      <c r="O657" s="14" t="n">
        <v>37.2738855679236</v>
      </c>
      <c r="P657" s="13" t="n">
        <v>4468.78571428572</v>
      </c>
      <c r="Q657" s="15" t="n">
        <v>0.0579503482041921</v>
      </c>
      <c r="R657" s="15" t="n">
        <v>-0.371193836612694</v>
      </c>
      <c r="S657" s="17" t="b">
        <f aca="false">FALSE()</f>
        <v>0</v>
      </c>
    </row>
    <row r="658" customFormat="false" ht="15" hidden="false" customHeight="true" outlineLevel="0" collapsed="false">
      <c r="A658" s="12" t="n">
        <v>42294</v>
      </c>
      <c r="B658" s="13" t="n">
        <v>111527.013469603</v>
      </c>
      <c r="C658" s="13" t="n">
        <v>108023.607343921</v>
      </c>
      <c r="D658" s="13" t="n">
        <v>2829</v>
      </c>
      <c r="E658" s="14" t="n">
        <v>39.4227689889016</v>
      </c>
      <c r="F658" s="14" t="n">
        <v>38.1843787005731</v>
      </c>
      <c r="G658" s="13" t="n">
        <v>3503.4061256813</v>
      </c>
      <c r="H658" s="15" t="n">
        <v>0.0314130721938159</v>
      </c>
      <c r="I658" s="15" t="n">
        <v>0.0314130721938158</v>
      </c>
      <c r="J658" s="16" t="n">
        <v>2015</v>
      </c>
      <c r="K658" s="16" t="n">
        <v>10</v>
      </c>
      <c r="L658" s="16" t="n">
        <v>42</v>
      </c>
      <c r="M658" s="16" t="s">
        <v>37</v>
      </c>
      <c r="N658" s="17" t="b">
        <f aca="false">TRUE()</f>
        <v>1</v>
      </c>
      <c r="O658" s="14" t="n">
        <v>37.6993032716089</v>
      </c>
      <c r="P658" s="13" t="n">
        <v>3829.64285714286</v>
      </c>
      <c r="Q658" s="15" t="n">
        <v>0.0457161158888203</v>
      </c>
      <c r="R658" s="15" t="n">
        <v>-0.261288818427679</v>
      </c>
      <c r="S658" s="17" t="b">
        <f aca="false">FALSE()</f>
        <v>0</v>
      </c>
    </row>
    <row r="659" customFormat="false" ht="15" hidden="false" customHeight="true" outlineLevel="0" collapsed="false">
      <c r="A659" s="12" t="n">
        <v>42295</v>
      </c>
      <c r="B659" s="13" t="n">
        <v>59808.1386687504</v>
      </c>
      <c r="C659" s="13" t="n">
        <v>57937.4586559695</v>
      </c>
      <c r="D659" s="13" t="n">
        <v>1517</v>
      </c>
      <c r="E659" s="14" t="n">
        <v>39.425272688695</v>
      </c>
      <c r="F659" s="14" t="n">
        <v>38.1921283163939</v>
      </c>
      <c r="G659" s="13" t="n">
        <v>1870.68001278087</v>
      </c>
      <c r="H659" s="15" t="n">
        <v>0.0312780175812141</v>
      </c>
      <c r="I659" s="15" t="n">
        <v>0.0312780175812142</v>
      </c>
      <c r="J659" s="16" t="n">
        <v>2015</v>
      </c>
      <c r="K659" s="16" t="n">
        <v>10</v>
      </c>
      <c r="L659" s="16" t="n">
        <v>42</v>
      </c>
      <c r="M659" s="16" t="s">
        <v>38</v>
      </c>
      <c r="N659" s="17" t="b">
        <f aca="false">TRUE()</f>
        <v>1</v>
      </c>
      <c r="O659" s="14" t="n">
        <v>38.1298560838325</v>
      </c>
      <c r="P659" s="13" t="n">
        <v>3066.85714285714</v>
      </c>
      <c r="Q659" s="15" t="n">
        <v>0.0339738131194207</v>
      </c>
      <c r="R659" s="15" t="n">
        <v>-0.505356810136016</v>
      </c>
      <c r="S659" s="17" t="b">
        <f aca="false">FALSE()</f>
        <v>0</v>
      </c>
    </row>
    <row r="660" customFormat="false" ht="15" hidden="false" customHeight="true" outlineLevel="0" collapsed="false">
      <c r="A660" s="12" t="n">
        <v>42296</v>
      </c>
      <c r="B660" s="13" t="n">
        <v>55166.2262280854</v>
      </c>
      <c r="C660" s="13" t="n">
        <v>53436.8970927849</v>
      </c>
      <c r="D660" s="13" t="n">
        <v>1399</v>
      </c>
      <c r="E660" s="14" t="n">
        <v>39.4326134582454</v>
      </c>
      <c r="F660" s="14" t="n">
        <v>38.1964954201464</v>
      </c>
      <c r="G660" s="13" t="n">
        <v>1729.3291353005</v>
      </c>
      <c r="H660" s="15" t="n">
        <v>0.0313476061993179</v>
      </c>
      <c r="I660" s="15" t="n">
        <v>0.0313476061993179</v>
      </c>
      <c r="J660" s="16" t="n">
        <v>2015</v>
      </c>
      <c r="K660" s="16" t="n">
        <v>10</v>
      </c>
      <c r="L660" s="16" t="n">
        <v>43</v>
      </c>
      <c r="M660" s="16" t="s">
        <v>32</v>
      </c>
      <c r="N660" s="17" t="b">
        <f aca="false">FALSE()</f>
        <v>0</v>
      </c>
      <c r="O660" s="14" t="n">
        <v>38.5641812324343</v>
      </c>
      <c r="P660" s="13" t="n">
        <v>2740.57142857143</v>
      </c>
      <c r="Q660" s="15" t="n">
        <v>0.0225191407689158</v>
      </c>
      <c r="R660" s="15" t="n">
        <v>-0.489522518765638</v>
      </c>
      <c r="S660" s="17" t="b">
        <f aca="false">FALSE()</f>
        <v>0</v>
      </c>
    </row>
    <row r="661" customFormat="false" ht="15" hidden="false" customHeight="true" outlineLevel="0" collapsed="false">
      <c r="A661" s="12" t="n">
        <v>42297</v>
      </c>
      <c r="B661" s="13" t="n">
        <v>42054.6804719553</v>
      </c>
      <c r="C661" s="13" t="n">
        <v>40736.1504755923</v>
      </c>
      <c r="D661" s="13" t="n">
        <v>1067</v>
      </c>
      <c r="E661" s="14" t="n">
        <v>39.4139460843067</v>
      </c>
      <c r="F661" s="14" t="n">
        <v>38.178210380124</v>
      </c>
      <c r="G661" s="13" t="n">
        <v>1318.52999636297</v>
      </c>
      <c r="H661" s="15" t="n">
        <v>0.0313527526916357</v>
      </c>
      <c r="I661" s="15" t="n">
        <v>0.0313527526916357</v>
      </c>
      <c r="J661" s="16" t="n">
        <v>2015</v>
      </c>
      <c r="K661" s="16" t="n">
        <v>10</v>
      </c>
      <c r="L661" s="16" t="n">
        <v>43</v>
      </c>
      <c r="M661" s="16" t="s">
        <v>33</v>
      </c>
      <c r="N661" s="17" t="b">
        <f aca="false">FALSE()</f>
        <v>0</v>
      </c>
      <c r="O661" s="14" t="n">
        <v>38.9974897414249</v>
      </c>
      <c r="P661" s="13" t="n">
        <v>2209.92857142857</v>
      </c>
      <c r="Q661" s="15" t="n">
        <v>0.0106790551300392</v>
      </c>
      <c r="R661" s="15" t="n">
        <v>-0.51717896506028</v>
      </c>
      <c r="S661" s="17" t="b">
        <f aca="false">FALSE()</f>
        <v>0</v>
      </c>
    </row>
    <row r="662" customFormat="false" ht="15" hidden="false" customHeight="true" outlineLevel="0" collapsed="false">
      <c r="A662" s="12" t="n">
        <v>42298</v>
      </c>
      <c r="B662" s="13" t="n">
        <v>53678.1791092803</v>
      </c>
      <c r="C662" s="13" t="n">
        <v>51999.8608681956</v>
      </c>
      <c r="D662" s="13" t="n">
        <v>1361</v>
      </c>
      <c r="E662" s="14" t="n">
        <v>39.4402491618518</v>
      </c>
      <c r="F662" s="14" t="n">
        <v>38.2070983601731</v>
      </c>
      <c r="G662" s="13" t="n">
        <v>1678.31824108468</v>
      </c>
      <c r="H662" s="15" t="n">
        <v>0.0312663035321651</v>
      </c>
      <c r="I662" s="15" t="n">
        <v>0.0312663035321651</v>
      </c>
      <c r="J662" s="16" t="n">
        <v>2015</v>
      </c>
      <c r="K662" s="16" t="n">
        <v>10</v>
      </c>
      <c r="L662" s="16" t="n">
        <v>43</v>
      </c>
      <c r="M662" s="16" t="s">
        <v>34</v>
      </c>
      <c r="N662" s="17" t="b">
        <f aca="false">FALSE()</f>
        <v>0</v>
      </c>
      <c r="O662" s="14" t="n">
        <v>39.4273164223851</v>
      </c>
      <c r="P662" s="13" t="n">
        <v>1812.14285714286</v>
      </c>
      <c r="Q662" s="15" t="n">
        <v>0.00032801470250003</v>
      </c>
      <c r="R662" s="15" t="n">
        <v>-0.248955459203784</v>
      </c>
      <c r="S662" s="17" t="b">
        <f aca="false">FALSE()</f>
        <v>0</v>
      </c>
    </row>
    <row r="663" customFormat="false" ht="15" hidden="false" customHeight="true" outlineLevel="0" collapsed="false">
      <c r="A663" s="12" t="n">
        <v>42299</v>
      </c>
      <c r="B663" s="13" t="n">
        <v>55930.1686431054</v>
      </c>
      <c r="C663" s="13" t="n">
        <v>54177.6900618773</v>
      </c>
      <c r="D663" s="13" t="n">
        <v>1419</v>
      </c>
      <c r="E663" s="14" t="n">
        <v>39.415199889433</v>
      </c>
      <c r="F663" s="14" t="n">
        <v>38.1801903184477</v>
      </c>
      <c r="G663" s="13" t="n">
        <v>1752.47858122803</v>
      </c>
      <c r="H663" s="15" t="n">
        <v>0.0313333326850976</v>
      </c>
      <c r="I663" s="15" t="n">
        <v>0.0313333326850975</v>
      </c>
      <c r="J663" s="16" t="n">
        <v>2015</v>
      </c>
      <c r="K663" s="16" t="n">
        <v>10</v>
      </c>
      <c r="L663" s="16" t="n">
        <v>43</v>
      </c>
      <c r="M663" s="16" t="s">
        <v>35</v>
      </c>
      <c r="N663" s="17" t="b">
        <f aca="false">FALSE()</f>
        <v>0</v>
      </c>
      <c r="O663" s="14" t="n">
        <v>39.4274794336736</v>
      </c>
      <c r="P663" s="13" t="n">
        <v>1793.5</v>
      </c>
      <c r="Q663" s="15" t="n">
        <v>-0.000311446341916324</v>
      </c>
      <c r="R663" s="15" t="n">
        <v>-0.208809590186786</v>
      </c>
      <c r="S663" s="17" t="b">
        <f aca="false">FALSE()</f>
        <v>0</v>
      </c>
    </row>
    <row r="664" customFormat="false" ht="15" hidden="false" customHeight="true" outlineLevel="0" collapsed="false">
      <c r="A664" s="12" t="n">
        <v>42300</v>
      </c>
      <c r="B664" s="13" t="n">
        <v>185771.001463064</v>
      </c>
      <c r="C664" s="13" t="n">
        <v>192527.011009923</v>
      </c>
      <c r="D664" s="13" t="n">
        <v>5042</v>
      </c>
      <c r="E664" s="14" t="n">
        <v>36.8447047725235</v>
      </c>
      <c r="F664" s="14" t="n">
        <v>38.1846511324718</v>
      </c>
      <c r="G664" s="13" t="n">
        <v>-6756.00954685916</v>
      </c>
      <c r="H664" s="15" t="n">
        <v>-0.0363674066116419</v>
      </c>
      <c r="I664" s="15" t="n">
        <v>-0.0363674066116421</v>
      </c>
      <c r="J664" s="16" t="n">
        <v>2015</v>
      </c>
      <c r="K664" s="16" t="n">
        <v>10</v>
      </c>
      <c r="L664" s="16" t="n">
        <v>43</v>
      </c>
      <c r="M664" s="16" t="s">
        <v>36</v>
      </c>
      <c r="N664" s="17" t="b">
        <f aca="false">FALSE()</f>
        <v>0</v>
      </c>
      <c r="O664" s="14" t="n">
        <v>39.426829279079</v>
      </c>
      <c r="P664" s="13" t="n">
        <v>1786.85714285714</v>
      </c>
      <c r="Q664" s="15" t="n">
        <v>-0.0654915587626423</v>
      </c>
      <c r="R664" s="15" t="n">
        <v>1.8217141029741</v>
      </c>
      <c r="S664" s="17" t="b">
        <f aca="false">TRUE()</f>
        <v>1</v>
      </c>
    </row>
    <row r="665" customFormat="false" ht="15" hidden="false" customHeight="true" outlineLevel="0" collapsed="false">
      <c r="A665" s="12" t="n">
        <v>42301</v>
      </c>
      <c r="B665" s="13" t="n">
        <v>253116.91319854</v>
      </c>
      <c r="C665" s="13" t="n">
        <v>262409.569422916</v>
      </c>
      <c r="D665" s="13" t="n">
        <v>6872</v>
      </c>
      <c r="E665" s="14" t="n">
        <v>36.8330781720809</v>
      </c>
      <c r="F665" s="14" t="n">
        <v>38.1853273316234</v>
      </c>
      <c r="G665" s="13" t="n">
        <v>-9292.65622437606</v>
      </c>
      <c r="H665" s="15" t="n">
        <v>-0.0367129011923714</v>
      </c>
      <c r="I665" s="15" t="n">
        <v>-0.0367129011923715</v>
      </c>
      <c r="J665" s="16" t="n">
        <v>2015</v>
      </c>
      <c r="K665" s="16" t="n">
        <v>10</v>
      </c>
      <c r="L665" s="16" t="n">
        <v>43</v>
      </c>
      <c r="M665" s="16" t="s">
        <v>37</v>
      </c>
      <c r="N665" s="17" t="b">
        <f aca="false">TRUE()</f>
        <v>1</v>
      </c>
      <c r="O665" s="14" t="n">
        <v>39.2426430898646</v>
      </c>
      <c r="P665" s="13" t="n">
        <v>1917.64285714286</v>
      </c>
      <c r="Q665" s="15" t="n">
        <v>-0.0614016979505136</v>
      </c>
      <c r="R665" s="15" t="n">
        <v>2.5835661340187</v>
      </c>
      <c r="S665" s="17" t="b">
        <f aca="false">TRUE()</f>
        <v>1</v>
      </c>
    </row>
    <row r="666" customFormat="false" ht="15" hidden="false" customHeight="true" outlineLevel="0" collapsed="false">
      <c r="A666" s="12" t="n">
        <v>42302</v>
      </c>
      <c r="B666" s="13" t="n">
        <v>118618.453702153</v>
      </c>
      <c r="C666" s="13" t="n">
        <v>122915.267016988</v>
      </c>
      <c r="D666" s="13" t="n">
        <v>3218</v>
      </c>
      <c r="E666" s="14" t="n">
        <v>36.8609240839506</v>
      </c>
      <c r="F666" s="14" t="n">
        <v>38.1961675006179</v>
      </c>
      <c r="G666" s="13" t="n">
        <v>-4296.8133148355</v>
      </c>
      <c r="H666" s="15" t="n">
        <v>-0.0362238183076021</v>
      </c>
      <c r="I666" s="15" t="n">
        <v>-0.0362238183076021</v>
      </c>
      <c r="J666" s="16" t="n">
        <v>2015</v>
      </c>
      <c r="K666" s="16" t="n">
        <v>10</v>
      </c>
      <c r="L666" s="16" t="n">
        <v>43</v>
      </c>
      <c r="M666" s="16" t="s">
        <v>38</v>
      </c>
      <c r="N666" s="17" t="b">
        <f aca="false">TRUE()</f>
        <v>1</v>
      </c>
      <c r="O666" s="14" t="n">
        <v>39.0570051675289</v>
      </c>
      <c r="P666" s="13" t="n">
        <v>2191.57142857143</v>
      </c>
      <c r="Q666" s="15" t="n">
        <v>-0.0562275851453166</v>
      </c>
      <c r="R666" s="15" t="n">
        <v>0.468352780131673</v>
      </c>
      <c r="S666" s="17" t="b">
        <f aca="false">TRUE()</f>
        <v>1</v>
      </c>
    </row>
    <row r="667" customFormat="false" ht="15" hidden="false" customHeight="true" outlineLevel="0" collapsed="false">
      <c r="A667" s="12" t="n">
        <v>42303</v>
      </c>
      <c r="B667" s="13" t="n">
        <v>123320.784042374</v>
      </c>
      <c r="C667" s="13" t="n">
        <v>128133.778608871</v>
      </c>
      <c r="D667" s="13" t="n">
        <v>3347</v>
      </c>
      <c r="E667" s="14" t="n">
        <v>36.8451700156479</v>
      </c>
      <c r="F667" s="14" t="n">
        <v>38.2831725751035</v>
      </c>
      <c r="G667" s="13" t="n">
        <v>-4812.99456649764</v>
      </c>
      <c r="H667" s="15" t="n">
        <v>-0.039028251432815</v>
      </c>
      <c r="I667" s="15" t="n">
        <v>-0.0390282514328151</v>
      </c>
      <c r="J667" s="16" t="n">
        <v>2015</v>
      </c>
      <c r="K667" s="16" t="n">
        <v>10</v>
      </c>
      <c r="L667" s="16" t="n">
        <v>44</v>
      </c>
      <c r="M667" s="16" t="s">
        <v>32</v>
      </c>
      <c r="N667" s="17" t="b">
        <f aca="false">FALSE()</f>
        <v>0</v>
      </c>
      <c r="O667" s="14" t="n">
        <v>38.8733363578812</v>
      </c>
      <c r="P667" s="13" t="n">
        <v>2317.42857142857</v>
      </c>
      <c r="Q667" s="15" t="n">
        <v>-0.0521737142282116</v>
      </c>
      <c r="R667" s="15" t="n">
        <v>0.444273209222044</v>
      </c>
      <c r="S667" s="17" t="b">
        <f aca="false">TRUE()</f>
        <v>1</v>
      </c>
    </row>
    <row r="668" customFormat="false" ht="15" hidden="false" customHeight="true" outlineLevel="0" collapsed="false">
      <c r="A668" s="12" t="n">
        <v>42304</v>
      </c>
      <c r="B668" s="13" t="n">
        <v>117051.277215403</v>
      </c>
      <c r="C668" s="13" t="n">
        <v>122175.000272702</v>
      </c>
      <c r="D668" s="13" t="n">
        <v>3177</v>
      </c>
      <c r="E668" s="14" t="n">
        <v>36.8433356044705</v>
      </c>
      <c r="F668" s="14" t="n">
        <v>38.4560907373943</v>
      </c>
      <c r="G668" s="13" t="n">
        <v>-5123.72305729915</v>
      </c>
      <c r="H668" s="15" t="n">
        <v>-0.0437733203702704</v>
      </c>
      <c r="I668" s="15" t="n">
        <v>-0.0437733203702703</v>
      </c>
      <c r="J668" s="16" t="n">
        <v>2015</v>
      </c>
      <c r="K668" s="16" t="n">
        <v>10</v>
      </c>
      <c r="L668" s="16" t="n">
        <v>44</v>
      </c>
      <c r="M668" s="16" t="s">
        <v>33</v>
      </c>
      <c r="N668" s="17" t="b">
        <f aca="false">FALSE()</f>
        <v>0</v>
      </c>
      <c r="O668" s="14" t="n">
        <v>38.6894766374677</v>
      </c>
      <c r="P668" s="13" t="n">
        <v>2451.85714285714</v>
      </c>
      <c r="Q668" s="15" t="n">
        <v>-0.0477168779070371</v>
      </c>
      <c r="R668" s="15" t="n">
        <v>0.295752490823283</v>
      </c>
      <c r="S668" s="17" t="b">
        <f aca="false">FALSE()</f>
        <v>0</v>
      </c>
    </row>
    <row r="669" customFormat="false" ht="15" hidden="false" customHeight="true" outlineLevel="0" collapsed="false">
      <c r="A669" s="12" t="n">
        <v>42305</v>
      </c>
      <c r="B669" s="13" t="n">
        <v>159299.9890619</v>
      </c>
      <c r="C669" s="13" t="n">
        <v>174699.07672381</v>
      </c>
      <c r="D669" s="13" t="n">
        <v>4532</v>
      </c>
      <c r="E669" s="14" t="n">
        <v>35.1500417171007</v>
      </c>
      <c r="F669" s="14" t="n">
        <v>38.5478986592697</v>
      </c>
      <c r="G669" s="13" t="n">
        <v>-15399.0876619101</v>
      </c>
      <c r="H669" s="15" t="n">
        <v>-0.0966672235986555</v>
      </c>
      <c r="I669" s="15" t="n">
        <v>-0.0966672235986554</v>
      </c>
      <c r="J669" s="16" t="n">
        <v>2015</v>
      </c>
      <c r="K669" s="16" t="n">
        <v>10</v>
      </c>
      <c r="L669" s="16" t="n">
        <v>44</v>
      </c>
      <c r="M669" s="16" t="s">
        <v>34</v>
      </c>
      <c r="N669" s="17" t="b">
        <f aca="false">FALSE()</f>
        <v>0</v>
      </c>
      <c r="O669" s="14" t="n">
        <v>38.5046391136672</v>
      </c>
      <c r="P669" s="13" t="n">
        <v>2606.07142857143</v>
      </c>
      <c r="Q669" s="15" t="n">
        <v>-0.0871219020301332</v>
      </c>
      <c r="R669" s="15" t="n">
        <v>0.73901603398657</v>
      </c>
      <c r="S669" s="17" t="b">
        <f aca="false">TRUE()</f>
        <v>1</v>
      </c>
    </row>
    <row r="670" customFormat="false" ht="15" hidden="false" customHeight="true" outlineLevel="0" collapsed="false">
      <c r="A670" s="12" t="n">
        <v>42306</v>
      </c>
      <c r="B670" s="13" t="n">
        <v>119047.409867903</v>
      </c>
      <c r="C670" s="13" t="n">
        <v>124349.265489296</v>
      </c>
      <c r="D670" s="13" t="n">
        <v>3231</v>
      </c>
      <c r="E670" s="14" t="n">
        <v>36.845376003684</v>
      </c>
      <c r="F670" s="14" t="n">
        <v>38.4863093436385</v>
      </c>
      <c r="G670" s="13" t="n">
        <v>-5301.85562139296</v>
      </c>
      <c r="H670" s="15" t="n">
        <v>-0.0445356654737469</v>
      </c>
      <c r="I670" s="15" t="n">
        <v>-0.044535665473747</v>
      </c>
      <c r="J670" s="16" t="n">
        <v>2015</v>
      </c>
      <c r="K670" s="16" t="n">
        <v>10</v>
      </c>
      <c r="L670" s="16" t="n">
        <v>44</v>
      </c>
      <c r="M670" s="16" t="s">
        <v>35</v>
      </c>
      <c r="N670" s="17" t="b">
        <f aca="false">FALSE()</f>
        <v>0</v>
      </c>
      <c r="O670" s="14" t="n">
        <v>38.1985461412004</v>
      </c>
      <c r="P670" s="13" t="n">
        <v>2853.35714285714</v>
      </c>
      <c r="Q670" s="15" t="n">
        <v>-0.0354246502606265</v>
      </c>
      <c r="R670" s="15" t="n">
        <v>0.132350364232608</v>
      </c>
      <c r="S670" s="17" t="b">
        <f aca="false">FALSE()</f>
        <v>0</v>
      </c>
    </row>
    <row r="671" customFormat="false" ht="15" hidden="false" customHeight="true" outlineLevel="0" collapsed="false">
      <c r="A671" s="12" t="n">
        <v>42307</v>
      </c>
      <c r="B671" s="13" t="n">
        <v>285081.974328435</v>
      </c>
      <c r="C671" s="13" t="n">
        <v>297627.690715406</v>
      </c>
      <c r="D671" s="13" t="n">
        <v>7731</v>
      </c>
      <c r="E671" s="14" t="n">
        <v>36.8751745347866</v>
      </c>
      <c r="F671" s="14" t="n">
        <v>38.4979550789557</v>
      </c>
      <c r="G671" s="13" t="n">
        <v>-12545.716386971</v>
      </c>
      <c r="H671" s="15" t="n">
        <v>-0.044007399683985</v>
      </c>
      <c r="I671" s="15" t="n">
        <v>-0.044007399683985</v>
      </c>
      <c r="J671" s="16" t="n">
        <v>2015</v>
      </c>
      <c r="K671" s="16" t="n">
        <v>10</v>
      </c>
      <c r="L671" s="16" t="n">
        <v>44</v>
      </c>
      <c r="M671" s="16" t="s">
        <v>36</v>
      </c>
      <c r="N671" s="17" t="b">
        <f aca="false">FALSE()</f>
        <v>0</v>
      </c>
      <c r="O671" s="14" t="n">
        <v>38.0147572040285</v>
      </c>
      <c r="P671" s="13" t="n">
        <v>2987.21428571429</v>
      </c>
      <c r="Q671" s="15" t="n">
        <v>-0.02997737597338</v>
      </c>
      <c r="R671" s="15" t="n">
        <v>1.58802993711293</v>
      </c>
      <c r="S671" s="17" t="b">
        <f aca="false">FALSE()</f>
        <v>0</v>
      </c>
    </row>
    <row r="672" customFormat="false" ht="15" hidden="false" customHeight="true" outlineLevel="0" collapsed="false">
      <c r="A672" s="12" t="n">
        <v>42308</v>
      </c>
      <c r="B672" s="13" t="n">
        <v>391656.212583571</v>
      </c>
      <c r="C672" s="13" t="n">
        <v>429832.834760806</v>
      </c>
      <c r="D672" s="13" t="n">
        <v>11148</v>
      </c>
      <c r="E672" s="14" t="n">
        <v>35.1324194997822</v>
      </c>
      <c r="F672" s="14" t="n">
        <v>38.5569460675283</v>
      </c>
      <c r="G672" s="13" t="n">
        <v>-38176.6221772342</v>
      </c>
      <c r="H672" s="15" t="n">
        <v>-0.0974748285630425</v>
      </c>
      <c r="I672" s="15" t="n">
        <v>-0.0974748285630425</v>
      </c>
      <c r="J672" s="16" t="n">
        <v>2015</v>
      </c>
      <c r="K672" s="16" t="n">
        <v>10</v>
      </c>
      <c r="L672" s="16" t="n">
        <v>44</v>
      </c>
      <c r="M672" s="16" t="s">
        <v>37</v>
      </c>
      <c r="N672" s="17" t="b">
        <f aca="false">TRUE()</f>
        <v>1</v>
      </c>
      <c r="O672" s="14" t="n">
        <v>37.8319896554056</v>
      </c>
      <c r="P672" s="13" t="n">
        <v>3338.71428571429</v>
      </c>
      <c r="Q672" s="15" t="n">
        <v>-0.071356811529412</v>
      </c>
      <c r="R672" s="15" t="n">
        <v>2.33900988404433</v>
      </c>
      <c r="S672" s="17" t="b">
        <f aca="false">TRUE()</f>
        <v>1</v>
      </c>
    </row>
    <row r="673" customFormat="false" ht="15" hidden="false" customHeight="true" outlineLevel="0" collapsed="false">
      <c r="A673" s="12" t="n">
        <v>42309</v>
      </c>
      <c r="B673" s="13" t="n">
        <v>274814.77805485</v>
      </c>
      <c r="C673" s="13" t="n">
        <v>287978.174911817</v>
      </c>
      <c r="D673" s="13" t="n">
        <v>7459</v>
      </c>
      <c r="E673" s="14" t="n">
        <v>36.8433808895094</v>
      </c>
      <c r="F673" s="14" t="n">
        <v>38.6081478632279</v>
      </c>
      <c r="G673" s="13" t="n">
        <v>-13163.3968569662</v>
      </c>
      <c r="H673" s="15" t="n">
        <v>-0.0478991593906894</v>
      </c>
      <c r="I673" s="15" t="n">
        <v>-0.0478991593906894</v>
      </c>
      <c r="J673" s="16" t="n">
        <v>2015</v>
      </c>
      <c r="K673" s="16" t="n">
        <v>11</v>
      </c>
      <c r="L673" s="16" t="n">
        <v>44</v>
      </c>
      <c r="M673" s="16" t="s">
        <v>38</v>
      </c>
      <c r="N673" s="17" t="b">
        <f aca="false">TRUE()</f>
        <v>1</v>
      </c>
      <c r="O673" s="14" t="n">
        <v>37.5255361204685</v>
      </c>
      <c r="P673" s="13" t="n">
        <v>3932.92857142857</v>
      </c>
      <c r="Q673" s="15" t="n">
        <v>-0.0181784273186447</v>
      </c>
      <c r="R673" s="15" t="n">
        <v>0.896551097873268</v>
      </c>
      <c r="S673" s="17" t="b">
        <f aca="false">FALSE()</f>
        <v>0</v>
      </c>
    </row>
    <row r="674" customFormat="false" ht="15" hidden="false" customHeight="true" outlineLevel="0" collapsed="false">
      <c r="A674" s="12" t="n">
        <v>42310</v>
      </c>
      <c r="B674" s="13" t="n">
        <v>269555.023120968</v>
      </c>
      <c r="C674" s="13" t="n">
        <v>281915.192104629</v>
      </c>
      <c r="D674" s="13" t="n">
        <v>7316</v>
      </c>
      <c r="E674" s="14" t="n">
        <v>36.8445903664527</v>
      </c>
      <c r="F674" s="14" t="n">
        <v>38.5340612499493</v>
      </c>
      <c r="G674" s="13" t="n">
        <v>-12360.1689836612</v>
      </c>
      <c r="H674" s="15" t="n">
        <v>-0.045853973858667</v>
      </c>
      <c r="I674" s="15" t="n">
        <v>-0.0458539738586669</v>
      </c>
      <c r="J674" s="16" t="n">
        <v>2015</v>
      </c>
      <c r="K674" s="16" t="n">
        <v>11</v>
      </c>
      <c r="L674" s="16" t="n">
        <v>45</v>
      </c>
      <c r="M674" s="16" t="s">
        <v>32</v>
      </c>
      <c r="N674" s="17" t="b">
        <f aca="false">FALSE()</f>
        <v>0</v>
      </c>
      <c r="O674" s="14" t="n">
        <v>37.3411152776695</v>
      </c>
      <c r="P674" s="13" t="n">
        <v>4357.35714285714</v>
      </c>
      <c r="Q674" s="15" t="n">
        <v>-0.0132970027146927</v>
      </c>
      <c r="R674" s="15" t="n">
        <v>0.678999393472452</v>
      </c>
      <c r="S674" s="17" t="b">
        <f aca="false">FALSE()</f>
        <v>0</v>
      </c>
    </row>
    <row r="675" customFormat="false" ht="15" hidden="false" customHeight="true" outlineLevel="0" collapsed="false">
      <c r="A675" s="12" t="n">
        <v>42311</v>
      </c>
      <c r="B675" s="13" t="n">
        <v>192001.034615149</v>
      </c>
      <c r="C675" s="13" t="n">
        <v>201125.775474684</v>
      </c>
      <c r="D675" s="13" t="n">
        <v>5211</v>
      </c>
      <c r="E675" s="14" t="n">
        <v>36.8453338351849</v>
      </c>
      <c r="F675" s="14" t="n">
        <v>38.5963875407184</v>
      </c>
      <c r="G675" s="13" t="n">
        <v>-9124.74085953509</v>
      </c>
      <c r="H675" s="15" t="n">
        <v>-0.0475244358855926</v>
      </c>
      <c r="I675" s="15" t="n">
        <v>-0.0475244358855928</v>
      </c>
      <c r="J675" s="16" t="n">
        <v>2015</v>
      </c>
      <c r="K675" s="16" t="n">
        <v>11</v>
      </c>
      <c r="L675" s="16" t="n">
        <v>45</v>
      </c>
      <c r="M675" s="16" t="s">
        <v>33</v>
      </c>
      <c r="N675" s="17" t="b">
        <f aca="false">FALSE()</f>
        <v>0</v>
      </c>
      <c r="O675" s="14" t="n">
        <v>37.1562564853986</v>
      </c>
      <c r="P675" s="13" t="n">
        <v>4780</v>
      </c>
      <c r="Q675" s="15" t="n">
        <v>-0.00836797566880397</v>
      </c>
      <c r="R675" s="15" t="n">
        <v>0.0901673640167364</v>
      </c>
      <c r="S675" s="17" t="b">
        <f aca="false">FALSE()</f>
        <v>0</v>
      </c>
    </row>
    <row r="676" customFormat="false" ht="15" hidden="false" customHeight="true" outlineLevel="0" collapsed="false">
      <c r="A676" s="12" t="n">
        <v>42312</v>
      </c>
      <c r="B676" s="13" t="n">
        <v>201367.786977001</v>
      </c>
      <c r="C676" s="13" t="n">
        <v>220579.995560677</v>
      </c>
      <c r="D676" s="13" t="n">
        <v>5731</v>
      </c>
      <c r="E676" s="14" t="n">
        <v>35.1365882004888</v>
      </c>
      <c r="F676" s="14" t="n">
        <v>38.4889191346496</v>
      </c>
      <c r="G676" s="13" t="n">
        <v>-19212.2085836757</v>
      </c>
      <c r="H676" s="15" t="n">
        <v>-0.0954085500570653</v>
      </c>
      <c r="I676" s="15" t="n">
        <v>-0.0954085500570653</v>
      </c>
      <c r="J676" s="16" t="n">
        <v>2015</v>
      </c>
      <c r="K676" s="16" t="n">
        <v>11</v>
      </c>
      <c r="L676" s="16" t="n">
        <v>45</v>
      </c>
      <c r="M676" s="16" t="s">
        <v>34</v>
      </c>
      <c r="N676" s="17" t="b">
        <f aca="false">FALSE()</f>
        <v>0</v>
      </c>
      <c r="O676" s="14" t="n">
        <v>36.9727841818899</v>
      </c>
      <c r="P676" s="13" t="n">
        <v>5076</v>
      </c>
      <c r="Q676" s="15" t="n">
        <v>-0.0496634489944767</v>
      </c>
      <c r="R676" s="15" t="n">
        <v>0.129038613081166</v>
      </c>
      <c r="S676" s="17" t="b">
        <f aca="false">FALSE()</f>
        <v>0</v>
      </c>
    </row>
    <row r="677" customFormat="false" ht="15" hidden="false" customHeight="true" outlineLevel="0" collapsed="false">
      <c r="A677" s="12" t="n">
        <v>42313</v>
      </c>
      <c r="B677" s="13" t="n">
        <v>111874.558972953</v>
      </c>
      <c r="C677" s="13" t="n">
        <v>116637.034345283</v>
      </c>
      <c r="D677" s="13" t="n">
        <v>3036</v>
      </c>
      <c r="E677" s="14" t="n">
        <v>36.8493277249515</v>
      </c>
      <c r="F677" s="14" t="n">
        <v>38.4179955023989</v>
      </c>
      <c r="G677" s="13" t="n">
        <v>-4762.47537233029</v>
      </c>
      <c r="H677" s="15" t="n">
        <v>-0.0425697800827236</v>
      </c>
      <c r="I677" s="15" t="n">
        <v>-0.0425697800827234</v>
      </c>
      <c r="J677" s="16" t="n">
        <v>2015</v>
      </c>
      <c r="K677" s="16" t="n">
        <v>11</v>
      </c>
      <c r="L677" s="16" t="n">
        <v>45</v>
      </c>
      <c r="M677" s="16" t="s">
        <v>35</v>
      </c>
      <c r="N677" s="17" t="b">
        <f aca="false">FALSE()</f>
        <v>0</v>
      </c>
      <c r="O677" s="14" t="n">
        <v>36.6653798275068</v>
      </c>
      <c r="P677" s="13" t="n">
        <v>5388.14285714286</v>
      </c>
      <c r="Q677" s="15" t="n">
        <v>0.0050169369118784</v>
      </c>
      <c r="R677" s="15" t="n">
        <v>-0.436540552005727</v>
      </c>
      <c r="S677" s="17" t="b">
        <f aca="false">FALSE()</f>
        <v>0</v>
      </c>
    </row>
    <row r="678" customFormat="false" ht="15" hidden="false" customHeight="true" outlineLevel="0" collapsed="false">
      <c r="A678" s="12" t="n">
        <v>42314</v>
      </c>
      <c r="B678" s="13" t="n">
        <v>214540.333090848</v>
      </c>
      <c r="C678" s="13" t="n">
        <v>223738.432718631</v>
      </c>
      <c r="D678" s="13" t="n">
        <v>5822</v>
      </c>
      <c r="E678" s="14" t="n">
        <v>36.8499369788471</v>
      </c>
      <c r="F678" s="14" t="n">
        <v>38.4298235518088</v>
      </c>
      <c r="G678" s="13" t="n">
        <v>-9198.09962778314</v>
      </c>
      <c r="H678" s="15" t="n">
        <v>-0.0428735217069333</v>
      </c>
      <c r="I678" s="15" t="n">
        <v>-0.0428735217069332</v>
      </c>
      <c r="J678" s="16" t="n">
        <v>2015</v>
      </c>
      <c r="K678" s="16" t="n">
        <v>11</v>
      </c>
      <c r="L678" s="16" t="n">
        <v>45</v>
      </c>
      <c r="M678" s="16" t="s">
        <v>36</v>
      </c>
      <c r="N678" s="17" t="b">
        <f aca="false">FALSE()</f>
        <v>0</v>
      </c>
      <c r="O678" s="14" t="n">
        <v>36.4821032443296</v>
      </c>
      <c r="P678" s="13" t="n">
        <v>5503.64285714286</v>
      </c>
      <c r="Q678" s="15" t="n">
        <v>0.0100825802737857</v>
      </c>
      <c r="R678" s="15" t="n">
        <v>0.0578448040907971</v>
      </c>
      <c r="S678" s="17" t="b">
        <f aca="false">FALSE()</f>
        <v>0</v>
      </c>
    </row>
    <row r="679" customFormat="false" ht="15" hidden="false" customHeight="true" outlineLevel="0" collapsed="false">
      <c r="A679" s="12" t="n">
        <v>42315</v>
      </c>
      <c r="B679" s="13" t="n">
        <v>280264.244465276</v>
      </c>
      <c r="C679" s="13" t="n">
        <v>306935.160395814</v>
      </c>
      <c r="D679" s="13" t="n">
        <v>7987</v>
      </c>
      <c r="E679" s="14" t="n">
        <v>35.0900518924848</v>
      </c>
      <c r="F679" s="14" t="n">
        <v>38.4293427314152</v>
      </c>
      <c r="G679" s="13" t="n">
        <v>-26670.9159305373</v>
      </c>
      <c r="H679" s="15" t="n">
        <v>-0.0951634625437984</v>
      </c>
      <c r="I679" s="15" t="n">
        <v>-0.0951634625437985</v>
      </c>
      <c r="J679" s="16" t="n">
        <v>2015</v>
      </c>
      <c r="K679" s="16" t="n">
        <v>11</v>
      </c>
      <c r="L679" s="16" t="n">
        <v>45</v>
      </c>
      <c r="M679" s="16" t="s">
        <v>37</v>
      </c>
      <c r="N679" s="17" t="b">
        <f aca="false">TRUE()</f>
        <v>1</v>
      </c>
      <c r="O679" s="14" t="n">
        <v>36.4824769733527</v>
      </c>
      <c r="P679" s="13" t="n">
        <v>5559.35714285714</v>
      </c>
      <c r="Q679" s="15" t="n">
        <v>-0.0381669556561338</v>
      </c>
      <c r="R679" s="15" t="n">
        <v>0.436676902519562</v>
      </c>
      <c r="S679" s="17" t="b">
        <f aca="false">FALSE()</f>
        <v>0</v>
      </c>
    </row>
    <row r="680" customFormat="false" ht="15" hidden="false" customHeight="true" outlineLevel="0" collapsed="false">
      <c r="A680" s="12" t="n">
        <v>42316</v>
      </c>
      <c r="B680" s="13" t="n">
        <v>134136.72870995</v>
      </c>
      <c r="C680" s="13" t="n">
        <v>140236.303300135</v>
      </c>
      <c r="D680" s="13" t="n">
        <v>3640</v>
      </c>
      <c r="E680" s="14" t="n">
        <v>36.8507496455906</v>
      </c>
      <c r="F680" s="14" t="n">
        <v>38.5264569505865</v>
      </c>
      <c r="G680" s="13" t="n">
        <v>-6099.57459018496</v>
      </c>
      <c r="H680" s="15" t="n">
        <v>-0.0454728145590486</v>
      </c>
      <c r="I680" s="15" t="n">
        <v>-0.0454728145590486</v>
      </c>
      <c r="J680" s="16" t="n">
        <v>2015</v>
      </c>
      <c r="K680" s="16" t="n">
        <v>11</v>
      </c>
      <c r="L680" s="16" t="n">
        <v>45</v>
      </c>
      <c r="M680" s="16" t="s">
        <v>38</v>
      </c>
      <c r="N680" s="17" t="b">
        <f aca="false">TRUE()</f>
        <v>1</v>
      </c>
      <c r="O680" s="14" t="n">
        <v>36.3579750962387</v>
      </c>
      <c r="P680" s="13" t="n">
        <v>5639</v>
      </c>
      <c r="Q680" s="15" t="n">
        <v>0.0135534101678538</v>
      </c>
      <c r="R680" s="15" t="n">
        <v>-0.354495477921617</v>
      </c>
      <c r="S680" s="17" t="b">
        <f aca="false">FALSE()</f>
        <v>0</v>
      </c>
    </row>
    <row r="681" customFormat="false" ht="15" hidden="false" customHeight="true" outlineLevel="0" collapsed="false">
      <c r="A681" s="12" t="n">
        <v>42317</v>
      </c>
      <c r="B681" s="13" t="n">
        <v>94243.4655279336</v>
      </c>
      <c r="C681" s="13" t="n">
        <v>89949.3041718773</v>
      </c>
      <c r="D681" s="13" t="n">
        <v>2338</v>
      </c>
      <c r="E681" s="14" t="n">
        <v>40.3094377792701</v>
      </c>
      <c r="F681" s="14" t="n">
        <v>38.4727562753966</v>
      </c>
      <c r="G681" s="13" t="n">
        <v>4294.1613560563</v>
      </c>
      <c r="H681" s="15" t="n">
        <v>0.0455645527464556</v>
      </c>
      <c r="I681" s="15" t="n">
        <v>0.0455645527464555</v>
      </c>
      <c r="J681" s="16" t="n">
        <v>2015</v>
      </c>
      <c r="K681" s="16" t="n">
        <v>11</v>
      </c>
      <c r="L681" s="16" t="n">
        <v>46</v>
      </c>
      <c r="M681" s="16" t="s">
        <v>32</v>
      </c>
      <c r="N681" s="17" t="b">
        <f aca="false">FALSE()</f>
        <v>0</v>
      </c>
      <c r="O681" s="14" t="n">
        <v>36.3572483506415</v>
      </c>
      <c r="P681" s="13" t="n">
        <v>5669.14285714286</v>
      </c>
      <c r="Q681" s="15" t="n">
        <v>0.108704305411464</v>
      </c>
      <c r="R681" s="15" t="n">
        <v>-0.587591976615261</v>
      </c>
      <c r="S681" s="17" t="b">
        <f aca="false">FALSE()</f>
        <v>0</v>
      </c>
    </row>
    <row r="682" customFormat="false" ht="15" hidden="false" customHeight="true" outlineLevel="0" collapsed="false">
      <c r="A682" s="12" t="n">
        <v>42318</v>
      </c>
      <c r="B682" s="13" t="n">
        <v>131436.197854736</v>
      </c>
      <c r="C682" s="13" t="n">
        <v>143823.386440638</v>
      </c>
      <c r="D682" s="13" t="n">
        <v>3744</v>
      </c>
      <c r="E682" s="14" t="n">
        <v>35.1058220765856</v>
      </c>
      <c r="F682" s="14" t="n">
        <v>38.4143660364952</v>
      </c>
      <c r="G682" s="13" t="n">
        <v>-12387.1885859017</v>
      </c>
      <c r="H682" s="15" t="n">
        <v>-0.0942448791739397</v>
      </c>
      <c r="I682" s="15" t="n">
        <v>-0.0942448791739396</v>
      </c>
      <c r="J682" s="16" t="n">
        <v>2015</v>
      </c>
      <c r="K682" s="16" t="n">
        <v>11</v>
      </c>
      <c r="L682" s="16" t="n">
        <v>46</v>
      </c>
      <c r="M682" s="16" t="s">
        <v>33</v>
      </c>
      <c r="N682" s="17" t="b">
        <f aca="false">FALSE()</f>
        <v>0</v>
      </c>
      <c r="O682" s="14" t="n">
        <v>36.6046960480431</v>
      </c>
      <c r="P682" s="13" t="n">
        <v>5597.07142857143</v>
      </c>
      <c r="Q682" s="15" t="n">
        <v>-0.0409475868749272</v>
      </c>
      <c r="R682" s="15" t="n">
        <v>-0.331078752919256</v>
      </c>
      <c r="S682" s="17" t="b">
        <f aca="false">FALSE()</f>
        <v>0</v>
      </c>
    </row>
    <row r="683" customFormat="false" ht="15" hidden="false" customHeight="true" outlineLevel="0" collapsed="false">
      <c r="A683" s="12" t="n">
        <v>42319</v>
      </c>
      <c r="B683" s="13" t="n">
        <v>147893.941470976</v>
      </c>
      <c r="C683" s="13" t="n">
        <v>161665.600554416</v>
      </c>
      <c r="D683" s="13" t="n">
        <v>4216</v>
      </c>
      <c r="E683" s="14" t="n">
        <v>35.0792081287895</v>
      </c>
      <c r="F683" s="14" t="n">
        <v>38.3457306817874</v>
      </c>
      <c r="G683" s="13" t="n">
        <v>-13771.6590834392</v>
      </c>
      <c r="H683" s="15" t="n">
        <v>-0.0931184803546654</v>
      </c>
      <c r="I683" s="15" t="n">
        <v>-0.0931184803546656</v>
      </c>
      <c r="J683" s="16" t="n">
        <v>2015</v>
      </c>
      <c r="K683" s="16" t="n">
        <v>11</v>
      </c>
      <c r="L683" s="16" t="n">
        <v>46</v>
      </c>
      <c r="M683" s="16" t="s">
        <v>34</v>
      </c>
      <c r="N683" s="17" t="b">
        <f aca="false">FALSE()</f>
        <v>0</v>
      </c>
      <c r="O683" s="14" t="n">
        <v>36.4805879389085</v>
      </c>
      <c r="P683" s="13" t="n">
        <v>5637.57142857143</v>
      </c>
      <c r="Q683" s="15" t="n">
        <v>-0.03841439760965</v>
      </c>
      <c r="R683" s="15" t="n">
        <v>-0.252160251374705</v>
      </c>
      <c r="S683" s="17" t="b">
        <f aca="false">FALSE()</f>
        <v>0</v>
      </c>
    </row>
    <row r="684" customFormat="false" ht="15" hidden="false" customHeight="true" outlineLevel="0" collapsed="false">
      <c r="A684" s="12" t="n">
        <v>42320</v>
      </c>
      <c r="B684" s="13" t="n">
        <v>140238.390510471</v>
      </c>
      <c r="C684" s="13" t="n">
        <v>153481.453397303</v>
      </c>
      <c r="D684" s="13" t="n">
        <v>4000</v>
      </c>
      <c r="E684" s="14" t="n">
        <v>35.0595976276179</v>
      </c>
      <c r="F684" s="14" t="n">
        <v>38.3703633493257</v>
      </c>
      <c r="G684" s="13" t="n">
        <v>-13243.0628868312</v>
      </c>
      <c r="H684" s="15" t="n">
        <v>-0.0944325076651701</v>
      </c>
      <c r="I684" s="15" t="n">
        <v>-0.0944325076651701</v>
      </c>
      <c r="J684" s="16" t="n">
        <v>2015</v>
      </c>
      <c r="K684" s="16" t="n">
        <v>11</v>
      </c>
      <c r="L684" s="16" t="n">
        <v>46</v>
      </c>
      <c r="M684" s="16" t="s">
        <v>35</v>
      </c>
      <c r="N684" s="17" t="b">
        <f aca="false">FALSE()</f>
        <v>0</v>
      </c>
      <c r="O684" s="14" t="n">
        <v>36.4755283968863</v>
      </c>
      <c r="P684" s="13" t="n">
        <v>5615</v>
      </c>
      <c r="Q684" s="15" t="n">
        <v>-0.0388186499688728</v>
      </c>
      <c r="R684" s="15" t="n">
        <v>-0.287622439893143</v>
      </c>
      <c r="S684" s="17" t="b">
        <f aca="false">FALSE()</f>
        <v>0</v>
      </c>
    </row>
    <row r="685" customFormat="false" ht="15" hidden="false" customHeight="true" outlineLevel="0" collapsed="false">
      <c r="A685" s="12" t="n">
        <v>42321</v>
      </c>
      <c r="B685" s="13" t="n">
        <v>358183.774004685</v>
      </c>
      <c r="C685" s="13" t="n">
        <v>391310.320684937</v>
      </c>
      <c r="D685" s="13" t="n">
        <v>10204</v>
      </c>
      <c r="E685" s="14" t="n">
        <v>35.1022906707845</v>
      </c>
      <c r="F685" s="14" t="n">
        <v>38.3487182168696</v>
      </c>
      <c r="G685" s="13" t="n">
        <v>-33126.5466802519</v>
      </c>
      <c r="H685" s="15" t="n">
        <v>-0.0924847776041876</v>
      </c>
      <c r="I685" s="15" t="n">
        <v>-0.0924847776041876</v>
      </c>
      <c r="J685" s="16" t="n">
        <v>2015</v>
      </c>
      <c r="K685" s="16" t="n">
        <v>11</v>
      </c>
      <c r="L685" s="16" t="n">
        <v>46</v>
      </c>
      <c r="M685" s="16" t="s">
        <v>36</v>
      </c>
      <c r="N685" s="17" t="b">
        <f aca="false">FALSE()</f>
        <v>0</v>
      </c>
      <c r="O685" s="14" t="n">
        <v>36.3479727985958</v>
      </c>
      <c r="P685" s="13" t="n">
        <v>5669.92857142857</v>
      </c>
      <c r="Q685" s="15" t="n">
        <v>-0.0342710206897548</v>
      </c>
      <c r="R685" s="15" t="n">
        <v>0.799669937892894</v>
      </c>
      <c r="S685" s="17" t="b">
        <f aca="false">FALSE()</f>
        <v>0</v>
      </c>
    </row>
    <row r="686" customFormat="false" ht="15" hidden="false" customHeight="true" outlineLevel="0" collapsed="false">
      <c r="A686" s="12" t="n">
        <v>42322</v>
      </c>
      <c r="B686" s="13" t="n">
        <v>377937.138697473</v>
      </c>
      <c r="C686" s="13" t="n">
        <v>413010.22904513</v>
      </c>
      <c r="D686" s="13" t="n">
        <v>10769</v>
      </c>
      <c r="E686" s="14" t="n">
        <v>35.094914912942</v>
      </c>
      <c r="F686" s="14" t="n">
        <v>38.3517716635834</v>
      </c>
      <c r="G686" s="13" t="n">
        <v>-35073.0903476569</v>
      </c>
      <c r="H686" s="15" t="n">
        <v>-0.0928013861472657</v>
      </c>
      <c r="I686" s="15" t="n">
        <v>-0.0928013861472656</v>
      </c>
      <c r="J686" s="16" t="n">
        <v>2015</v>
      </c>
      <c r="K686" s="16" t="n">
        <v>11</v>
      </c>
      <c r="L686" s="16" t="n">
        <v>46</v>
      </c>
      <c r="M686" s="16" t="s">
        <v>37</v>
      </c>
      <c r="N686" s="17" t="b">
        <f aca="false">TRUE()</f>
        <v>1</v>
      </c>
      <c r="O686" s="14" t="n">
        <v>36.2213382368814</v>
      </c>
      <c r="P686" s="13" t="n">
        <v>5846.57142857143</v>
      </c>
      <c r="Q686" s="15" t="n">
        <v>-0.0310983353672011</v>
      </c>
      <c r="R686" s="15" t="n">
        <v>0.841934222743488</v>
      </c>
      <c r="S686" s="17" t="b">
        <f aca="false">FALSE()</f>
        <v>0</v>
      </c>
    </row>
    <row r="687" customFormat="false" ht="15" hidden="false" customHeight="true" outlineLevel="0" collapsed="false">
      <c r="A687" s="12" t="n">
        <v>42323</v>
      </c>
      <c r="B687" s="13" t="n">
        <v>168729.962403209</v>
      </c>
      <c r="C687" s="13" t="n">
        <v>184673.488505802</v>
      </c>
      <c r="D687" s="13" t="n">
        <v>4803</v>
      </c>
      <c r="E687" s="14" t="n">
        <v>35.1301191761834</v>
      </c>
      <c r="F687" s="14" t="n">
        <v>38.4496124309395</v>
      </c>
      <c r="G687" s="13" t="n">
        <v>-15943.5261025935</v>
      </c>
      <c r="H687" s="15" t="n">
        <v>-0.0944913747120605</v>
      </c>
      <c r="I687" s="15" t="n">
        <v>-0.0944913747120605</v>
      </c>
      <c r="J687" s="16" t="n">
        <v>2015</v>
      </c>
      <c r="K687" s="16" t="n">
        <v>11</v>
      </c>
      <c r="L687" s="16" t="n">
        <v>46</v>
      </c>
      <c r="M687" s="16" t="s">
        <v>38</v>
      </c>
      <c r="N687" s="17" t="b">
        <f aca="false">TRUE()</f>
        <v>1</v>
      </c>
      <c r="O687" s="14" t="n">
        <v>36.2186593378214</v>
      </c>
      <c r="P687" s="13" t="n">
        <v>5819.5</v>
      </c>
      <c r="Q687" s="15" t="n">
        <v>-0.0300546784872641</v>
      </c>
      <c r="R687" s="15" t="n">
        <v>-0.174671363519203</v>
      </c>
      <c r="S687" s="17" t="b">
        <f aca="false">FALSE()</f>
        <v>0</v>
      </c>
    </row>
    <row r="688" customFormat="false" ht="15" hidden="false" customHeight="true" outlineLevel="0" collapsed="false">
      <c r="A688" s="12" t="n">
        <v>42324</v>
      </c>
      <c r="B688" s="13" t="n">
        <v>177192.56981712</v>
      </c>
      <c r="C688" s="13" t="n">
        <v>193615.30370473</v>
      </c>
      <c r="D688" s="13" t="n">
        <v>5042</v>
      </c>
      <c r="E688" s="14" t="n">
        <v>35.143310158096</v>
      </c>
      <c r="F688" s="14" t="n">
        <v>38.40049656976</v>
      </c>
      <c r="G688" s="13" t="n">
        <v>-16422.7338876097</v>
      </c>
      <c r="H688" s="15" t="n">
        <v>-0.0926829714392628</v>
      </c>
      <c r="I688" s="15" t="n">
        <v>-0.0926829714392629</v>
      </c>
      <c r="J688" s="16" t="n">
        <v>2015</v>
      </c>
      <c r="K688" s="16" t="n">
        <v>11</v>
      </c>
      <c r="L688" s="16" t="n">
        <v>47</v>
      </c>
      <c r="M688" s="16" t="s">
        <v>32</v>
      </c>
      <c r="N688" s="17" t="b">
        <f aca="false">FALSE()</f>
        <v>0</v>
      </c>
      <c r="O688" s="14" t="n">
        <v>36.0962835011552</v>
      </c>
      <c r="P688" s="13" t="n">
        <v>5629.78571428572</v>
      </c>
      <c r="Q688" s="15" t="n">
        <v>-0.0264008715198814</v>
      </c>
      <c r="R688" s="15" t="n">
        <v>-0.104406409784691</v>
      </c>
      <c r="S688" s="17" t="b">
        <f aca="false">FALSE()</f>
        <v>0</v>
      </c>
    </row>
    <row r="689" customFormat="false" ht="15" hidden="false" customHeight="true" outlineLevel="0" collapsed="false">
      <c r="A689" s="12" t="n">
        <v>42325</v>
      </c>
      <c r="B689" s="13" t="n">
        <v>152368.749092446</v>
      </c>
      <c r="C689" s="13" t="n">
        <v>166625.365017798</v>
      </c>
      <c r="D689" s="13" t="n">
        <v>4342</v>
      </c>
      <c r="E689" s="14" t="n">
        <v>35.0918353506325</v>
      </c>
      <c r="F689" s="14" t="n">
        <v>38.375256798203</v>
      </c>
      <c r="G689" s="13" t="n">
        <v>-14256.6159253512</v>
      </c>
      <c r="H689" s="15" t="n">
        <v>-0.0935665352000844</v>
      </c>
      <c r="I689" s="15" t="n">
        <v>-0.0935665352000845</v>
      </c>
      <c r="J689" s="16" t="n">
        <v>2015</v>
      </c>
      <c r="K689" s="16" t="n">
        <v>11</v>
      </c>
      <c r="L689" s="16" t="n">
        <v>47</v>
      </c>
      <c r="M689" s="16" t="s">
        <v>33</v>
      </c>
      <c r="N689" s="17" t="b">
        <f aca="false">FALSE()</f>
        <v>0</v>
      </c>
      <c r="O689" s="14" t="n">
        <v>35.9747634862726</v>
      </c>
      <c r="P689" s="13" t="n">
        <v>5467.35714285714</v>
      </c>
      <c r="Q689" s="15" t="n">
        <v>-0.0245429865293491</v>
      </c>
      <c r="R689" s="15" t="n">
        <v>-0.205832015991012</v>
      </c>
      <c r="S689" s="17" t="b">
        <f aca="false">FALSE()</f>
        <v>0</v>
      </c>
    </row>
    <row r="690" customFormat="false" ht="15" hidden="false" customHeight="true" outlineLevel="0" collapsed="false">
      <c r="A690" s="12" t="n">
        <v>42326</v>
      </c>
      <c r="B690" s="13" t="n">
        <v>147471.804919516</v>
      </c>
      <c r="C690" s="13" t="n">
        <v>161402.91869953</v>
      </c>
      <c r="D690" s="13" t="n">
        <v>4202</v>
      </c>
      <c r="E690" s="14" t="n">
        <v>35.0956223035498</v>
      </c>
      <c r="F690" s="14" t="n">
        <v>38.4109754163566</v>
      </c>
      <c r="G690" s="13" t="n">
        <v>-13931.1137800139</v>
      </c>
      <c r="H690" s="15" t="n">
        <v>-0.0944662865394294</v>
      </c>
      <c r="I690" s="15" t="n">
        <v>-0.0944662865394293</v>
      </c>
      <c r="J690" s="16" t="n">
        <v>2015</v>
      </c>
      <c r="K690" s="16" t="n">
        <v>11</v>
      </c>
      <c r="L690" s="16" t="n">
        <v>47</v>
      </c>
      <c r="M690" s="16" t="s">
        <v>34</v>
      </c>
      <c r="N690" s="17" t="b">
        <f aca="false">FALSE()</f>
        <v>0</v>
      </c>
      <c r="O690" s="14" t="n">
        <v>35.8495135945189</v>
      </c>
      <c r="P690" s="13" t="n">
        <v>5405.28571428572</v>
      </c>
      <c r="Q690" s="15" t="n">
        <v>-0.0210293310948662</v>
      </c>
      <c r="R690" s="15" t="n">
        <v>-0.222612786425985</v>
      </c>
      <c r="S690" s="17" t="b">
        <f aca="false">FALSE()</f>
        <v>0</v>
      </c>
    </row>
    <row r="691" customFormat="false" ht="15" hidden="false" customHeight="true" outlineLevel="0" collapsed="false">
      <c r="A691" s="12" t="n">
        <v>42327</v>
      </c>
      <c r="B691" s="13" t="n">
        <v>145697.151982356</v>
      </c>
      <c r="C691" s="13" t="n">
        <v>159317.609394273</v>
      </c>
      <c r="D691" s="13" t="n">
        <v>4151</v>
      </c>
      <c r="E691" s="14" t="n">
        <v>35.099289805434</v>
      </c>
      <c r="F691" s="14" t="n">
        <v>38.3805370740239</v>
      </c>
      <c r="G691" s="13" t="n">
        <v>-13620.4574119166</v>
      </c>
      <c r="H691" s="15" t="n">
        <v>-0.09348471968461</v>
      </c>
      <c r="I691" s="15" t="n">
        <v>-0.0934847196846101</v>
      </c>
      <c r="J691" s="16" t="n">
        <v>2015</v>
      </c>
      <c r="K691" s="16" t="n">
        <v>11</v>
      </c>
      <c r="L691" s="16" t="n">
        <v>47</v>
      </c>
      <c r="M691" s="16" t="s">
        <v>35</v>
      </c>
      <c r="N691" s="17" t="b">
        <f aca="false">FALSE()</f>
        <v>0</v>
      </c>
      <c r="O691" s="14" t="n">
        <v>35.8465874590232</v>
      </c>
      <c r="P691" s="13" t="n">
        <v>5296.07142857143</v>
      </c>
      <c r="Q691" s="15" t="n">
        <v>-0.0208471072579369</v>
      </c>
      <c r="R691" s="15" t="n">
        <v>-0.216211477510284</v>
      </c>
      <c r="S691" s="17" t="b">
        <f aca="false">FALSE()</f>
        <v>0</v>
      </c>
    </row>
    <row r="692" customFormat="false" ht="15" hidden="false" customHeight="true" outlineLevel="0" collapsed="false">
      <c r="A692" s="12" t="n">
        <v>42328</v>
      </c>
      <c r="B692" s="13" t="n">
        <v>301033.986512722</v>
      </c>
      <c r="C692" s="13" t="n">
        <v>328965.14326488</v>
      </c>
      <c r="D692" s="13" t="n">
        <v>8567</v>
      </c>
      <c r="E692" s="14" t="n">
        <v>35.1387867996641</v>
      </c>
      <c r="F692" s="14" t="n">
        <v>38.3991062524664</v>
      </c>
      <c r="G692" s="13" t="n">
        <v>-27931.1567521573</v>
      </c>
      <c r="H692" s="15" t="n">
        <v>-0.092784064270354</v>
      </c>
      <c r="I692" s="15" t="n">
        <v>-0.092784064270354</v>
      </c>
      <c r="J692" s="16" t="n">
        <v>2015</v>
      </c>
      <c r="K692" s="16" t="n">
        <v>11</v>
      </c>
      <c r="L692" s="16" t="n">
        <v>47</v>
      </c>
      <c r="M692" s="16" t="s">
        <v>36</v>
      </c>
      <c r="N692" s="17" t="b">
        <f aca="false">FALSE()</f>
        <v>0</v>
      </c>
      <c r="O692" s="14" t="n">
        <v>35.7215847504863</v>
      </c>
      <c r="P692" s="13" t="n">
        <v>5375.71428571429</v>
      </c>
      <c r="Q692" s="15" t="n">
        <v>-0.0163150082756119</v>
      </c>
      <c r="R692" s="15" t="n">
        <v>0.593648684560192</v>
      </c>
      <c r="S692" s="17" t="b">
        <f aca="false">FALSE()</f>
        <v>0</v>
      </c>
    </row>
    <row r="693" customFormat="false" ht="15" hidden="false" customHeight="true" outlineLevel="0" collapsed="false">
      <c r="A693" s="12" t="n">
        <v>42329</v>
      </c>
      <c r="B693" s="13" t="n">
        <v>309518.072071285</v>
      </c>
      <c r="C693" s="13" t="n">
        <v>338720.023625986</v>
      </c>
      <c r="D693" s="13" t="n">
        <v>8811</v>
      </c>
      <c r="E693" s="14" t="n">
        <v>35.1285974431148</v>
      </c>
      <c r="F693" s="14" t="n">
        <v>38.4428582029265</v>
      </c>
      <c r="G693" s="13" t="n">
        <v>-29201.9515547009</v>
      </c>
      <c r="H693" s="15" t="n">
        <v>-0.0943465154046817</v>
      </c>
      <c r="I693" s="15" t="n">
        <v>-0.0943465154046817</v>
      </c>
      <c r="J693" s="16" t="n">
        <v>2015</v>
      </c>
      <c r="K693" s="16" t="n">
        <v>11</v>
      </c>
      <c r="L693" s="16" t="n">
        <v>47</v>
      </c>
      <c r="M693" s="16" t="s">
        <v>37</v>
      </c>
      <c r="N693" s="17" t="b">
        <f aca="false">TRUE()</f>
        <v>1</v>
      </c>
      <c r="O693" s="14" t="n">
        <v>35.5993597376875</v>
      </c>
      <c r="P693" s="13" t="n">
        <v>5571.78571428572</v>
      </c>
      <c r="Q693" s="15" t="n">
        <v>-0.0132238977903378</v>
      </c>
      <c r="R693" s="15" t="n">
        <v>0.581360169219922</v>
      </c>
      <c r="S693" s="17" t="b">
        <f aca="false">FALSE()</f>
        <v>0</v>
      </c>
    </row>
    <row r="694" customFormat="false" ht="15" hidden="false" customHeight="true" outlineLevel="0" collapsed="false">
      <c r="A694" s="12" t="n">
        <v>42330</v>
      </c>
      <c r="B694" s="13" t="n">
        <v>152504.631727354</v>
      </c>
      <c r="C694" s="13" t="n">
        <v>167600.650935746</v>
      </c>
      <c r="D694" s="13" t="n">
        <v>4345</v>
      </c>
      <c r="E694" s="14" t="n">
        <v>35.0988795690113</v>
      </c>
      <c r="F694" s="14" t="n">
        <v>38.5732223097229</v>
      </c>
      <c r="G694" s="13" t="n">
        <v>-15096.0192083921</v>
      </c>
      <c r="H694" s="15" t="n">
        <v>-0.0989872834510403</v>
      </c>
      <c r="I694" s="15" t="n">
        <v>-0.0989872834510404</v>
      </c>
      <c r="J694" s="16" t="n">
        <v>2015</v>
      </c>
      <c r="K694" s="16" t="n">
        <v>11</v>
      </c>
      <c r="L694" s="16" t="n">
        <v>47</v>
      </c>
      <c r="M694" s="16" t="s">
        <v>38</v>
      </c>
      <c r="N694" s="17" t="b">
        <f aca="false">TRUE()</f>
        <v>1</v>
      </c>
      <c r="O694" s="14" t="n">
        <v>35.6021129913039</v>
      </c>
      <c r="P694" s="13" t="n">
        <v>5630.64285714286</v>
      </c>
      <c r="Q694" s="15" t="n">
        <v>-0.014134931328811</v>
      </c>
      <c r="R694" s="15" t="n">
        <v>-0.22832967562699</v>
      </c>
      <c r="S694" s="17" t="b">
        <f aca="false">FALSE()</f>
        <v>0</v>
      </c>
    </row>
    <row r="695" customFormat="false" ht="15" hidden="false" customHeight="true" outlineLevel="0" collapsed="false">
      <c r="A695" s="12" t="n">
        <v>42331</v>
      </c>
      <c r="B695" s="13" t="n">
        <v>79711.5834141005</v>
      </c>
      <c r="C695" s="13" t="n">
        <v>74375.788707865</v>
      </c>
      <c r="D695" s="13" t="n">
        <v>1937</v>
      </c>
      <c r="E695" s="14" t="n">
        <v>41.152082299484</v>
      </c>
      <c r="F695" s="14" t="n">
        <v>38.3974128589907</v>
      </c>
      <c r="G695" s="13" t="n">
        <v>5335.79470623552</v>
      </c>
      <c r="H695" s="15" t="n">
        <v>0.0669387619427424</v>
      </c>
      <c r="I695" s="15" t="n">
        <v>0.0669387619427424</v>
      </c>
      <c r="J695" s="16" t="n">
        <v>2015</v>
      </c>
      <c r="K695" s="16" t="n">
        <v>11</v>
      </c>
      <c r="L695" s="16" t="n">
        <v>48</v>
      </c>
      <c r="M695" s="16" t="s">
        <v>32</v>
      </c>
      <c r="N695" s="17" t="b">
        <f aca="false">FALSE()</f>
        <v>0</v>
      </c>
      <c r="O695" s="14" t="n">
        <v>35.4769794144054</v>
      </c>
      <c r="P695" s="13" t="n">
        <v>5681</v>
      </c>
      <c r="Q695" s="15" t="n">
        <v>0.159965785665908</v>
      </c>
      <c r="R695" s="15" t="n">
        <v>-0.659038901601831</v>
      </c>
      <c r="S695" s="17" t="b">
        <f aca="false">FALSE()</f>
        <v>0</v>
      </c>
    </row>
    <row r="696" customFormat="false" ht="15" hidden="false" customHeight="true" outlineLevel="0" collapsed="false">
      <c r="A696" s="12" t="n">
        <v>42332</v>
      </c>
      <c r="B696" s="13" t="n">
        <v>111021.379113999</v>
      </c>
      <c r="C696" s="13" t="n">
        <v>121456.524019197</v>
      </c>
      <c r="D696" s="13" t="n">
        <v>3160</v>
      </c>
      <c r="E696" s="14" t="n">
        <v>35.1333478208857</v>
      </c>
      <c r="F696" s="14" t="n">
        <v>38.4356088668346</v>
      </c>
      <c r="G696" s="13" t="n">
        <v>-10435.1449051987</v>
      </c>
      <c r="H696" s="15" t="n">
        <v>-0.0939922111261447</v>
      </c>
      <c r="I696" s="15" t="n">
        <v>-0.0939922111261447</v>
      </c>
      <c r="J696" s="16" t="n">
        <v>2015</v>
      </c>
      <c r="K696" s="16" t="n">
        <v>11</v>
      </c>
      <c r="L696" s="16" t="n">
        <v>48</v>
      </c>
      <c r="M696" s="16" t="s">
        <v>33</v>
      </c>
      <c r="N696" s="17" t="b">
        <f aca="false">FALSE()</f>
        <v>0</v>
      </c>
      <c r="O696" s="14" t="n">
        <v>35.5371683087064</v>
      </c>
      <c r="P696" s="13" t="n">
        <v>5652.35714285714</v>
      </c>
      <c r="Q696" s="15" t="n">
        <v>-0.0113633276661999</v>
      </c>
      <c r="R696" s="15" t="n">
        <v>-0.440941200257794</v>
      </c>
      <c r="S696" s="17" t="b">
        <f aca="false">FALSE()</f>
        <v>0</v>
      </c>
    </row>
    <row r="697" customFormat="false" ht="15" hidden="false" customHeight="true" outlineLevel="0" collapsed="false">
      <c r="A697" s="12" t="n">
        <v>42333</v>
      </c>
      <c r="B697" s="13" t="n">
        <v>243161.259233289</v>
      </c>
      <c r="C697" s="13" t="n">
        <v>266054.369856793</v>
      </c>
      <c r="D697" s="13" t="n">
        <v>6924</v>
      </c>
      <c r="E697" s="14" t="n">
        <v>35.1186105189614</v>
      </c>
      <c r="F697" s="14" t="n">
        <v>38.4249523190053</v>
      </c>
      <c r="G697" s="13" t="n">
        <v>-22893.110623504</v>
      </c>
      <c r="H697" s="15" t="n">
        <v>-0.0941478535507188</v>
      </c>
      <c r="I697" s="15" t="n">
        <v>-0.0941478535507188</v>
      </c>
      <c r="J697" s="16" t="n">
        <v>2015</v>
      </c>
      <c r="K697" s="16" t="n">
        <v>11</v>
      </c>
      <c r="L697" s="16" t="n">
        <v>48</v>
      </c>
      <c r="M697" s="16" t="s">
        <v>34</v>
      </c>
      <c r="N697" s="17" t="b">
        <f aca="false">FALSE()</f>
        <v>0</v>
      </c>
      <c r="O697" s="14" t="n">
        <v>35.5391344332993</v>
      </c>
      <c r="P697" s="13" t="n">
        <v>5610.64285714286</v>
      </c>
      <c r="Q697" s="15" t="n">
        <v>-0.0118326999529798</v>
      </c>
      <c r="R697" s="15" t="n">
        <v>0.234083183745178</v>
      </c>
      <c r="S697" s="17" t="b">
        <f aca="false">FALSE()</f>
        <v>0</v>
      </c>
    </row>
    <row r="698" customFormat="false" ht="15" hidden="false" customHeight="true" outlineLevel="0" collapsed="false">
      <c r="A698" s="12" t="n">
        <v>42334</v>
      </c>
      <c r="B698" s="13" t="n">
        <v>311443.181231897</v>
      </c>
      <c r="C698" s="13" t="n">
        <v>355343.871840907</v>
      </c>
      <c r="D698" s="13" t="n">
        <v>9273</v>
      </c>
      <c r="E698" s="14" t="n">
        <v>33.5860219165208</v>
      </c>
      <c r="F698" s="14" t="n">
        <v>38.3202708768367</v>
      </c>
      <c r="G698" s="13" t="n">
        <v>-43900.6906090097</v>
      </c>
      <c r="H698" s="15" t="n">
        <v>-0.14095890760993</v>
      </c>
      <c r="I698" s="15" t="n">
        <v>-0.14095890760993</v>
      </c>
      <c r="J698" s="16" t="n">
        <v>2015</v>
      </c>
      <c r="K698" s="16" t="n">
        <v>11</v>
      </c>
      <c r="L698" s="16" t="n">
        <v>48</v>
      </c>
      <c r="M698" s="16" t="s">
        <v>35</v>
      </c>
      <c r="N698" s="17" t="b">
        <f aca="false">FALSE()</f>
        <v>0</v>
      </c>
      <c r="O698" s="14" t="n">
        <v>35.5419488897401</v>
      </c>
      <c r="P698" s="13" t="n">
        <v>5804.07142857143</v>
      </c>
      <c r="Q698" s="15" t="n">
        <v>-0.0550315059899236</v>
      </c>
      <c r="R698" s="15" t="n">
        <v>0.597671585217274</v>
      </c>
      <c r="S698" s="17" t="b">
        <f aca="false">TRUE()</f>
        <v>1</v>
      </c>
    </row>
    <row r="699" customFormat="false" ht="15" hidden="false" customHeight="true" outlineLevel="0" collapsed="false">
      <c r="A699" s="12" t="n">
        <v>42335</v>
      </c>
      <c r="B699" s="13" t="n">
        <v>375876.013421953</v>
      </c>
      <c r="C699" s="13" t="n">
        <v>431325.686693676</v>
      </c>
      <c r="D699" s="13" t="n">
        <v>11257</v>
      </c>
      <c r="E699" s="14" t="n">
        <v>33.3904249286624</v>
      </c>
      <c r="F699" s="14" t="n">
        <v>38.3162198359844</v>
      </c>
      <c r="G699" s="13" t="n">
        <v>-55449.6732717238</v>
      </c>
      <c r="H699" s="15" t="n">
        <v>-0.147521180633245</v>
      </c>
      <c r="I699" s="15" t="n">
        <v>-0.147521180633245</v>
      </c>
      <c r="J699" s="16" t="n">
        <v>2015</v>
      </c>
      <c r="K699" s="16" t="n">
        <v>11</v>
      </c>
      <c r="L699" s="16" t="n">
        <v>48</v>
      </c>
      <c r="M699" s="16" t="s">
        <v>36</v>
      </c>
      <c r="N699" s="17" t="b">
        <f aca="false">FALSE()</f>
        <v>0</v>
      </c>
      <c r="O699" s="14" t="n">
        <v>35.4366934818046</v>
      </c>
      <c r="P699" s="13" t="n">
        <v>6180.71428571429</v>
      </c>
      <c r="Q699" s="15" t="n">
        <v>-0.0577443421518117</v>
      </c>
      <c r="R699" s="15" t="n">
        <v>0.821310528140529</v>
      </c>
      <c r="S699" s="17" t="b">
        <f aca="false">TRUE()</f>
        <v>1</v>
      </c>
    </row>
    <row r="700" customFormat="false" ht="15" hidden="false" customHeight="true" outlineLevel="0" collapsed="false">
      <c r="A700" s="12" t="n">
        <v>42336</v>
      </c>
      <c r="B700" s="13" t="n">
        <v>434639.658995269</v>
      </c>
      <c r="C700" s="13" t="n">
        <v>498895.618645356</v>
      </c>
      <c r="D700" s="13" t="n">
        <v>13019</v>
      </c>
      <c r="E700" s="14" t="n">
        <v>33.385026422557</v>
      </c>
      <c r="F700" s="14" t="n">
        <v>38.3205790494935</v>
      </c>
      <c r="G700" s="13" t="n">
        <v>-64255.9596500862</v>
      </c>
      <c r="H700" s="15" t="n">
        <v>-0.147837313784533</v>
      </c>
      <c r="I700" s="15" t="n">
        <v>-0.147837313784534</v>
      </c>
      <c r="J700" s="16" t="n">
        <v>2015</v>
      </c>
      <c r="K700" s="16" t="n">
        <v>11</v>
      </c>
      <c r="L700" s="16" t="n">
        <v>48</v>
      </c>
      <c r="M700" s="16" t="s">
        <v>37</v>
      </c>
      <c r="N700" s="17" t="b">
        <f aca="false">TRUE()</f>
        <v>1</v>
      </c>
      <c r="O700" s="14" t="n">
        <v>35.3144173573673</v>
      </c>
      <c r="P700" s="13" t="n">
        <v>6255.92857142857</v>
      </c>
      <c r="Q700" s="15" t="n">
        <v>-0.0546346529035348</v>
      </c>
      <c r="R700" s="15" t="n">
        <v>1.0810659602891</v>
      </c>
      <c r="S700" s="17" t="b">
        <f aca="false">TRUE()</f>
        <v>1</v>
      </c>
    </row>
    <row r="701" customFormat="false" ht="15" hidden="false" customHeight="true" outlineLevel="0" collapsed="false">
      <c r="A701" s="12" t="n">
        <v>42337</v>
      </c>
      <c r="B701" s="13" t="n">
        <v>238637.816355456</v>
      </c>
      <c r="C701" s="13" t="n">
        <v>274093.57795912</v>
      </c>
      <c r="D701" s="13" t="n">
        <v>7139</v>
      </c>
      <c r="E701" s="14" t="n">
        <v>33.4273450560942</v>
      </c>
      <c r="F701" s="14" t="n">
        <v>38.3938335844123</v>
      </c>
      <c r="G701" s="13" t="n">
        <v>-35455.7616036632</v>
      </c>
      <c r="H701" s="15" t="n">
        <v>-0.148575620348667</v>
      </c>
      <c r="I701" s="15" t="n">
        <v>-0.148575620348667</v>
      </c>
      <c r="J701" s="16" t="n">
        <v>2015</v>
      </c>
      <c r="K701" s="16" t="n">
        <v>11</v>
      </c>
      <c r="L701" s="16" t="n">
        <v>48</v>
      </c>
      <c r="M701" s="16" t="s">
        <v>38</v>
      </c>
      <c r="N701" s="17" t="b">
        <f aca="false">TRUE()</f>
        <v>1</v>
      </c>
      <c r="O701" s="14" t="n">
        <v>35.1922824651969</v>
      </c>
      <c r="P701" s="13" t="n">
        <v>6416.64285714286</v>
      </c>
      <c r="Q701" s="15" t="n">
        <v>-0.0501512628755514</v>
      </c>
      <c r="R701" s="15" t="n">
        <v>0.11257555686663</v>
      </c>
      <c r="S701" s="17" t="b">
        <f aca="false">TRUE()</f>
        <v>1</v>
      </c>
    </row>
    <row r="702" customFormat="false" ht="15" hidden="false" customHeight="true" outlineLevel="0" collapsed="false">
      <c r="A702" s="12" t="n">
        <v>42338</v>
      </c>
      <c r="B702" s="13" t="n">
        <v>260653.666963496</v>
      </c>
      <c r="C702" s="13" t="n">
        <v>283981.150688645</v>
      </c>
      <c r="D702" s="13" t="n">
        <v>7423</v>
      </c>
      <c r="E702" s="14" t="n">
        <v>35.114329376734</v>
      </c>
      <c r="F702" s="14" t="n">
        <v>38.256924516859</v>
      </c>
      <c r="G702" s="13" t="n">
        <v>-23327.4837251481</v>
      </c>
      <c r="H702" s="15" t="n">
        <v>-0.0894960888020618</v>
      </c>
      <c r="I702" s="15" t="n">
        <v>-0.0894960888020616</v>
      </c>
      <c r="J702" s="16" t="n">
        <v>2015</v>
      </c>
      <c r="K702" s="16" t="n">
        <v>11</v>
      </c>
      <c r="L702" s="16" t="n">
        <v>49</v>
      </c>
      <c r="M702" s="16" t="s">
        <v>32</v>
      </c>
      <c r="N702" s="17" t="b">
        <f aca="false">FALSE()</f>
        <v>0</v>
      </c>
      <c r="O702" s="14" t="n">
        <v>35.0706557423334</v>
      </c>
      <c r="P702" s="13" t="n">
        <v>6583.5</v>
      </c>
      <c r="Q702" s="15" t="n">
        <v>0.00124530418596797</v>
      </c>
      <c r="R702" s="15" t="n">
        <v>0.127515759094707</v>
      </c>
      <c r="S702" s="17" t="b">
        <f aca="false">FALSE()</f>
        <v>0</v>
      </c>
    </row>
    <row r="703" customFormat="false" ht="15" hidden="false" customHeight="true" outlineLevel="0" collapsed="false">
      <c r="A703" s="12" t="n">
        <v>42339</v>
      </c>
      <c r="B703" s="13" t="n">
        <v>262394.780018279</v>
      </c>
      <c r="C703" s="13" t="n">
        <v>285838.556814769</v>
      </c>
      <c r="D703" s="13" t="n">
        <v>7474</v>
      </c>
      <c r="E703" s="14" t="n">
        <v>35.1076772836873</v>
      </c>
      <c r="F703" s="14" t="n">
        <v>38.2443881207879</v>
      </c>
      <c r="G703" s="13" t="n">
        <v>-23443.7767964903</v>
      </c>
      <c r="H703" s="15" t="n">
        <v>-0.0893454389407332</v>
      </c>
      <c r="I703" s="15" t="n">
        <v>-0.0893454389407333</v>
      </c>
      <c r="J703" s="16" t="n">
        <v>2015</v>
      </c>
      <c r="K703" s="16" t="n">
        <v>12</v>
      </c>
      <c r="L703" s="16" t="n">
        <v>49</v>
      </c>
      <c r="M703" s="16" t="s">
        <v>33</v>
      </c>
      <c r="N703" s="17" t="b">
        <f aca="false">FALSE()</f>
        <v>0</v>
      </c>
      <c r="O703" s="14" t="n">
        <v>35.0685856865219</v>
      </c>
      <c r="P703" s="13" t="n">
        <v>6753.57142857143</v>
      </c>
      <c r="Q703" s="15" t="n">
        <v>0.00111471838399409</v>
      </c>
      <c r="R703" s="15" t="n">
        <v>0.10667371760973</v>
      </c>
      <c r="S703" s="17" t="b">
        <f aca="false">FALSE()</f>
        <v>0</v>
      </c>
    </row>
    <row r="704" customFormat="false" ht="15" hidden="false" customHeight="true" outlineLevel="0" collapsed="false">
      <c r="A704" s="12" t="n">
        <v>42340</v>
      </c>
      <c r="B704" s="13" t="n">
        <v>248437.711301094</v>
      </c>
      <c r="C704" s="13" t="n">
        <v>269807.620439098</v>
      </c>
      <c r="D704" s="13" t="n">
        <v>7056</v>
      </c>
      <c r="E704" s="14" t="n">
        <v>35.2094262048036</v>
      </c>
      <c r="F704" s="14" t="n">
        <v>38.2380414454504</v>
      </c>
      <c r="G704" s="13" t="n">
        <v>-21369.9091380041</v>
      </c>
      <c r="H704" s="15" t="n">
        <v>-0.0860171711697378</v>
      </c>
      <c r="I704" s="15" t="n">
        <v>-0.0860171711697377</v>
      </c>
      <c r="J704" s="16" t="n">
        <v>2015</v>
      </c>
      <c r="K704" s="16" t="n">
        <v>12</v>
      </c>
      <c r="L704" s="16" t="n">
        <v>49</v>
      </c>
      <c r="M704" s="16" t="s">
        <v>34</v>
      </c>
      <c r="N704" s="17" t="b">
        <f aca="false">FALSE()</f>
        <v>0</v>
      </c>
      <c r="O704" s="14" t="n">
        <v>35.0697172531686</v>
      </c>
      <c r="P704" s="13" t="n">
        <v>6977.28571428572</v>
      </c>
      <c r="Q704" s="15" t="n">
        <v>0.00398374901703283</v>
      </c>
      <c r="R704" s="15" t="n">
        <v>0.0112815052926844</v>
      </c>
      <c r="S704" s="17" t="b">
        <f aca="false">FALSE()</f>
        <v>0</v>
      </c>
    </row>
    <row r="705" customFormat="false" ht="15" hidden="false" customHeight="true" outlineLevel="0" collapsed="false">
      <c r="A705" s="12" t="n">
        <v>42341</v>
      </c>
      <c r="B705" s="13" t="n">
        <v>201048.830461674</v>
      </c>
      <c r="C705" s="13" t="n">
        <v>219110.393196454</v>
      </c>
      <c r="D705" s="13" t="n">
        <v>5732</v>
      </c>
      <c r="E705" s="14" t="n">
        <v>35.0748134092244</v>
      </c>
      <c r="F705" s="14" t="n">
        <v>38.2258187711888</v>
      </c>
      <c r="G705" s="13" t="n">
        <v>-18061.5627347802</v>
      </c>
      <c r="H705" s="15" t="n">
        <v>-0.0898366963553327</v>
      </c>
      <c r="I705" s="15" t="n">
        <v>-0.0898366963553326</v>
      </c>
      <c r="J705" s="16" t="n">
        <v>2015</v>
      </c>
      <c r="K705" s="16" t="n">
        <v>12</v>
      </c>
      <c r="L705" s="16" t="n">
        <v>49</v>
      </c>
      <c r="M705" s="16" t="s">
        <v>35</v>
      </c>
      <c r="N705" s="17" t="b">
        <f aca="false">FALSE()</f>
        <v>0</v>
      </c>
      <c r="O705" s="14" t="n">
        <v>35.0778461032582</v>
      </c>
      <c r="P705" s="13" t="n">
        <v>7181.14285714286</v>
      </c>
      <c r="Q705" s="15" t="n">
        <v>-8.64561075072768E-005</v>
      </c>
      <c r="R705" s="15" t="n">
        <v>-0.201798360786186</v>
      </c>
      <c r="S705" s="17" t="b">
        <f aca="false">FALSE()</f>
        <v>0</v>
      </c>
    </row>
    <row r="706" customFormat="false" ht="15" hidden="false" customHeight="true" outlineLevel="0" collapsed="false">
      <c r="A706" s="12" t="n">
        <v>42342</v>
      </c>
      <c r="B706" s="13" t="n">
        <v>317690.760936051</v>
      </c>
      <c r="C706" s="13" t="n">
        <v>345449.529946861</v>
      </c>
      <c r="D706" s="13" t="n">
        <v>9038</v>
      </c>
      <c r="E706" s="14" t="n">
        <v>35.1505599619442</v>
      </c>
      <c r="F706" s="14" t="n">
        <v>38.2218997507038</v>
      </c>
      <c r="G706" s="13" t="n">
        <v>-27758.7690108097</v>
      </c>
      <c r="H706" s="15" t="n">
        <v>-0.0873766959071161</v>
      </c>
      <c r="I706" s="15" t="n">
        <v>-0.0873766959071161</v>
      </c>
      <c r="J706" s="16" t="n">
        <v>2015</v>
      </c>
      <c r="K706" s="16" t="n">
        <v>12</v>
      </c>
      <c r="L706" s="16" t="n">
        <v>49</v>
      </c>
      <c r="M706" s="16" t="s">
        <v>36</v>
      </c>
      <c r="N706" s="17" t="b">
        <f aca="false">FALSE()</f>
        <v>0</v>
      </c>
      <c r="O706" s="14" t="n">
        <v>35.0760977892432</v>
      </c>
      <c r="P706" s="13" t="n">
        <v>7294.07142857143</v>
      </c>
      <c r="Q706" s="15" t="n">
        <v>0.00212287504580369</v>
      </c>
      <c r="R706" s="15" t="n">
        <v>0.239088496528492</v>
      </c>
      <c r="S706" s="17" t="b">
        <f aca="false">FALSE()</f>
        <v>0</v>
      </c>
    </row>
    <row r="707" customFormat="false" ht="15" hidden="false" customHeight="true" outlineLevel="0" collapsed="false">
      <c r="A707" s="12" t="n">
        <v>42343</v>
      </c>
      <c r="B707" s="13" t="n">
        <v>378527.872617164</v>
      </c>
      <c r="C707" s="13" t="n">
        <v>410385.037009372</v>
      </c>
      <c r="D707" s="13" t="n">
        <v>10737</v>
      </c>
      <c r="E707" s="14" t="n">
        <v>35.2545285104931</v>
      </c>
      <c r="F707" s="14" t="n">
        <v>38.2215737179261</v>
      </c>
      <c r="G707" s="13" t="n">
        <v>-31857.1643922086</v>
      </c>
      <c r="H707" s="15" t="n">
        <v>-0.0841606832594553</v>
      </c>
      <c r="I707" s="15" t="n">
        <v>-0.0841606832594552</v>
      </c>
      <c r="J707" s="16" t="n">
        <v>2015</v>
      </c>
      <c r="K707" s="16" t="n">
        <v>12</v>
      </c>
      <c r="L707" s="16" t="n">
        <v>49</v>
      </c>
      <c r="M707" s="16" t="s">
        <v>37</v>
      </c>
      <c r="N707" s="17" t="b">
        <f aca="false">TRUE()</f>
        <v>1</v>
      </c>
      <c r="O707" s="14" t="n">
        <v>35.0769387294061</v>
      </c>
      <c r="P707" s="13" t="n">
        <v>7327.71428571429</v>
      </c>
      <c r="Q707" s="15" t="n">
        <v>0.0050628643068589</v>
      </c>
      <c r="R707" s="15" t="n">
        <v>0.465259094630951</v>
      </c>
      <c r="S707" s="17" t="b">
        <f aca="false">FALSE()</f>
        <v>0</v>
      </c>
    </row>
    <row r="708" customFormat="false" ht="15" hidden="false" customHeight="true" outlineLevel="0" collapsed="false">
      <c r="A708" s="12" t="n">
        <v>42344</v>
      </c>
      <c r="B708" s="13" t="n">
        <v>195425.391079595</v>
      </c>
      <c r="C708" s="13" t="n">
        <v>210461.38622249</v>
      </c>
      <c r="D708" s="13" t="n">
        <v>5505</v>
      </c>
      <c r="E708" s="14" t="n">
        <v>35.4996169081917</v>
      </c>
      <c r="F708" s="14" t="n">
        <v>38.2309511757475</v>
      </c>
      <c r="G708" s="13" t="n">
        <v>-15035.9951428947</v>
      </c>
      <c r="H708" s="15" t="n">
        <v>-0.0769398237344229</v>
      </c>
      <c r="I708" s="15" t="n">
        <v>-0.0769398237344228</v>
      </c>
      <c r="J708" s="16" t="n">
        <v>2015</v>
      </c>
      <c r="K708" s="16" t="n">
        <v>12</v>
      </c>
      <c r="L708" s="16" t="n">
        <v>49</v>
      </c>
      <c r="M708" s="16" t="s">
        <v>38</v>
      </c>
      <c r="N708" s="17" t="b">
        <f aca="false">TRUE()</f>
        <v>1</v>
      </c>
      <c r="O708" s="14" t="n">
        <v>35.0859338056474</v>
      </c>
      <c r="P708" s="13" t="n">
        <v>7465.28571428572</v>
      </c>
      <c r="Q708" s="15" t="n">
        <v>0.0117905684037324</v>
      </c>
      <c r="R708" s="15" t="n">
        <v>-0.262586830472473</v>
      </c>
      <c r="S708" s="17" t="b">
        <f aca="false">FALSE()</f>
        <v>0</v>
      </c>
    </row>
    <row r="709" customFormat="false" ht="15" hidden="false" customHeight="true" outlineLevel="0" collapsed="false">
      <c r="A709" s="12" t="n">
        <v>42345</v>
      </c>
      <c r="B709" s="13" t="n">
        <v>90441.6033685298</v>
      </c>
      <c r="C709" s="13" t="n">
        <v>83999.5912539369</v>
      </c>
      <c r="D709" s="13" t="n">
        <v>2198</v>
      </c>
      <c r="E709" s="14" t="n">
        <v>41.1472262823156</v>
      </c>
      <c r="F709" s="14" t="n">
        <v>38.2163745468321</v>
      </c>
      <c r="G709" s="13" t="n">
        <v>6442.01211459287</v>
      </c>
      <c r="H709" s="15" t="n">
        <v>0.07122841562575</v>
      </c>
      <c r="I709" s="15" t="n">
        <v>0.0712284156257499</v>
      </c>
      <c r="J709" s="16" t="n">
        <v>2015</v>
      </c>
      <c r="K709" s="16" t="n">
        <v>12</v>
      </c>
      <c r="L709" s="16" t="n">
        <v>50</v>
      </c>
      <c r="M709" s="16" t="s">
        <v>32</v>
      </c>
      <c r="N709" s="17" t="b">
        <f aca="false">FALSE()</f>
        <v>0</v>
      </c>
      <c r="O709" s="14" t="n">
        <v>35.1145579013031</v>
      </c>
      <c r="P709" s="13" t="n">
        <v>7548.14285714286</v>
      </c>
      <c r="Q709" s="15" t="n">
        <v>0.171799639282619</v>
      </c>
      <c r="R709" s="15" t="n">
        <v>-0.708802543672048</v>
      </c>
      <c r="S709" s="17" t="b">
        <f aca="false">FALSE()</f>
        <v>0</v>
      </c>
    </row>
    <row r="710" customFormat="false" ht="15" hidden="false" customHeight="true" outlineLevel="0" collapsed="false">
      <c r="A710" s="12" t="n">
        <v>42346</v>
      </c>
      <c r="B710" s="13" t="n">
        <v>117649.000633013</v>
      </c>
      <c r="C710" s="13" t="n">
        <v>121640.379790237</v>
      </c>
      <c r="D710" s="13" t="n">
        <v>3190</v>
      </c>
      <c r="E710" s="14" t="n">
        <v>36.8805644617595</v>
      </c>
      <c r="F710" s="14" t="n">
        <v>38.1317804985068</v>
      </c>
      <c r="G710" s="13" t="n">
        <v>-3991.37915722362</v>
      </c>
      <c r="H710" s="15" t="n">
        <v>-0.03392616287217</v>
      </c>
      <c r="I710" s="15" t="n">
        <v>-0.0339261628721699</v>
      </c>
      <c r="J710" s="16" t="n">
        <v>2015</v>
      </c>
      <c r="K710" s="16" t="n">
        <v>12</v>
      </c>
      <c r="L710" s="16" t="n">
        <v>50</v>
      </c>
      <c r="M710" s="16" t="s">
        <v>33</v>
      </c>
      <c r="N710" s="17" t="b">
        <f aca="false">FALSE()</f>
        <v>0</v>
      </c>
      <c r="O710" s="14" t="n">
        <v>35.1142110429339</v>
      </c>
      <c r="P710" s="13" t="n">
        <v>7566.78571428572</v>
      </c>
      <c r="Q710" s="15" t="n">
        <v>0.0503030928607763</v>
      </c>
      <c r="R710" s="15" t="n">
        <v>-0.578420729692736</v>
      </c>
      <c r="S710" s="17" t="b">
        <f aca="false">FALSE()</f>
        <v>0</v>
      </c>
    </row>
    <row r="711" customFormat="false" ht="15" hidden="false" customHeight="true" outlineLevel="0" collapsed="false">
      <c r="A711" s="12" t="n">
        <v>42347</v>
      </c>
      <c r="B711" s="13" t="n">
        <v>141285.395456714</v>
      </c>
      <c r="C711" s="13" t="n">
        <v>145443.046591834</v>
      </c>
      <c r="D711" s="13" t="n">
        <v>3814</v>
      </c>
      <c r="E711" s="14" t="n">
        <v>37.0438897369464</v>
      </c>
      <c r="F711" s="14" t="n">
        <v>38.1339922894164</v>
      </c>
      <c r="G711" s="13" t="n">
        <v>-4157.65113512057</v>
      </c>
      <c r="H711" s="15" t="n">
        <v>-0.0294273241879014</v>
      </c>
      <c r="I711" s="15" t="n">
        <v>-0.0294273241879015</v>
      </c>
      <c r="J711" s="16" t="n">
        <v>2015</v>
      </c>
      <c r="K711" s="16" t="n">
        <v>12</v>
      </c>
      <c r="L711" s="16" t="n">
        <v>50</v>
      </c>
      <c r="M711" s="16" t="s">
        <v>34</v>
      </c>
      <c r="N711" s="17" t="b">
        <f aca="false">FALSE()</f>
        <v>0</v>
      </c>
      <c r="O711" s="14" t="n">
        <v>35.2390122315678</v>
      </c>
      <c r="P711" s="13" t="n">
        <v>7568.92857142857</v>
      </c>
      <c r="Q711" s="15" t="n">
        <v>0.0512181639348501</v>
      </c>
      <c r="R711" s="15" t="n">
        <v>-0.496097768130987</v>
      </c>
      <c r="S711" s="17" t="b">
        <f aca="false">FALSE()</f>
        <v>0</v>
      </c>
    </row>
    <row r="712" customFormat="false" ht="15" hidden="false" customHeight="true" outlineLevel="0" collapsed="false">
      <c r="A712" s="12" t="n">
        <v>42348</v>
      </c>
      <c r="B712" s="13" t="n">
        <v>133183.693680194</v>
      </c>
      <c r="C712" s="13" t="n">
        <v>137725.876110448</v>
      </c>
      <c r="D712" s="13" t="n">
        <v>3610</v>
      </c>
      <c r="E712" s="14" t="n">
        <v>36.8929899391118</v>
      </c>
      <c r="F712" s="14" t="n">
        <v>38.1512122189607</v>
      </c>
      <c r="G712" s="13" t="n">
        <v>-4542.18243025444</v>
      </c>
      <c r="H712" s="15" t="n">
        <v>-0.0341046437799009</v>
      </c>
      <c r="I712" s="15" t="n">
        <v>-0.034104643779901</v>
      </c>
      <c r="J712" s="16" t="n">
        <v>2015</v>
      </c>
      <c r="K712" s="16" t="n">
        <v>12</v>
      </c>
      <c r="L712" s="16" t="n">
        <v>50</v>
      </c>
      <c r="M712" s="16" t="s">
        <v>35</v>
      </c>
      <c r="N712" s="17" t="b">
        <f aca="false">FALSE()</f>
        <v>0</v>
      </c>
      <c r="O712" s="14" t="n">
        <v>35.3765321757096</v>
      </c>
      <c r="P712" s="13" t="n">
        <v>7346.78571428572</v>
      </c>
      <c r="Q712" s="15" t="n">
        <v>0.0428662073453168</v>
      </c>
      <c r="R712" s="15" t="n">
        <v>-0.508628651985805</v>
      </c>
      <c r="S712" s="17" t="b">
        <f aca="false">FALSE()</f>
        <v>0</v>
      </c>
    </row>
    <row r="713" customFormat="false" ht="15" hidden="false" customHeight="true" outlineLevel="0" collapsed="false">
      <c r="A713" s="12" t="n">
        <v>42349</v>
      </c>
      <c r="B713" s="13" t="n">
        <v>229672.256320392</v>
      </c>
      <c r="C713" s="13" t="n">
        <v>237672.016416796</v>
      </c>
      <c r="D713" s="13" t="n">
        <v>6227</v>
      </c>
      <c r="E713" s="14" t="n">
        <v>36.8832915240714</v>
      </c>
      <c r="F713" s="14" t="n">
        <v>38.1679807960167</v>
      </c>
      <c r="G713" s="13" t="n">
        <v>-7999.76009640328</v>
      </c>
      <c r="H713" s="15" t="n">
        <v>-0.0348311991381476</v>
      </c>
      <c r="I713" s="15" t="n">
        <v>-0.0348311991381476</v>
      </c>
      <c r="J713" s="16" t="n">
        <v>2015</v>
      </c>
      <c r="K713" s="16" t="n">
        <v>12</v>
      </c>
      <c r="L713" s="16" t="n">
        <v>50</v>
      </c>
      <c r="M713" s="16" t="s">
        <v>36</v>
      </c>
      <c r="N713" s="17" t="b">
        <f aca="false">FALSE()</f>
        <v>0</v>
      </c>
      <c r="O713" s="14" t="n">
        <v>35.6127441773232</v>
      </c>
      <c r="P713" s="13" t="n">
        <v>6942.28571428572</v>
      </c>
      <c r="Q713" s="15" t="n">
        <v>0.035676760555767</v>
      </c>
      <c r="R713" s="15" t="n">
        <v>-0.103033171454441</v>
      </c>
      <c r="S713" s="17" t="b">
        <f aca="false">FALSE()</f>
        <v>0</v>
      </c>
    </row>
    <row r="714" customFormat="false" ht="15" hidden="false" customHeight="true" outlineLevel="0" collapsed="false">
      <c r="A714" s="12" t="n">
        <v>42350</v>
      </c>
      <c r="B714" s="13" t="n">
        <v>333488.79787882</v>
      </c>
      <c r="C714" s="13" t="n">
        <v>359621.074893737</v>
      </c>
      <c r="D714" s="13" t="n">
        <v>9422</v>
      </c>
      <c r="E714" s="14" t="n">
        <v>35.3946930459372</v>
      </c>
      <c r="F714" s="14" t="n">
        <v>38.1682312559687</v>
      </c>
      <c r="G714" s="13" t="n">
        <v>-26132.2770149168</v>
      </c>
      <c r="H714" s="15" t="n">
        <v>-0.0783602843067986</v>
      </c>
      <c r="I714" s="15" t="n">
        <v>-0.0783602843067986</v>
      </c>
      <c r="J714" s="16" t="n">
        <v>2015</v>
      </c>
      <c r="K714" s="16" t="n">
        <v>12</v>
      </c>
      <c r="L714" s="16" t="n">
        <v>50</v>
      </c>
      <c r="M714" s="16" t="s">
        <v>37</v>
      </c>
      <c r="N714" s="17" t="b">
        <f aca="false">TRUE()</f>
        <v>1</v>
      </c>
      <c r="O714" s="14" t="n">
        <v>35.8622346484239</v>
      </c>
      <c r="P714" s="13" t="n">
        <v>6583</v>
      </c>
      <c r="Q714" s="15" t="n">
        <v>-0.0130371575299263</v>
      </c>
      <c r="R714" s="15" t="n">
        <v>0.431262342397083</v>
      </c>
      <c r="S714" s="17" t="b">
        <f aca="false">FALSE()</f>
        <v>0</v>
      </c>
    </row>
    <row r="715" customFormat="false" ht="15" hidden="false" customHeight="true" outlineLevel="0" collapsed="false">
      <c r="A715" s="12" t="n">
        <v>42351</v>
      </c>
      <c r="B715" s="13" t="n">
        <v>185422.885636104</v>
      </c>
      <c r="C715" s="13" t="n">
        <v>191390.401310313</v>
      </c>
      <c r="D715" s="13" t="n">
        <v>5014</v>
      </c>
      <c r="E715" s="14" t="n">
        <v>36.9810302425416</v>
      </c>
      <c r="F715" s="14" t="n">
        <v>38.1712008995439</v>
      </c>
      <c r="G715" s="13" t="n">
        <v>-5967.51567420966</v>
      </c>
      <c r="H715" s="15" t="n">
        <v>-0.0321832747545577</v>
      </c>
      <c r="I715" s="15" t="n">
        <v>-0.0321832747545578</v>
      </c>
      <c r="J715" s="16" t="n">
        <v>2015</v>
      </c>
      <c r="K715" s="16" t="n">
        <v>12</v>
      </c>
      <c r="L715" s="16" t="n">
        <v>50</v>
      </c>
      <c r="M715" s="16" t="s">
        <v>38</v>
      </c>
      <c r="N715" s="17" t="b">
        <f aca="false">TRUE()</f>
        <v>1</v>
      </c>
      <c r="O715" s="14" t="n">
        <v>36.0057822643796</v>
      </c>
      <c r="P715" s="13" t="n">
        <v>6326.07142857143</v>
      </c>
      <c r="Q715" s="15" t="n">
        <v>0.0270858711248395</v>
      </c>
      <c r="R715" s="15" t="n">
        <v>-0.207406989216959</v>
      </c>
      <c r="S715" s="17" t="b">
        <f aca="false">FALSE()</f>
        <v>0</v>
      </c>
    </row>
    <row r="716" customFormat="false" ht="15" hidden="false" customHeight="true" outlineLevel="0" collapsed="false">
      <c r="A716" s="12" t="n">
        <v>42352</v>
      </c>
      <c r="B716" s="13" t="n">
        <v>173833.133168424</v>
      </c>
      <c r="C716" s="13" t="n">
        <v>179871.053299424</v>
      </c>
      <c r="D716" s="13" t="n">
        <v>4715</v>
      </c>
      <c r="E716" s="14" t="n">
        <v>36.8681088374175</v>
      </c>
      <c r="F716" s="14" t="n">
        <v>38.1486857474918</v>
      </c>
      <c r="G716" s="13" t="n">
        <v>-6037.92013100008</v>
      </c>
      <c r="H716" s="15" t="n">
        <v>-0.0347340004805071</v>
      </c>
      <c r="I716" s="15" t="n">
        <v>-0.0347340004805072</v>
      </c>
      <c r="J716" s="16" t="n">
        <v>2015</v>
      </c>
      <c r="K716" s="16" t="n">
        <v>12</v>
      </c>
      <c r="L716" s="16" t="n">
        <v>51</v>
      </c>
      <c r="M716" s="16" t="s">
        <v>32</v>
      </c>
      <c r="N716" s="17" t="b">
        <f aca="false">FALSE()</f>
        <v>0</v>
      </c>
      <c r="O716" s="14" t="n">
        <v>36.2596169205544</v>
      </c>
      <c r="P716" s="13" t="n">
        <v>6174.28571428572</v>
      </c>
      <c r="Q716" s="15" t="n">
        <v>0.016781531867707</v>
      </c>
      <c r="R716" s="15" t="n">
        <v>-0.236348912540491</v>
      </c>
      <c r="S716" s="17" t="b">
        <f aca="false">FALSE()</f>
        <v>0</v>
      </c>
    </row>
    <row r="717" customFormat="false" ht="15" hidden="false" customHeight="true" outlineLevel="0" collapsed="false">
      <c r="A717" s="12" t="n">
        <v>42353</v>
      </c>
      <c r="B717" s="13" t="n">
        <v>220271.721385245</v>
      </c>
      <c r="C717" s="13" t="n">
        <v>237123.343340105</v>
      </c>
      <c r="D717" s="13" t="n">
        <v>6212</v>
      </c>
      <c r="E717" s="14" t="n">
        <v>35.4590665462404</v>
      </c>
      <c r="F717" s="14" t="n">
        <v>38.1718195975701</v>
      </c>
      <c r="G717" s="13" t="n">
        <v>-16851.62195486</v>
      </c>
      <c r="H717" s="15" t="n">
        <v>-0.0765037919932867</v>
      </c>
      <c r="I717" s="15" t="n">
        <v>-0.0765037919932867</v>
      </c>
      <c r="J717" s="16" t="n">
        <v>2015</v>
      </c>
      <c r="K717" s="16" t="n">
        <v>12</v>
      </c>
      <c r="L717" s="16" t="n">
        <v>51</v>
      </c>
      <c r="M717" s="16" t="s">
        <v>33</v>
      </c>
      <c r="N717" s="17" t="b">
        <f aca="false">FALSE()</f>
        <v>0</v>
      </c>
      <c r="O717" s="14" t="n">
        <v>36.3848868820318</v>
      </c>
      <c r="P717" s="13" t="n">
        <v>5980.85714285714</v>
      </c>
      <c r="Q717" s="15" t="n">
        <v>-0.0254451893390007</v>
      </c>
      <c r="R717" s="15" t="n">
        <v>0.0386471122151626</v>
      </c>
      <c r="S717" s="17" t="b">
        <f aca="false">FALSE()</f>
        <v>0</v>
      </c>
    </row>
    <row r="718" customFormat="false" ht="15" hidden="false" customHeight="true" outlineLevel="0" collapsed="false">
      <c r="A718" s="12" t="n">
        <v>42354</v>
      </c>
      <c r="B718" s="13" t="n">
        <v>234468.071195286</v>
      </c>
      <c r="C718" s="13" t="n">
        <v>251493.90890013</v>
      </c>
      <c r="D718" s="13" t="n">
        <v>6585</v>
      </c>
      <c r="E718" s="14" t="n">
        <v>35.6063889438552</v>
      </c>
      <c r="F718" s="14" t="n">
        <v>38.1919375702551</v>
      </c>
      <c r="G718" s="13" t="n">
        <v>-17025.8377048434</v>
      </c>
      <c r="H718" s="15" t="n">
        <v>-0.072614738621118</v>
      </c>
      <c r="I718" s="15" t="n">
        <v>-0.0726147386211181</v>
      </c>
      <c r="J718" s="16" t="n">
        <v>2015</v>
      </c>
      <c r="K718" s="16" t="n">
        <v>12</v>
      </c>
      <c r="L718" s="16" t="n">
        <v>51</v>
      </c>
      <c r="M718" s="16" t="s">
        <v>34</v>
      </c>
      <c r="N718" s="17" t="b">
        <f aca="false">FALSE()</f>
        <v>0</v>
      </c>
      <c r="O718" s="14" t="n">
        <v>36.4099861150713</v>
      </c>
      <c r="P718" s="13" t="n">
        <v>5890.71428571429</v>
      </c>
      <c r="Q718" s="15" t="n">
        <v>-0.0220707903781233</v>
      </c>
      <c r="R718" s="15" t="n">
        <v>0.11786104037832</v>
      </c>
      <c r="S718" s="17" t="b">
        <f aca="false">FALSE()</f>
        <v>0</v>
      </c>
    </row>
    <row r="719" customFormat="false" ht="15" hidden="false" customHeight="true" outlineLevel="0" collapsed="false">
      <c r="A719" s="12" t="n">
        <v>42355</v>
      </c>
      <c r="B719" s="13" t="n">
        <v>213778.138050305</v>
      </c>
      <c r="C719" s="13" t="n">
        <v>230994.35519886</v>
      </c>
      <c r="D719" s="13" t="n">
        <v>6051</v>
      </c>
      <c r="E719" s="14" t="n">
        <v>35.3293898612304</v>
      </c>
      <c r="F719" s="14" t="n">
        <v>38.1745753096777</v>
      </c>
      <c r="G719" s="13" t="n">
        <v>-17216.2171485547</v>
      </c>
      <c r="H719" s="15" t="n">
        <v>-0.080533104580149</v>
      </c>
      <c r="I719" s="15" t="n">
        <v>-0.0805331045801488</v>
      </c>
      <c r="J719" s="16" t="n">
        <v>2015</v>
      </c>
      <c r="K719" s="16" t="n">
        <v>12</v>
      </c>
      <c r="L719" s="16" t="n">
        <v>51</v>
      </c>
      <c r="M719" s="16" t="s">
        <v>35</v>
      </c>
      <c r="N719" s="17" t="b">
        <f aca="false">FALSE()</f>
        <v>0</v>
      </c>
      <c r="O719" s="14" t="n">
        <v>36.4383405964321</v>
      </c>
      <c r="P719" s="13" t="n">
        <v>5857.07142857143</v>
      </c>
      <c r="Q719" s="15" t="n">
        <v>-0.0304336234046373</v>
      </c>
      <c r="R719" s="15" t="n">
        <v>0.0331101598799986</v>
      </c>
      <c r="S719" s="17" t="b">
        <f aca="false">FALSE()</f>
        <v>0</v>
      </c>
    </row>
    <row r="720" customFormat="false" ht="15" hidden="false" customHeight="true" outlineLevel="0" collapsed="false">
      <c r="A720" s="12" t="n">
        <v>42356</v>
      </c>
      <c r="B720" s="13" t="n">
        <v>273563.014796294</v>
      </c>
      <c r="C720" s="13" t="n">
        <v>295854.552315992</v>
      </c>
      <c r="D720" s="13" t="n">
        <v>7750</v>
      </c>
      <c r="E720" s="14" t="n">
        <v>35.2984535221024</v>
      </c>
      <c r="F720" s="14" t="n">
        <v>38.174780943999</v>
      </c>
      <c r="G720" s="13" t="n">
        <v>-22291.5375196982</v>
      </c>
      <c r="H720" s="15" t="n">
        <v>-0.0814859330903972</v>
      </c>
      <c r="I720" s="15" t="n">
        <v>-0.0814859330903972</v>
      </c>
      <c r="J720" s="16" t="n">
        <v>2015</v>
      </c>
      <c r="K720" s="16" t="n">
        <v>12</v>
      </c>
      <c r="L720" s="16" t="n">
        <v>51</v>
      </c>
      <c r="M720" s="16" t="s">
        <v>36</v>
      </c>
      <c r="N720" s="17" t="b">
        <f aca="false">FALSE()</f>
        <v>0</v>
      </c>
      <c r="O720" s="14" t="n">
        <v>36.4565246287183</v>
      </c>
      <c r="P720" s="13" t="n">
        <v>5879.85714285714</v>
      </c>
      <c r="Q720" s="15" t="n">
        <v>-0.0317658119749461</v>
      </c>
      <c r="R720" s="15" t="n">
        <v>0.318059233703443</v>
      </c>
      <c r="S720" s="17" t="b">
        <f aca="false">FALSE()</f>
        <v>0</v>
      </c>
    </row>
    <row r="721" customFormat="false" ht="15" hidden="false" customHeight="true" outlineLevel="0" collapsed="false">
      <c r="A721" s="12" t="n">
        <v>42357</v>
      </c>
      <c r="B721" s="13" t="n">
        <v>337506.78841922</v>
      </c>
      <c r="C721" s="13" t="n">
        <v>362223.160876709</v>
      </c>
      <c r="D721" s="13" t="n">
        <v>9490</v>
      </c>
      <c r="E721" s="14" t="n">
        <v>35.5644666405922</v>
      </c>
      <c r="F721" s="14" t="n">
        <v>38.1689315992317</v>
      </c>
      <c r="G721" s="13" t="n">
        <v>-24716.3724574892</v>
      </c>
      <c r="H721" s="15" t="n">
        <v>-0.0732322231895045</v>
      </c>
      <c r="I721" s="15" t="n">
        <v>-0.0732322231895046</v>
      </c>
      <c r="J721" s="16" t="n">
        <v>2015</v>
      </c>
      <c r="K721" s="16" t="n">
        <v>12</v>
      </c>
      <c r="L721" s="16" t="n">
        <v>51</v>
      </c>
      <c r="M721" s="16" t="s">
        <v>37</v>
      </c>
      <c r="N721" s="17" t="b">
        <f aca="false">TRUE()</f>
        <v>1</v>
      </c>
      <c r="O721" s="14" t="n">
        <v>36.4670884544439</v>
      </c>
      <c r="P721" s="13" t="n">
        <v>5787.85714285714</v>
      </c>
      <c r="Q721" s="15" t="n">
        <v>-0.024751683013555</v>
      </c>
      <c r="R721" s="15" t="n">
        <v>0.63963963963964</v>
      </c>
      <c r="S721" s="17" t="b">
        <f aca="false">FALSE()</f>
        <v>0</v>
      </c>
    </row>
    <row r="722" customFormat="false" ht="15" hidden="false" customHeight="true" outlineLevel="0" collapsed="false">
      <c r="A722" s="12" t="n">
        <v>42358</v>
      </c>
      <c r="B722" s="13" t="n">
        <v>155312.783862166</v>
      </c>
      <c r="C722" s="13" t="n">
        <v>167421.973695171</v>
      </c>
      <c r="D722" s="13" t="n">
        <v>4382</v>
      </c>
      <c r="E722" s="14" t="n">
        <v>35.4433555139586</v>
      </c>
      <c r="F722" s="14" t="n">
        <v>38.2067489035077</v>
      </c>
      <c r="G722" s="13" t="n">
        <v>-12109.1898330045</v>
      </c>
      <c r="H722" s="15" t="n">
        <v>-0.0779664721208714</v>
      </c>
      <c r="I722" s="15" t="n">
        <v>-0.0779664721208715</v>
      </c>
      <c r="J722" s="16" t="n">
        <v>2015</v>
      </c>
      <c r="K722" s="16" t="n">
        <v>12</v>
      </c>
      <c r="L722" s="16" t="n">
        <v>51</v>
      </c>
      <c r="M722" s="16" t="s">
        <v>38</v>
      </c>
      <c r="N722" s="17" t="b">
        <f aca="false">TRUE()</f>
        <v>1</v>
      </c>
      <c r="O722" s="14" t="n">
        <v>36.4892268923081</v>
      </c>
      <c r="P722" s="13" t="n">
        <v>5698.78571428572</v>
      </c>
      <c r="Q722" s="15" t="n">
        <v>-0.0286624701980195</v>
      </c>
      <c r="R722" s="15" t="n">
        <v>-0.23106426181016</v>
      </c>
      <c r="S722" s="17" t="b">
        <f aca="false">FALSE()</f>
        <v>0</v>
      </c>
    </row>
    <row r="723" customFormat="false" ht="15" hidden="false" customHeight="true" outlineLevel="0" collapsed="false">
      <c r="A723" s="12" t="n">
        <v>42359</v>
      </c>
      <c r="B723" s="13" t="n">
        <v>289243.383056198</v>
      </c>
      <c r="C723" s="13" t="n">
        <v>312784.974318394</v>
      </c>
      <c r="D723" s="13" t="n">
        <v>8196</v>
      </c>
      <c r="E723" s="14" t="n">
        <v>35.2907983231085</v>
      </c>
      <c r="F723" s="14" t="n">
        <v>38.1631252218635</v>
      </c>
      <c r="G723" s="13" t="n">
        <v>-23541.591262196</v>
      </c>
      <c r="H723" s="15" t="n">
        <v>-0.0813902500152338</v>
      </c>
      <c r="I723" s="15" t="n">
        <v>-0.0813902500152338</v>
      </c>
      <c r="J723" s="16" t="n">
        <v>2015</v>
      </c>
      <c r="K723" s="16" t="n">
        <v>12</v>
      </c>
      <c r="L723" s="16" t="n">
        <v>52</v>
      </c>
      <c r="M723" s="16" t="s">
        <v>32</v>
      </c>
      <c r="N723" s="17" t="b">
        <f aca="false">FALSE()</f>
        <v>0</v>
      </c>
      <c r="O723" s="14" t="n">
        <v>36.4852082212914</v>
      </c>
      <c r="P723" s="13" t="n">
        <v>5618.57142857143</v>
      </c>
      <c r="Q723" s="15" t="n">
        <v>-0.0327368255907579</v>
      </c>
      <c r="R723" s="15" t="n">
        <v>0.458733790999237</v>
      </c>
      <c r="S723" s="17" t="b">
        <f aca="false">FALSE()</f>
        <v>0</v>
      </c>
    </row>
    <row r="724" customFormat="false" ht="15" hidden="false" customHeight="true" outlineLevel="0" collapsed="false">
      <c r="A724" s="12" t="n">
        <v>42360</v>
      </c>
      <c r="B724" s="13" t="n">
        <v>313125.332532518</v>
      </c>
      <c r="C724" s="13" t="n">
        <v>338299.617845486</v>
      </c>
      <c r="D724" s="13" t="n">
        <v>8863</v>
      </c>
      <c r="E724" s="14" t="n">
        <v>35.329497070125</v>
      </c>
      <c r="F724" s="14" t="n">
        <v>38.1698767737207</v>
      </c>
      <c r="G724" s="13" t="n">
        <v>-25174.2853129687</v>
      </c>
      <c r="H724" s="15" t="n">
        <v>-0.0803968337833363</v>
      </c>
      <c r="I724" s="15" t="n">
        <v>-0.0803968337833362</v>
      </c>
      <c r="J724" s="16" t="n">
        <v>2015</v>
      </c>
      <c r="K724" s="16" t="n">
        <v>12</v>
      </c>
      <c r="L724" s="16" t="n">
        <v>52</v>
      </c>
      <c r="M724" s="16" t="s">
        <v>33</v>
      </c>
      <c r="N724" s="17" t="b">
        <f aca="false">FALSE()</f>
        <v>0</v>
      </c>
      <c r="O724" s="14" t="n">
        <v>36.0668919384909</v>
      </c>
      <c r="P724" s="13" t="n">
        <v>6047</v>
      </c>
      <c r="Q724" s="15" t="n">
        <v>-0.0204452013670467</v>
      </c>
      <c r="R724" s="15" t="n">
        <v>0.46568546386638</v>
      </c>
      <c r="S724" s="17" t="b">
        <f aca="false">FALSE()</f>
        <v>0</v>
      </c>
    </row>
    <row r="725" customFormat="false" ht="15" hidden="false" customHeight="true" outlineLevel="0" collapsed="false">
      <c r="A725" s="12" t="n">
        <v>42361</v>
      </c>
      <c r="B725" s="13" t="n">
        <v>268330.392705016</v>
      </c>
      <c r="C725" s="13" t="n">
        <v>249584.215163854</v>
      </c>
      <c r="D725" s="13" t="n">
        <v>6534</v>
      </c>
      <c r="E725" s="14" t="n">
        <v>41.0667879866874</v>
      </c>
      <c r="F725" s="14" t="n">
        <v>38.1977678548905</v>
      </c>
      <c r="G725" s="13" t="n">
        <v>18746.1775411611</v>
      </c>
      <c r="H725" s="15" t="n">
        <v>0.0698622968206566</v>
      </c>
      <c r="I725" s="15" t="n">
        <v>0.0698622968206566</v>
      </c>
      <c r="J725" s="16" t="n">
        <v>2015</v>
      </c>
      <c r="K725" s="16" t="n">
        <v>12</v>
      </c>
      <c r="L725" s="16" t="n">
        <v>52</v>
      </c>
      <c r="M725" s="16" t="s">
        <v>34</v>
      </c>
      <c r="N725" s="17" t="b">
        <f aca="false">FALSE()</f>
        <v>0</v>
      </c>
      <c r="O725" s="14" t="n">
        <v>35.956101410517</v>
      </c>
      <c r="P725" s="13" t="n">
        <v>6452.21428571429</v>
      </c>
      <c r="Q725" s="15" t="n">
        <v>0.142136838413619</v>
      </c>
      <c r="R725" s="15" t="n">
        <v>0.0126756041668974</v>
      </c>
      <c r="S725" s="17" t="b">
        <f aca="false">FALSE()</f>
        <v>0</v>
      </c>
    </row>
    <row r="726" customFormat="false" ht="15" hidden="false" customHeight="true" outlineLevel="0" collapsed="false">
      <c r="A726" s="12" t="n">
        <v>42362</v>
      </c>
      <c r="B726" s="13" t="n">
        <v>392228.137958482</v>
      </c>
      <c r="C726" s="13" t="n">
        <v>364396.19424888</v>
      </c>
      <c r="D726" s="13" t="n">
        <v>9540</v>
      </c>
      <c r="E726" s="14" t="n">
        <v>41.1140605826501</v>
      </c>
      <c r="F726" s="14" t="n">
        <v>38.1966660638239</v>
      </c>
      <c r="G726" s="13" t="n">
        <v>27831.9437096027</v>
      </c>
      <c r="H726" s="15" t="n">
        <v>0.0709585596139682</v>
      </c>
      <c r="I726" s="15" t="n">
        <v>0.0709585596139682</v>
      </c>
      <c r="J726" s="16" t="n">
        <v>2015</v>
      </c>
      <c r="K726" s="16" t="n">
        <v>12</v>
      </c>
      <c r="L726" s="16" t="n">
        <v>52</v>
      </c>
      <c r="M726" s="16" t="s">
        <v>35</v>
      </c>
      <c r="N726" s="17" t="b">
        <f aca="false">FALSE()</f>
        <v>0</v>
      </c>
      <c r="O726" s="14" t="n">
        <v>36.2434512854985</v>
      </c>
      <c r="P726" s="13" t="n">
        <v>6646.5</v>
      </c>
      <c r="Q726" s="15" t="n">
        <v>0.134385913162205</v>
      </c>
      <c r="R726" s="15" t="n">
        <v>0.435341909275559</v>
      </c>
      <c r="S726" s="17" t="b">
        <f aca="false">FALSE()</f>
        <v>0</v>
      </c>
    </row>
    <row r="727" customFormat="false" ht="15" hidden="false" customHeight="true" outlineLevel="0" collapsed="false">
      <c r="A727" s="12" t="n">
        <v>42363</v>
      </c>
      <c r="B727" s="13" t="n">
        <v>133728.983728851</v>
      </c>
      <c r="C727" s="13" t="n">
        <v>124363.55727661</v>
      </c>
      <c r="D727" s="13" t="n">
        <v>3256</v>
      </c>
      <c r="E727" s="14" t="n">
        <v>41.0715551992787</v>
      </c>
      <c r="F727" s="14" t="n">
        <v>38.1951957237744</v>
      </c>
      <c r="G727" s="13" t="n">
        <v>9365.4264522419</v>
      </c>
      <c r="H727" s="15" t="n">
        <v>0.0700328843538602</v>
      </c>
      <c r="I727" s="15" t="n">
        <v>0.0700328843538603</v>
      </c>
      <c r="J727" s="16" t="n">
        <v>2015</v>
      </c>
      <c r="K727" s="16" t="n">
        <v>12</v>
      </c>
      <c r="L727" s="16" t="n">
        <v>52</v>
      </c>
      <c r="M727" s="16" t="s">
        <v>36</v>
      </c>
      <c r="N727" s="17" t="b">
        <f aca="false">FALSE()</f>
        <v>0</v>
      </c>
      <c r="O727" s="14" t="n">
        <v>36.5449563314656</v>
      </c>
      <c r="P727" s="13" t="n">
        <v>7070.07142857143</v>
      </c>
      <c r="Q727" s="15" t="n">
        <v>0.123863846675763</v>
      </c>
      <c r="R727" s="15" t="n">
        <v>-0.539467170467059</v>
      </c>
      <c r="S727" s="17" t="b">
        <f aca="false">FALSE()</f>
        <v>0</v>
      </c>
    </row>
    <row r="728" customFormat="false" ht="15" hidden="false" customHeight="true" outlineLevel="0" collapsed="false">
      <c r="A728" s="12" t="n">
        <v>42364</v>
      </c>
      <c r="B728" s="13" t="n">
        <v>82778.4440483104</v>
      </c>
      <c r="C728" s="13" t="n">
        <v>76876.4926983143</v>
      </c>
      <c r="D728" s="13" t="n">
        <v>2013</v>
      </c>
      <c r="E728" s="14" t="n">
        <v>41.1219294825188</v>
      </c>
      <c r="F728" s="14" t="n">
        <v>38.190011275864</v>
      </c>
      <c r="G728" s="13" t="n">
        <v>5901.95134999607</v>
      </c>
      <c r="H728" s="15" t="n">
        <v>0.0712981672686628</v>
      </c>
      <c r="I728" s="15" t="n">
        <v>0.0712981672686627</v>
      </c>
      <c r="J728" s="16" t="n">
        <v>2015</v>
      </c>
      <c r="K728" s="16" t="n">
        <v>12</v>
      </c>
      <c r="L728" s="16" t="n">
        <v>52</v>
      </c>
      <c r="M728" s="16" t="s">
        <v>37</v>
      </c>
      <c r="N728" s="17" t="b">
        <f aca="false">TRUE()</f>
        <v>1</v>
      </c>
      <c r="O728" s="14" t="n">
        <v>36.8441180225518</v>
      </c>
      <c r="P728" s="13" t="n">
        <v>6857.85714285714</v>
      </c>
      <c r="Q728" s="15" t="n">
        <v>0.116105682251604</v>
      </c>
      <c r="R728" s="15" t="n">
        <v>-0.706468076242058</v>
      </c>
      <c r="S728" s="17" t="b">
        <f aca="false">FALSE()</f>
        <v>0</v>
      </c>
    </row>
    <row r="729" customFormat="false" ht="15" hidden="false" customHeight="true" outlineLevel="0" collapsed="false">
      <c r="A729" s="12" t="n">
        <v>42365</v>
      </c>
      <c r="B729" s="13" t="n">
        <v>69522.8369739404</v>
      </c>
      <c r="C729" s="13" t="n">
        <v>64616.0766462744</v>
      </c>
      <c r="D729" s="13" t="n">
        <v>1692</v>
      </c>
      <c r="E729" s="14" t="n">
        <v>41.0891471477189</v>
      </c>
      <c r="F729" s="14" t="n">
        <v>38.1891705947248</v>
      </c>
      <c r="G729" s="13" t="n">
        <v>4906.760327666</v>
      </c>
      <c r="H729" s="15" t="n">
        <v>0.0705776769366479</v>
      </c>
      <c r="I729" s="15" t="n">
        <v>0.0705776769366479</v>
      </c>
      <c r="J729" s="16" t="n">
        <v>2015</v>
      </c>
      <c r="K729" s="16" t="n">
        <v>12</v>
      </c>
      <c r="L729" s="16" t="n">
        <v>52</v>
      </c>
      <c r="M729" s="16" t="s">
        <v>38</v>
      </c>
      <c r="N729" s="17" t="b">
        <f aca="false">TRUE()</f>
        <v>1</v>
      </c>
      <c r="O729" s="14" t="n">
        <v>37.2532063394505</v>
      </c>
      <c r="P729" s="13" t="n">
        <v>6328.64285714286</v>
      </c>
      <c r="Q729" s="15" t="n">
        <v>0.102969413513441</v>
      </c>
      <c r="R729" s="15" t="n">
        <v>-0.732644101082381</v>
      </c>
      <c r="S729" s="17" t="b">
        <f aca="false">FALSE()</f>
        <v>0</v>
      </c>
    </row>
    <row r="730" customFormat="false" ht="15" hidden="false" customHeight="true" outlineLevel="0" collapsed="false">
      <c r="A730" s="12" t="n">
        <v>42366</v>
      </c>
      <c r="B730" s="13" t="n">
        <v>133021.272795363</v>
      </c>
      <c r="C730" s="13" t="n">
        <v>123500.787789675</v>
      </c>
      <c r="D730" s="13" t="n">
        <v>3234</v>
      </c>
      <c r="E730" s="14" t="n">
        <v>41.1321189843422</v>
      </c>
      <c r="F730" s="14" t="n">
        <v>38.1882460697821</v>
      </c>
      <c r="G730" s="13" t="n">
        <v>9520.48500568741</v>
      </c>
      <c r="H730" s="15" t="n">
        <v>0.0715711465213053</v>
      </c>
      <c r="I730" s="15" t="n">
        <v>0.0715711465213053</v>
      </c>
      <c r="J730" s="16" t="n">
        <v>2015</v>
      </c>
      <c r="K730" s="16" t="n">
        <v>12</v>
      </c>
      <c r="L730" s="16" t="n">
        <v>53</v>
      </c>
      <c r="M730" s="16" t="s">
        <v>32</v>
      </c>
      <c r="N730" s="17" t="b">
        <f aca="false">FALSE()</f>
        <v>0</v>
      </c>
      <c r="O730" s="14" t="n">
        <v>37.5466432612489</v>
      </c>
      <c r="P730" s="13" t="n">
        <v>6091.35714285714</v>
      </c>
      <c r="Q730" s="15" t="n">
        <v>0.0954939086870066</v>
      </c>
      <c r="R730" s="15" t="n">
        <v>-0.469083830720342</v>
      </c>
      <c r="S730" s="17" t="b">
        <f aca="false">FALSE()</f>
        <v>0</v>
      </c>
    </row>
    <row r="731" customFormat="false" ht="15" hidden="false" customHeight="true" outlineLevel="0" collapsed="false">
      <c r="A731" s="12" t="n">
        <v>42367</v>
      </c>
      <c r="B731" s="13" t="n">
        <v>161267.520591838</v>
      </c>
      <c r="C731" s="13" t="n">
        <v>175378.145915221</v>
      </c>
      <c r="D731" s="13" t="n">
        <v>4592</v>
      </c>
      <c r="E731" s="14" t="n">
        <v>35.1192335783618</v>
      </c>
      <c r="F731" s="14" t="n">
        <v>38.1921049466944</v>
      </c>
      <c r="G731" s="13" t="n">
        <v>-14110.6253233831</v>
      </c>
      <c r="H731" s="15" t="n">
        <v>-0.0874982468360545</v>
      </c>
      <c r="I731" s="15" t="n">
        <v>-0.0874982468360545</v>
      </c>
      <c r="J731" s="16" t="n">
        <v>2015</v>
      </c>
      <c r="K731" s="16" t="n">
        <v>12</v>
      </c>
      <c r="L731" s="16" t="n">
        <v>53</v>
      </c>
      <c r="M731" s="16" t="s">
        <v>33</v>
      </c>
      <c r="N731" s="17" t="b">
        <f aca="false">FALSE()</f>
        <v>0</v>
      </c>
      <c r="O731" s="14" t="n">
        <v>37.8512154146006</v>
      </c>
      <c r="P731" s="13" t="n">
        <v>5985.57142857143</v>
      </c>
      <c r="Q731" s="15" t="n">
        <v>-0.0721768589545728</v>
      </c>
      <c r="R731" s="15" t="n">
        <v>-0.23282178572281</v>
      </c>
      <c r="S731" s="17" t="b">
        <f aca="false">FALSE()</f>
        <v>0</v>
      </c>
    </row>
    <row r="732" customFormat="false" ht="15" hidden="false" customHeight="true" outlineLevel="0" collapsed="false">
      <c r="A732" s="12" t="n">
        <v>42368</v>
      </c>
      <c r="B732" s="13" t="n">
        <v>208583.217990355</v>
      </c>
      <c r="C732" s="13" t="n">
        <v>227060.262678494</v>
      </c>
      <c r="D732" s="13" t="n">
        <v>5945</v>
      </c>
      <c r="E732" s="14" t="n">
        <v>35.0854866257957</v>
      </c>
      <c r="F732" s="14" t="n">
        <v>38.1934840502093</v>
      </c>
      <c r="G732" s="13" t="n">
        <v>-18477.0446881388</v>
      </c>
      <c r="H732" s="15" t="n">
        <v>-0.0885835632711026</v>
      </c>
      <c r="I732" s="15" t="n">
        <v>-0.0885835632711027</v>
      </c>
      <c r="J732" s="16" t="n">
        <v>2015</v>
      </c>
      <c r="K732" s="16" t="n">
        <v>12</v>
      </c>
      <c r="L732" s="16" t="n">
        <v>53</v>
      </c>
      <c r="M732" s="16" t="s">
        <v>34</v>
      </c>
      <c r="N732" s="17" t="b">
        <f aca="false">FALSE()</f>
        <v>0</v>
      </c>
      <c r="O732" s="14" t="n">
        <v>37.8269416311807</v>
      </c>
      <c r="P732" s="13" t="n">
        <v>5869.85714285714</v>
      </c>
      <c r="Q732" s="15" t="n">
        <v>-0.0724736097386551</v>
      </c>
      <c r="R732" s="15" t="n">
        <v>0.0128014797147655</v>
      </c>
      <c r="S732" s="17" t="b">
        <f aca="false">FALSE()</f>
        <v>0</v>
      </c>
    </row>
    <row r="733" customFormat="false" ht="15" hidden="false" customHeight="true" outlineLevel="0" collapsed="false">
      <c r="A733" s="12" t="n">
        <v>42369</v>
      </c>
      <c r="B733" s="13" t="n">
        <v>325457.525001479</v>
      </c>
      <c r="C733" s="13" t="n">
        <v>353929.738354992</v>
      </c>
      <c r="D733" s="13" t="n">
        <v>9266</v>
      </c>
      <c r="E733" s="14" t="n">
        <v>35.1238425427886</v>
      </c>
      <c r="F733" s="14" t="n">
        <v>38.19660461418</v>
      </c>
      <c r="G733" s="13" t="n">
        <v>-28472.2133535129</v>
      </c>
      <c r="H733" s="15" t="n">
        <v>-0.0874836535224788</v>
      </c>
      <c r="I733" s="15" t="n">
        <v>-0.0874836535224788</v>
      </c>
      <c r="J733" s="16" t="n">
        <v>2015</v>
      </c>
      <c r="K733" s="16" t="n">
        <v>12</v>
      </c>
      <c r="L733" s="16" t="n">
        <v>53</v>
      </c>
      <c r="M733" s="16" t="s">
        <v>35</v>
      </c>
      <c r="N733" s="17" t="b">
        <f aca="false">FALSE()</f>
        <v>0</v>
      </c>
      <c r="O733" s="14" t="n">
        <v>37.7897343227479</v>
      </c>
      <c r="P733" s="13" t="n">
        <v>5824.14285714286</v>
      </c>
      <c r="Q733" s="15" t="n">
        <v>-0.0705453961965164</v>
      </c>
      <c r="R733" s="15" t="n">
        <v>0.590963722436165</v>
      </c>
      <c r="S733" s="17" t="b">
        <f aca="false">TRUE()</f>
        <v>1</v>
      </c>
    </row>
    <row r="734" customFormat="false" ht="15" hidden="false" customHeight="true" outlineLevel="0" collapsed="false">
      <c r="A734" s="12" t="n">
        <v>42370</v>
      </c>
      <c r="B734" s="13" t="n">
        <v>111650.239774079</v>
      </c>
      <c r="C734" s="13" t="n">
        <v>121448.283817139</v>
      </c>
      <c r="D734" s="13" t="n">
        <v>3179</v>
      </c>
      <c r="E734" s="14" t="n">
        <v>35.121182690808</v>
      </c>
      <c r="F734" s="14" t="n">
        <v>38.2032978348974</v>
      </c>
      <c r="G734" s="13" t="n">
        <v>-9798.04404306023</v>
      </c>
      <c r="H734" s="15" t="n">
        <v>-0.0877565875620717</v>
      </c>
      <c r="I734" s="15" t="n">
        <v>-0.0877565875620716</v>
      </c>
      <c r="J734" s="16" t="n">
        <v>2016</v>
      </c>
      <c r="K734" s="16" t="n">
        <v>1</v>
      </c>
      <c r="L734" s="16" t="n">
        <v>53</v>
      </c>
      <c r="M734" s="16" t="s">
        <v>36</v>
      </c>
      <c r="N734" s="17" t="b">
        <f aca="false">FALSE()</f>
        <v>0</v>
      </c>
      <c r="O734" s="14" t="n">
        <v>37.7750523714306</v>
      </c>
      <c r="P734" s="13" t="n">
        <v>6053.78571428572</v>
      </c>
      <c r="Q734" s="15" t="n">
        <v>-0.070254559928281</v>
      </c>
      <c r="R734" s="15" t="n">
        <v>-0.474874045756492</v>
      </c>
      <c r="S734" s="17" t="b">
        <f aca="false">FALSE()</f>
        <v>0</v>
      </c>
    </row>
    <row r="735" customFormat="false" ht="15" hidden="false" customHeight="true" outlineLevel="0" collapsed="false">
      <c r="A735" s="12" t="n">
        <v>42371</v>
      </c>
      <c r="B735" s="13" t="n">
        <v>262421.281864558</v>
      </c>
      <c r="C735" s="13" t="n">
        <v>285675.845713161</v>
      </c>
      <c r="D735" s="13" t="n">
        <v>7479</v>
      </c>
      <c r="E735" s="14" t="n">
        <v>35.0877499484634</v>
      </c>
      <c r="F735" s="14" t="n">
        <v>38.1970645424737</v>
      </c>
      <c r="G735" s="13" t="n">
        <v>-23254.563848603</v>
      </c>
      <c r="H735" s="15" t="n">
        <v>-0.0886153885209862</v>
      </c>
      <c r="I735" s="15" t="n">
        <v>-0.0886153885209861</v>
      </c>
      <c r="J735" s="16" t="n">
        <v>2016</v>
      </c>
      <c r="K735" s="16" t="n">
        <v>1</v>
      </c>
      <c r="L735" s="16" t="n">
        <v>53</v>
      </c>
      <c r="M735" s="16" t="s">
        <v>37</v>
      </c>
      <c r="N735" s="17" t="b">
        <f aca="false">TRUE()</f>
        <v>1</v>
      </c>
      <c r="O735" s="14" t="n">
        <v>37.7623901691953</v>
      </c>
      <c r="P735" s="13" t="n">
        <v>5727.28571428572</v>
      </c>
      <c r="Q735" s="15" t="n">
        <v>-0.0708281496152164</v>
      </c>
      <c r="R735" s="15" t="n">
        <v>0.305854181736549</v>
      </c>
      <c r="S735" s="17" t="b">
        <f aca="false">TRUE()</f>
        <v>1</v>
      </c>
    </row>
    <row r="736" customFormat="false" ht="15" hidden="false" customHeight="true" outlineLevel="0" collapsed="false">
      <c r="A736" s="12" t="n">
        <v>42372</v>
      </c>
      <c r="B736" s="13" t="n">
        <v>164527.538913355</v>
      </c>
      <c r="C736" s="13" t="n">
        <v>179308.949530555</v>
      </c>
      <c r="D736" s="13" t="n">
        <v>4694</v>
      </c>
      <c r="E736" s="14" t="n">
        <v>35.0506047961984</v>
      </c>
      <c r="F736" s="14" t="n">
        <v>38.199605779837</v>
      </c>
      <c r="G736" s="13" t="n">
        <v>-14781.4106171997</v>
      </c>
      <c r="H736" s="15" t="n">
        <v>-0.0898415591385223</v>
      </c>
      <c r="I736" s="15" t="n">
        <v>-0.0898415591385223</v>
      </c>
      <c r="J736" s="16" t="n">
        <v>2016</v>
      </c>
      <c r="K736" s="16" t="n">
        <v>1</v>
      </c>
      <c r="L736" s="16" t="n">
        <v>53</v>
      </c>
      <c r="M736" s="16" t="s">
        <v>38</v>
      </c>
      <c r="N736" s="17" t="b">
        <f aca="false">TRUE()</f>
        <v>1</v>
      </c>
      <c r="O736" s="14" t="n">
        <v>37.7283389769004</v>
      </c>
      <c r="P736" s="13" t="n">
        <v>5583.64285714286</v>
      </c>
      <c r="Q736" s="15" t="n">
        <v>-0.0709740808452102</v>
      </c>
      <c r="R736" s="15" t="n">
        <v>-0.159330186386256</v>
      </c>
      <c r="S736" s="17" t="b">
        <f aca="false">FALSE()</f>
        <v>0</v>
      </c>
    </row>
    <row r="737" customFormat="false" ht="15" hidden="false" customHeight="true" outlineLevel="0" collapsed="false">
      <c r="A737" s="12" t="n">
        <v>42373</v>
      </c>
      <c r="B737" s="13" t="n">
        <v>274990.146499199</v>
      </c>
      <c r="C737" s="13" t="n">
        <v>299576.241369663</v>
      </c>
      <c r="D737" s="13" t="n">
        <v>7843</v>
      </c>
      <c r="E737" s="14" t="n">
        <v>35.0618572611499</v>
      </c>
      <c r="F737" s="14" t="n">
        <v>38.1966392158183</v>
      </c>
      <c r="G737" s="13" t="n">
        <v>-24586.0948704639</v>
      </c>
      <c r="H737" s="15" t="n">
        <v>-0.0894071848881157</v>
      </c>
      <c r="I737" s="15" t="n">
        <v>-0.0894071848881158</v>
      </c>
      <c r="J737" s="16" t="n">
        <v>2016</v>
      </c>
      <c r="K737" s="16" t="n">
        <v>1</v>
      </c>
      <c r="L737" s="16" t="n">
        <v>1</v>
      </c>
      <c r="M737" s="16" t="s">
        <v>32</v>
      </c>
      <c r="N737" s="17" t="b">
        <f aca="false">FALSE()</f>
        <v>0</v>
      </c>
      <c r="O737" s="14" t="n">
        <v>37.7002853542033</v>
      </c>
      <c r="P737" s="13" t="n">
        <v>5605.92857142857</v>
      </c>
      <c r="Q737" s="15" t="n">
        <v>-0.0699843003379062</v>
      </c>
      <c r="R737" s="15" t="n">
        <v>0.399054572327765</v>
      </c>
      <c r="S737" s="17" t="b">
        <f aca="false">TRUE()</f>
        <v>1</v>
      </c>
    </row>
    <row r="738" customFormat="false" ht="15" hidden="false" customHeight="true" outlineLevel="0" collapsed="false">
      <c r="A738" s="12" t="n">
        <v>42374</v>
      </c>
      <c r="B738" s="13" t="n">
        <v>215737.842798714</v>
      </c>
      <c r="C738" s="13" t="n">
        <v>234642.085748132</v>
      </c>
      <c r="D738" s="13" t="n">
        <v>6150</v>
      </c>
      <c r="E738" s="14" t="n">
        <v>35.0793240323112</v>
      </c>
      <c r="F738" s="14" t="n">
        <v>38.1531846744931</v>
      </c>
      <c r="G738" s="13" t="n">
        <v>-18904.2429494183</v>
      </c>
      <c r="H738" s="15" t="n">
        <v>-0.0876259941426047</v>
      </c>
      <c r="I738" s="15" t="n">
        <v>-0.0876259941426047</v>
      </c>
      <c r="J738" s="16" t="n">
        <v>2016</v>
      </c>
      <c r="K738" s="16" t="n">
        <v>1</v>
      </c>
      <c r="L738" s="16" t="n">
        <v>1</v>
      </c>
      <c r="M738" s="16" t="s">
        <v>33</v>
      </c>
      <c r="N738" s="17" t="b">
        <f aca="false">FALSE()</f>
        <v>0</v>
      </c>
      <c r="O738" s="14" t="n">
        <v>37.6839324212062</v>
      </c>
      <c r="P738" s="13" t="n">
        <v>5580.71428571429</v>
      </c>
      <c r="Q738" s="15" t="n">
        <v>-0.0691172131342983</v>
      </c>
      <c r="R738" s="15" t="n">
        <v>0.102009471393831</v>
      </c>
      <c r="S738" s="17" t="b">
        <f aca="false">TRUE()</f>
        <v>1</v>
      </c>
    </row>
    <row r="739" customFormat="false" ht="15" hidden="false" customHeight="true" outlineLevel="0" collapsed="false">
      <c r="A739" s="12" t="n">
        <v>42375</v>
      </c>
      <c r="B739" s="13" t="n">
        <v>98646.9826975288</v>
      </c>
      <c r="C739" s="13" t="n">
        <v>91610.5600019723</v>
      </c>
      <c r="D739" s="13" t="n">
        <v>2401</v>
      </c>
      <c r="E739" s="14" t="n">
        <v>41.0857903779795</v>
      </c>
      <c r="F739" s="14" t="n">
        <v>38.1551686805382</v>
      </c>
      <c r="G739" s="13" t="n">
        <v>7036.4226955565</v>
      </c>
      <c r="H739" s="15" t="n">
        <v>0.0713293250654362</v>
      </c>
      <c r="I739" s="15" t="n">
        <v>0.0713293250654361</v>
      </c>
      <c r="J739" s="16" t="n">
        <v>2016</v>
      </c>
      <c r="K739" s="16" t="n">
        <v>1</v>
      </c>
      <c r="L739" s="16" t="n">
        <v>1</v>
      </c>
      <c r="M739" s="16" t="s">
        <v>34</v>
      </c>
      <c r="N739" s="17" t="b">
        <f aca="false">FALSE()</f>
        <v>0</v>
      </c>
      <c r="O739" s="14" t="n">
        <v>37.6660629185052</v>
      </c>
      <c r="P739" s="13" t="n">
        <v>5386.92857142857</v>
      </c>
      <c r="Q739" s="15" t="n">
        <v>0.0907906798454951</v>
      </c>
      <c r="R739" s="15" t="n">
        <v>-0.554291472744872</v>
      </c>
      <c r="S739" s="17" t="b">
        <f aca="false">FALSE()</f>
        <v>0</v>
      </c>
    </row>
    <row r="740" customFormat="false" ht="15" hidden="false" customHeight="true" outlineLevel="0" collapsed="false">
      <c r="A740" s="12" t="n">
        <v>42376</v>
      </c>
      <c r="B740" s="13" t="n">
        <v>74401.2152930205</v>
      </c>
      <c r="C740" s="13" t="n">
        <v>68988.8612591064</v>
      </c>
      <c r="D740" s="13" t="n">
        <v>1808</v>
      </c>
      <c r="E740" s="14" t="n">
        <v>41.1511146532193</v>
      </c>
      <c r="F740" s="14" t="n">
        <v>38.1575560061429</v>
      </c>
      <c r="G740" s="13" t="n">
        <v>5412.35403391413</v>
      </c>
      <c r="H740" s="15" t="n">
        <v>0.0727455057366766</v>
      </c>
      <c r="I740" s="15" t="n">
        <v>0.0727455057366765</v>
      </c>
      <c r="J740" s="16" t="n">
        <v>2016</v>
      </c>
      <c r="K740" s="16" t="n">
        <v>1</v>
      </c>
      <c r="L740" s="16" t="n">
        <v>1</v>
      </c>
      <c r="M740" s="16" t="s">
        <v>35</v>
      </c>
      <c r="N740" s="17" t="b">
        <f aca="false">FALSE()</f>
        <v>0</v>
      </c>
      <c r="O740" s="14" t="n">
        <v>37.6674202321689</v>
      </c>
      <c r="P740" s="13" t="n">
        <v>5091.71428571429</v>
      </c>
      <c r="Q740" s="15" t="n">
        <v>0.0924856122234564</v>
      </c>
      <c r="R740" s="15" t="n">
        <v>-0.644913304528365</v>
      </c>
      <c r="S740" s="17" t="b">
        <f aca="false">FALSE()</f>
        <v>0</v>
      </c>
    </row>
    <row r="741" customFormat="false" ht="15" hidden="false" customHeight="true" outlineLevel="0" collapsed="false">
      <c r="A741" s="12" t="n">
        <v>42377</v>
      </c>
      <c r="B741" s="13" t="n">
        <v>106592.342996268</v>
      </c>
      <c r="C741" s="13" t="n">
        <v>99021.6829206922</v>
      </c>
      <c r="D741" s="13" t="n">
        <v>2594</v>
      </c>
      <c r="E741" s="14" t="n">
        <v>41.0918824195327</v>
      </c>
      <c r="F741" s="14" t="n">
        <v>38.1733550195421</v>
      </c>
      <c r="G741" s="13" t="n">
        <v>7570.66007557577</v>
      </c>
      <c r="H741" s="15" t="n">
        <v>0.0710244269219304</v>
      </c>
      <c r="I741" s="15" t="n">
        <v>0.0710244269219304</v>
      </c>
      <c r="J741" s="16" t="n">
        <v>2016</v>
      </c>
      <c r="K741" s="16" t="n">
        <v>1</v>
      </c>
      <c r="L741" s="16" t="n">
        <v>1</v>
      </c>
      <c r="M741" s="16" t="s">
        <v>36</v>
      </c>
      <c r="N741" s="17" t="b">
        <f aca="false">FALSE()</f>
        <v>0</v>
      </c>
      <c r="O741" s="14" t="n">
        <v>37.6700669514953</v>
      </c>
      <c r="P741" s="13" t="n">
        <v>4539.42857142857</v>
      </c>
      <c r="Q741" s="15" t="n">
        <v>0.0908364583594564</v>
      </c>
      <c r="R741" s="15" t="n">
        <v>-0.428562437059416</v>
      </c>
      <c r="S741" s="17" t="b">
        <f aca="false">FALSE()</f>
        <v>0</v>
      </c>
    </row>
    <row r="742" customFormat="false" ht="15" hidden="false" customHeight="true" outlineLevel="0" collapsed="false">
      <c r="A742" s="12" t="n">
        <v>42378</v>
      </c>
      <c r="B742" s="13" t="n">
        <v>134629.65819693</v>
      </c>
      <c r="C742" s="13" t="n">
        <v>124963.465513847</v>
      </c>
      <c r="D742" s="13" t="n">
        <v>3274</v>
      </c>
      <c r="E742" s="14" t="n">
        <v>41.1208485635095</v>
      </c>
      <c r="F742" s="14" t="n">
        <v>38.1684378478458</v>
      </c>
      <c r="G742" s="13" t="n">
        <v>9666.19268308309</v>
      </c>
      <c r="H742" s="15" t="n">
        <v>0.0717983898387666</v>
      </c>
      <c r="I742" s="15" t="n">
        <v>0.0717983898387667</v>
      </c>
      <c r="J742" s="16" t="n">
        <v>2016</v>
      </c>
      <c r="K742" s="16" t="n">
        <v>1</v>
      </c>
      <c r="L742" s="16" t="n">
        <v>1</v>
      </c>
      <c r="M742" s="16" t="s">
        <v>37</v>
      </c>
      <c r="N742" s="17" t="b">
        <f aca="false">TRUE()</f>
        <v>1</v>
      </c>
      <c r="O742" s="14" t="n">
        <v>37.6715188957992</v>
      </c>
      <c r="P742" s="13" t="n">
        <v>4492.14285714286</v>
      </c>
      <c r="Q742" s="15" t="n">
        <v>0.0915633287113089</v>
      </c>
      <c r="R742" s="15" t="n">
        <v>-0.271171887422484</v>
      </c>
      <c r="S742" s="17" t="b">
        <f aca="false">FALSE()</f>
        <v>0</v>
      </c>
    </row>
    <row r="743" customFormat="false" ht="15" hidden="false" customHeight="true" outlineLevel="0" collapsed="false">
      <c r="A743" s="12" t="n">
        <v>42379</v>
      </c>
      <c r="B743" s="13" t="n">
        <v>90773.6530579092</v>
      </c>
      <c r="C743" s="13" t="n">
        <v>84299.2882399804</v>
      </c>
      <c r="D743" s="13" t="n">
        <v>2207</v>
      </c>
      <c r="E743" s="14" t="n">
        <v>41.1298835785723</v>
      </c>
      <c r="F743" s="14" t="n">
        <v>38.1963245310287</v>
      </c>
      <c r="G743" s="13" t="n">
        <v>6474.36481792871</v>
      </c>
      <c r="H743" s="15" t="n">
        <v>0.0713242730663091</v>
      </c>
      <c r="I743" s="15" t="n">
        <v>0.0713242730663091</v>
      </c>
      <c r="J743" s="16" t="n">
        <v>2016</v>
      </c>
      <c r="K743" s="16" t="n">
        <v>1</v>
      </c>
      <c r="L743" s="16" t="n">
        <v>1</v>
      </c>
      <c r="M743" s="16" t="s">
        <v>38</v>
      </c>
      <c r="N743" s="17" t="b">
        <f aca="false">TRUE()</f>
        <v>1</v>
      </c>
      <c r="O743" s="14" t="n">
        <v>37.6714416872985</v>
      </c>
      <c r="P743" s="13" t="n">
        <v>4582.21428571429</v>
      </c>
      <c r="Q743" s="15" t="n">
        <v>0.0918054031481336</v>
      </c>
      <c r="R743" s="15" t="n">
        <v>-0.51835513086312</v>
      </c>
      <c r="S743" s="17" t="b">
        <f aca="false">FALSE()</f>
        <v>0</v>
      </c>
    </row>
    <row r="744" customFormat="false" ht="15" hidden="false" customHeight="true" outlineLevel="0" collapsed="false">
      <c r="A744" s="12" t="n">
        <v>42380</v>
      </c>
      <c r="B744" s="13" t="n">
        <v>121373.068224416</v>
      </c>
      <c r="C744" s="13" t="n">
        <v>112550.432308733</v>
      </c>
      <c r="D744" s="13" t="n">
        <v>2949</v>
      </c>
      <c r="E744" s="14" t="n">
        <v>41.1573646064484</v>
      </c>
      <c r="F744" s="14" t="n">
        <v>38.1656264186954</v>
      </c>
      <c r="G744" s="13" t="n">
        <v>8822.63591568367</v>
      </c>
      <c r="H744" s="15" t="n">
        <v>0.0726902272864256</v>
      </c>
      <c r="I744" s="15" t="n">
        <v>0.0726902272864256</v>
      </c>
      <c r="J744" s="16" t="n">
        <v>2016</v>
      </c>
      <c r="K744" s="16" t="n">
        <v>1</v>
      </c>
      <c r="L744" s="16" t="n">
        <v>2</v>
      </c>
      <c r="M744" s="16" t="s">
        <v>32</v>
      </c>
      <c r="N744" s="17" t="b">
        <f aca="false">FALSE()</f>
        <v>0</v>
      </c>
      <c r="O744" s="14" t="n">
        <v>37.6743514323595</v>
      </c>
      <c r="P744" s="13" t="n">
        <v>4619</v>
      </c>
      <c r="Q744" s="15" t="n">
        <v>0.0924505145189386</v>
      </c>
      <c r="R744" s="15" t="n">
        <v>-0.361550119073393</v>
      </c>
      <c r="S744" s="17" t="b">
        <f aca="false">FALSE()</f>
        <v>0</v>
      </c>
    </row>
    <row r="745" customFormat="false" ht="15" hidden="false" customHeight="true" outlineLevel="0" collapsed="false">
      <c r="A745" s="12" t="n">
        <v>42381</v>
      </c>
      <c r="B745" s="13" t="n">
        <v>99445.5571039792</v>
      </c>
      <c r="C745" s="13" t="n">
        <v>92226.518095758</v>
      </c>
      <c r="D745" s="13" t="n">
        <v>2417</v>
      </c>
      <c r="E745" s="14" t="n">
        <v>41.1442106346625</v>
      </c>
      <c r="F745" s="14" t="n">
        <v>38.1574340487207</v>
      </c>
      <c r="G745" s="13" t="n">
        <v>7219.03900822114</v>
      </c>
      <c r="H745" s="15" t="n">
        <v>0.0725928761269143</v>
      </c>
      <c r="I745" s="15" t="n">
        <v>0.0725928761269144</v>
      </c>
      <c r="J745" s="16" t="n">
        <v>2016</v>
      </c>
      <c r="K745" s="16" t="n">
        <v>1</v>
      </c>
      <c r="L745" s="16" t="n">
        <v>2</v>
      </c>
      <c r="M745" s="16" t="s">
        <v>33</v>
      </c>
      <c r="N745" s="17" t="b">
        <f aca="false">FALSE()</f>
        <v>0</v>
      </c>
      <c r="O745" s="14" t="n">
        <v>37.6761546910813</v>
      </c>
      <c r="P745" s="13" t="n">
        <v>4598.64285714286</v>
      </c>
      <c r="Q745" s="15" t="n">
        <v>0.0920490950315074</v>
      </c>
      <c r="R745" s="15" t="n">
        <v>-0.474410152063497</v>
      </c>
      <c r="S745" s="17" t="b">
        <f aca="false">FALSE()</f>
        <v>0</v>
      </c>
    </row>
    <row r="746" customFormat="false" ht="15" hidden="false" customHeight="true" outlineLevel="0" collapsed="false">
      <c r="A746" s="12" t="n">
        <v>42382</v>
      </c>
      <c r="B746" s="13" t="n">
        <v>67587.5469300704</v>
      </c>
      <c r="C746" s="13" t="n">
        <v>62760.3568314623</v>
      </c>
      <c r="D746" s="13" t="n">
        <v>1644</v>
      </c>
      <c r="E746" s="14" t="n">
        <v>41.1116465511377</v>
      </c>
      <c r="F746" s="14" t="n">
        <v>38.1753995325196</v>
      </c>
      <c r="G746" s="13" t="n">
        <v>4827.19009860809</v>
      </c>
      <c r="H746" s="15" t="n">
        <v>0.0714212945707669</v>
      </c>
      <c r="I746" s="15" t="n">
        <v>0.071421294570767</v>
      </c>
      <c r="J746" s="16" t="n">
        <v>2016</v>
      </c>
      <c r="K746" s="16" t="n">
        <v>1</v>
      </c>
      <c r="L746" s="16" t="n">
        <v>2</v>
      </c>
      <c r="M746" s="16" t="s">
        <v>34</v>
      </c>
      <c r="N746" s="17" t="b">
        <f aca="false">FALSE()</f>
        <v>0</v>
      </c>
      <c r="O746" s="14" t="n">
        <v>38.1065101951028</v>
      </c>
      <c r="P746" s="13" t="n">
        <v>4443.28571428572</v>
      </c>
      <c r="Q746" s="15" t="n">
        <v>0.0788614948114845</v>
      </c>
      <c r="R746" s="15" t="n">
        <v>-0.630003536636337</v>
      </c>
      <c r="S746" s="17" t="b">
        <f aca="false">FALSE()</f>
        <v>0</v>
      </c>
    </row>
    <row r="747" customFormat="false" ht="15" hidden="false" customHeight="true" outlineLevel="0" collapsed="false">
      <c r="A747" s="12" t="n">
        <v>42383</v>
      </c>
      <c r="B747" s="13" t="n">
        <v>61685.9352384104</v>
      </c>
      <c r="C747" s="13" t="n">
        <v>57191.4393177916</v>
      </c>
      <c r="D747" s="13" t="n">
        <v>1499</v>
      </c>
      <c r="E747" s="14" t="n">
        <v>41.1513910863311</v>
      </c>
      <c r="F747" s="14" t="n">
        <v>38.1530615862519</v>
      </c>
      <c r="G747" s="13" t="n">
        <v>4494.4959206188</v>
      </c>
      <c r="H747" s="15" t="n">
        <v>0.0728609512565221</v>
      </c>
      <c r="I747" s="15" t="n">
        <v>0.0728609512565221</v>
      </c>
      <c r="J747" s="16" t="n">
        <v>2016</v>
      </c>
      <c r="K747" s="16" t="n">
        <v>1</v>
      </c>
      <c r="L747" s="16" t="n">
        <v>2</v>
      </c>
      <c r="M747" s="16" t="s">
        <v>35</v>
      </c>
      <c r="N747" s="17" t="b">
        <f aca="false">FALSE()</f>
        <v>0</v>
      </c>
      <c r="O747" s="14" t="n">
        <v>38.5369501897701</v>
      </c>
      <c r="P747" s="13" t="n">
        <v>4136.07142857143</v>
      </c>
      <c r="Q747" s="15" t="n">
        <v>0.0678424442953209</v>
      </c>
      <c r="R747" s="15" t="n">
        <v>-0.637578792850358</v>
      </c>
      <c r="S747" s="17" t="b">
        <f aca="false">FALSE()</f>
        <v>0</v>
      </c>
    </row>
    <row r="748" customFormat="false" ht="15" hidden="false" customHeight="true" outlineLevel="0" collapsed="false">
      <c r="A748" s="12" t="n">
        <v>42384</v>
      </c>
      <c r="B748" s="13" t="n">
        <v>150006.929791824</v>
      </c>
      <c r="C748" s="13" t="n">
        <v>139244.895767709</v>
      </c>
      <c r="D748" s="13" t="n">
        <v>3648</v>
      </c>
      <c r="E748" s="14" t="n">
        <v>41.1203206666184</v>
      </c>
      <c r="F748" s="14" t="n">
        <v>38.1702016907097</v>
      </c>
      <c r="G748" s="13" t="n">
        <v>10762.0340241148</v>
      </c>
      <c r="H748" s="15" t="n">
        <v>0.0717435790403159</v>
      </c>
      <c r="I748" s="15" t="n">
        <v>0.0717435790403159</v>
      </c>
      <c r="J748" s="16" t="n">
        <v>2016</v>
      </c>
      <c r="K748" s="16" t="n">
        <v>1</v>
      </c>
      <c r="L748" s="16" t="n">
        <v>2</v>
      </c>
      <c r="M748" s="16" t="s">
        <v>36</v>
      </c>
      <c r="N748" s="17" t="b">
        <f aca="false">FALSE()</f>
        <v>0</v>
      </c>
      <c r="O748" s="14" t="n">
        <v>38.9674893714517</v>
      </c>
      <c r="P748" s="13" t="n">
        <v>3581.28571428571</v>
      </c>
      <c r="Q748" s="15" t="n">
        <v>0.0552468565435446</v>
      </c>
      <c r="R748" s="15" t="n">
        <v>0.0186285851051099</v>
      </c>
      <c r="S748" s="17" t="b">
        <f aca="false">FALSE()</f>
        <v>0</v>
      </c>
    </row>
    <row r="749" customFormat="false" ht="15" hidden="false" customHeight="true" outlineLevel="0" collapsed="false">
      <c r="A749" s="12" t="n">
        <v>42385</v>
      </c>
      <c r="B749" s="13" t="n">
        <v>191287.353485503</v>
      </c>
      <c r="C749" s="13" t="n">
        <v>177577.287213495</v>
      </c>
      <c r="D749" s="13" t="n">
        <v>4652</v>
      </c>
      <c r="E749" s="14" t="n">
        <v>41.1193795110711</v>
      </c>
      <c r="F749" s="14" t="n">
        <v>38.172245746667</v>
      </c>
      <c r="G749" s="13" t="n">
        <v>13710.0662720081</v>
      </c>
      <c r="H749" s="15" t="n">
        <v>0.0716726224823174</v>
      </c>
      <c r="I749" s="15" t="n">
        <v>0.0716726224823175</v>
      </c>
      <c r="J749" s="16" t="n">
        <v>2016</v>
      </c>
      <c r="K749" s="16" t="n">
        <v>1</v>
      </c>
      <c r="L749" s="16" t="n">
        <v>2</v>
      </c>
      <c r="M749" s="16" t="s">
        <v>37</v>
      </c>
      <c r="N749" s="17" t="b">
        <f aca="false">TRUE()</f>
        <v>1</v>
      </c>
      <c r="O749" s="14" t="n">
        <v>39.3959992268668</v>
      </c>
      <c r="P749" s="13" t="n">
        <v>3614.78571428571</v>
      </c>
      <c r="Q749" s="15" t="n">
        <v>0.0437450583314332</v>
      </c>
      <c r="R749" s="15" t="n">
        <v>0.28693658979983</v>
      </c>
      <c r="S749" s="17" t="b">
        <f aca="false">FALSE()</f>
        <v>0</v>
      </c>
    </row>
    <row r="750" customFormat="false" ht="15" hidden="false" customHeight="true" outlineLevel="0" collapsed="false">
      <c r="A750" s="12" t="n">
        <v>42386</v>
      </c>
      <c r="B750" s="13" t="n">
        <v>92595.4608369392</v>
      </c>
      <c r="C750" s="13" t="n">
        <v>86018.1896055194</v>
      </c>
      <c r="D750" s="13" t="n">
        <v>2252</v>
      </c>
      <c r="E750" s="14" t="n">
        <v>41.116989714449</v>
      </c>
      <c r="F750" s="14" t="n">
        <v>38.1963541765184</v>
      </c>
      <c r="G750" s="13" t="n">
        <v>6577.27123141977</v>
      </c>
      <c r="H750" s="15" t="n">
        <v>0.0710323289281141</v>
      </c>
      <c r="I750" s="15" t="n">
        <v>0.071032328928114</v>
      </c>
      <c r="J750" s="16" t="n">
        <v>2016</v>
      </c>
      <c r="K750" s="16" t="n">
        <v>1</v>
      </c>
      <c r="L750" s="16" t="n">
        <v>2</v>
      </c>
      <c r="M750" s="16" t="s">
        <v>38</v>
      </c>
      <c r="N750" s="17" t="b">
        <f aca="false">TRUE()</f>
        <v>1</v>
      </c>
      <c r="O750" s="14" t="n">
        <v>39.8268299099102</v>
      </c>
      <c r="P750" s="13" t="n">
        <v>3412.85714285714</v>
      </c>
      <c r="Q750" s="15" t="n">
        <v>0.0323942379410372</v>
      </c>
      <c r="R750" s="15" t="n">
        <v>-0.340142318961909</v>
      </c>
      <c r="S750" s="17" t="b">
        <f aca="false">FALSE()</f>
        <v>0</v>
      </c>
    </row>
    <row r="751" customFormat="false" ht="15" hidden="false" customHeight="true" outlineLevel="0" collapsed="false">
      <c r="A751" s="12" t="n">
        <v>42387</v>
      </c>
      <c r="B751" s="13" t="n">
        <v>96947.0542884792</v>
      </c>
      <c r="C751" s="13" t="n">
        <v>89961.3595037727</v>
      </c>
      <c r="D751" s="13" t="n">
        <v>2357</v>
      </c>
      <c r="E751" s="14" t="n">
        <v>41.1315461554854</v>
      </c>
      <c r="F751" s="14" t="n">
        <v>38.1677384402939</v>
      </c>
      <c r="G751" s="13" t="n">
        <v>6985.69478470649</v>
      </c>
      <c r="H751" s="15" t="n">
        <v>0.0720568029217226</v>
      </c>
      <c r="I751" s="15" t="n">
        <v>0.0720568029217226</v>
      </c>
      <c r="J751" s="16" t="n">
        <v>2016</v>
      </c>
      <c r="K751" s="16" t="n">
        <v>1</v>
      </c>
      <c r="L751" s="16" t="n">
        <v>3</v>
      </c>
      <c r="M751" s="16" t="s">
        <v>32</v>
      </c>
      <c r="N751" s="17" t="b">
        <f aca="false">FALSE()</f>
        <v>0</v>
      </c>
      <c r="O751" s="14" t="n">
        <v>40.2601431183566</v>
      </c>
      <c r="P751" s="13" t="n">
        <v>3238.42857142857</v>
      </c>
      <c r="Q751" s="15" t="n">
        <v>0.0216443104677264</v>
      </c>
      <c r="R751" s="15" t="n">
        <v>-0.272177864043407</v>
      </c>
      <c r="S751" s="17" t="b">
        <f aca="false">FALSE()</f>
        <v>0</v>
      </c>
    </row>
    <row r="752" customFormat="false" ht="15" hidden="false" customHeight="true" outlineLevel="0" collapsed="false">
      <c r="A752" s="12" t="n">
        <v>42388</v>
      </c>
      <c r="B752" s="13" t="n">
        <v>70512.8945004905</v>
      </c>
      <c r="C752" s="13" t="n">
        <v>65453.2763915545</v>
      </c>
      <c r="D752" s="13" t="n">
        <v>1715</v>
      </c>
      <c r="E752" s="14" t="n">
        <v>41.1153903792948</v>
      </c>
      <c r="F752" s="14" t="n">
        <v>38.1651757385158</v>
      </c>
      <c r="G752" s="13" t="n">
        <v>5059.61810893599</v>
      </c>
      <c r="H752" s="15" t="n">
        <v>0.0717545087998167</v>
      </c>
      <c r="I752" s="15" t="n">
        <v>0.0717545087998167</v>
      </c>
      <c r="J752" s="16" t="n">
        <v>2016</v>
      </c>
      <c r="K752" s="16" t="n">
        <v>1</v>
      </c>
      <c r="L752" s="16" t="n">
        <v>3</v>
      </c>
      <c r="M752" s="16" t="s">
        <v>33</v>
      </c>
      <c r="N752" s="17" t="b">
        <f aca="false">FALSE()</f>
        <v>0</v>
      </c>
      <c r="O752" s="14" t="n">
        <v>40.6936923250949</v>
      </c>
      <c r="P752" s="13" t="n">
        <v>2846.57142857143</v>
      </c>
      <c r="Q752" s="15" t="n">
        <v>0.0103627375670655</v>
      </c>
      <c r="R752" s="15" t="n">
        <v>-0.397520827060122</v>
      </c>
      <c r="S752" s="17" t="b">
        <f aca="false">FALSE()</f>
        <v>0</v>
      </c>
    </row>
    <row r="753" customFormat="false" ht="15" hidden="false" customHeight="true" outlineLevel="0" collapsed="false">
      <c r="A753" s="12" t="n">
        <v>42389</v>
      </c>
      <c r="B753" s="13" t="n">
        <v>159590.490069201</v>
      </c>
      <c r="C753" s="13" t="n">
        <v>182351.138845242</v>
      </c>
      <c r="D753" s="13" t="n">
        <v>4776</v>
      </c>
      <c r="E753" s="14" t="n">
        <v>33.4150942355949</v>
      </c>
      <c r="F753" s="14" t="n">
        <v>38.1807242138278</v>
      </c>
      <c r="G753" s="13" t="n">
        <v>-22760.6487760402</v>
      </c>
      <c r="H753" s="15" t="n">
        <v>-0.142619079408621</v>
      </c>
      <c r="I753" s="15" t="n">
        <v>-0.142619079408621</v>
      </c>
      <c r="J753" s="16" t="n">
        <v>2016</v>
      </c>
      <c r="K753" s="16" t="n">
        <v>1</v>
      </c>
      <c r="L753" s="16" t="n">
        <v>3</v>
      </c>
      <c r="M753" s="16" t="s">
        <v>34</v>
      </c>
      <c r="N753" s="17" t="b">
        <f aca="false">FALSE()</f>
        <v>0</v>
      </c>
      <c r="O753" s="14" t="n">
        <v>41.124839921308</v>
      </c>
      <c r="P753" s="13" t="n">
        <v>2529.78571428571</v>
      </c>
      <c r="Q753" s="15" t="n">
        <v>-0.187471749445483</v>
      </c>
      <c r="R753" s="15" t="n">
        <v>0.887906937346472</v>
      </c>
      <c r="S753" s="17" t="b">
        <f aca="false">TRUE()</f>
        <v>1</v>
      </c>
    </row>
    <row r="754" customFormat="false" ht="15" hidden="false" customHeight="true" outlineLevel="0" collapsed="false">
      <c r="A754" s="12" t="n">
        <v>42390</v>
      </c>
      <c r="B754" s="13" t="n">
        <v>67046.2734158004</v>
      </c>
      <c r="C754" s="13" t="n">
        <v>61894.2625605305</v>
      </c>
      <c r="D754" s="13" t="n">
        <v>1628</v>
      </c>
      <c r="E754" s="14" t="n">
        <v>41.18321462887</v>
      </c>
      <c r="F754" s="14" t="n">
        <v>38.0185887963947</v>
      </c>
      <c r="G754" s="13" t="n">
        <v>5152.01085526987</v>
      </c>
      <c r="H754" s="15" t="n">
        <v>0.0768426132101135</v>
      </c>
      <c r="I754" s="15" t="n">
        <v>0.0768426132101136</v>
      </c>
      <c r="J754" s="16" t="n">
        <v>2016</v>
      </c>
      <c r="K754" s="16" t="n">
        <v>1</v>
      </c>
      <c r="L754" s="16" t="n">
        <v>3</v>
      </c>
      <c r="M754" s="16" t="s">
        <v>35</v>
      </c>
      <c r="N754" s="17" t="b">
        <f aca="false">FALSE()</f>
        <v>0</v>
      </c>
      <c r="O754" s="14" t="n">
        <v>40.5769330539948</v>
      </c>
      <c r="P754" s="13" t="n">
        <v>2699.42857142857</v>
      </c>
      <c r="Q754" s="15" t="n">
        <v>0.0149415327685916</v>
      </c>
      <c r="R754" s="15" t="n">
        <v>-0.396909398814564</v>
      </c>
      <c r="S754" s="17" t="b">
        <f aca="false">FALSE()</f>
        <v>0</v>
      </c>
    </row>
    <row r="755" customFormat="false" ht="15" hidden="false" customHeight="true" outlineLevel="0" collapsed="false">
      <c r="A755" s="12" t="n">
        <v>42391</v>
      </c>
      <c r="B755" s="13" t="n">
        <v>266949.238793142</v>
      </c>
      <c r="C755" s="13" t="n">
        <v>294322.927182735</v>
      </c>
      <c r="D755" s="13" t="n">
        <v>7806</v>
      </c>
      <c r="E755" s="14" t="n">
        <v>34.1979552643021</v>
      </c>
      <c r="F755" s="14" t="n">
        <v>37.704704993945</v>
      </c>
      <c r="G755" s="13" t="n">
        <v>-27373.6883895926</v>
      </c>
      <c r="H755" s="15" t="n">
        <v>-0.10254267258205</v>
      </c>
      <c r="I755" s="15" t="n">
        <v>-0.10254267258205</v>
      </c>
      <c r="J755" s="16" t="n">
        <v>2016</v>
      </c>
      <c r="K755" s="16" t="n">
        <v>1</v>
      </c>
      <c r="L755" s="16" t="n">
        <v>3</v>
      </c>
      <c r="M755" s="16" t="s">
        <v>36</v>
      </c>
      <c r="N755" s="17" t="b">
        <f aca="false">FALSE()</f>
        <v>0</v>
      </c>
      <c r="O755" s="14" t="n">
        <v>40.5792259093984</v>
      </c>
      <c r="P755" s="13" t="n">
        <v>2686.57142857143</v>
      </c>
      <c r="Q755" s="15" t="n">
        <v>-0.157254617408027</v>
      </c>
      <c r="R755" s="15" t="n">
        <v>1.90556205466341</v>
      </c>
      <c r="S755" s="17" t="b">
        <f aca="false">TRUE()</f>
        <v>1</v>
      </c>
    </row>
    <row r="756" customFormat="false" ht="15" hidden="false" customHeight="true" outlineLevel="0" collapsed="false">
      <c r="A756" s="12" t="n">
        <v>42392</v>
      </c>
      <c r="B756" s="13" t="n">
        <v>315272.224772122</v>
      </c>
      <c r="C756" s="13" t="n">
        <v>346093.067004291</v>
      </c>
      <c r="D756" s="13" t="n">
        <v>9210</v>
      </c>
      <c r="E756" s="14" t="n">
        <v>34.2315119187972</v>
      </c>
      <c r="F756" s="14" t="n">
        <v>37.5779660156668</v>
      </c>
      <c r="G756" s="13" t="n">
        <v>-30820.8422321691</v>
      </c>
      <c r="H756" s="15" t="n">
        <v>-0.0977594593194702</v>
      </c>
      <c r="I756" s="15" t="n">
        <v>-0.0977594593194703</v>
      </c>
      <c r="J756" s="16" t="n">
        <v>2016</v>
      </c>
      <c r="K756" s="16" t="n">
        <v>1</v>
      </c>
      <c r="L756" s="16" t="n">
        <v>3</v>
      </c>
      <c r="M756" s="16" t="s">
        <v>37</v>
      </c>
      <c r="N756" s="17" t="b">
        <f aca="false">TRUE()</f>
        <v>1</v>
      </c>
      <c r="O756" s="14" t="n">
        <v>40.0868025411677</v>
      </c>
      <c r="P756" s="13" t="n">
        <v>3058.85714285714</v>
      </c>
      <c r="Q756" s="15" t="n">
        <v>-0.146065294590591</v>
      </c>
      <c r="R756" s="15" t="n">
        <v>2.0109284513357</v>
      </c>
      <c r="S756" s="17" t="b">
        <f aca="false">TRUE()</f>
        <v>1</v>
      </c>
    </row>
    <row r="757" customFormat="false" ht="15" hidden="false" customHeight="true" outlineLevel="0" collapsed="false">
      <c r="A757" s="12" t="n">
        <v>42393</v>
      </c>
      <c r="B757" s="13" t="n">
        <v>149138.921518885</v>
      </c>
      <c r="C757" s="13" t="n">
        <v>163505.713019898</v>
      </c>
      <c r="D757" s="13" t="n">
        <v>4351</v>
      </c>
      <c r="E757" s="14" t="n">
        <v>34.2769297905965</v>
      </c>
      <c r="F757" s="14" t="n">
        <v>37.5788814111464</v>
      </c>
      <c r="G757" s="13" t="n">
        <v>-14366.7915010129</v>
      </c>
      <c r="H757" s="15" t="n">
        <v>-0.0963316038140566</v>
      </c>
      <c r="I757" s="15" t="n">
        <v>-0.0963316038140566</v>
      </c>
      <c r="J757" s="16" t="n">
        <v>2016</v>
      </c>
      <c r="K757" s="16" t="n">
        <v>1</v>
      </c>
      <c r="L757" s="16" t="n">
        <v>3</v>
      </c>
      <c r="M757" s="16" t="s">
        <v>38</v>
      </c>
      <c r="N757" s="17" t="b">
        <f aca="false">TRUE()</f>
        <v>1</v>
      </c>
      <c r="O757" s="14" t="n">
        <v>39.5947070665454</v>
      </c>
      <c r="P757" s="13" t="n">
        <v>3482.85714285714</v>
      </c>
      <c r="Q757" s="15" t="n">
        <v>-0.134305256180113</v>
      </c>
      <c r="R757" s="15" t="n">
        <v>0.249261689909762</v>
      </c>
      <c r="S757" s="17" t="b">
        <f aca="false">TRUE()</f>
        <v>1</v>
      </c>
    </row>
    <row r="758" customFormat="false" ht="15" hidden="false" customHeight="true" outlineLevel="0" collapsed="false">
      <c r="A758" s="12" t="n">
        <v>42394</v>
      </c>
      <c r="B758" s="13" t="n">
        <v>215171.03820177</v>
      </c>
      <c r="C758" s="13" t="n">
        <v>234621.598859709</v>
      </c>
      <c r="D758" s="13" t="n">
        <v>6278</v>
      </c>
      <c r="E758" s="14" t="n">
        <v>34.2738194013651</v>
      </c>
      <c r="F758" s="14" t="n">
        <v>37.3720291270642</v>
      </c>
      <c r="G758" s="13" t="n">
        <v>-19450.5606579388</v>
      </c>
      <c r="H758" s="15" t="n">
        <v>-0.0903958117249015</v>
      </c>
      <c r="I758" s="15" t="n">
        <v>-0.0903958117249014</v>
      </c>
      <c r="J758" s="16" t="n">
        <v>2016</v>
      </c>
      <c r="K758" s="16" t="n">
        <v>1</v>
      </c>
      <c r="L758" s="16" t="n">
        <v>4</v>
      </c>
      <c r="M758" s="16" t="s">
        <v>32</v>
      </c>
      <c r="N758" s="17" t="b">
        <f aca="false">FALSE()</f>
        <v>0</v>
      </c>
      <c r="O758" s="14" t="n">
        <v>39.1052103674042</v>
      </c>
      <c r="P758" s="13" t="n">
        <v>3636</v>
      </c>
      <c r="Q758" s="15" t="n">
        <v>-0.123548522579137</v>
      </c>
      <c r="R758" s="15" t="n">
        <v>0.726622662266227</v>
      </c>
      <c r="S758" s="17" t="b">
        <f aca="false">TRUE()</f>
        <v>1</v>
      </c>
    </row>
    <row r="759" customFormat="false" ht="15" hidden="false" customHeight="true" outlineLevel="0" collapsed="false">
      <c r="A759" s="12" t="n">
        <v>42395</v>
      </c>
      <c r="B759" s="13" t="n">
        <v>205197.898357169</v>
      </c>
      <c r="C759" s="13" t="n">
        <v>221931.580052744</v>
      </c>
      <c r="D759" s="13" t="n">
        <v>5992</v>
      </c>
      <c r="E759" s="14" t="n">
        <v>34.2453101397144</v>
      </c>
      <c r="F759" s="14" t="n">
        <v>37.0379806496568</v>
      </c>
      <c r="G759" s="13" t="n">
        <v>-16733.681695575</v>
      </c>
      <c r="H759" s="15" t="n">
        <v>-0.0815489916297693</v>
      </c>
      <c r="I759" s="15" t="n">
        <v>-0.0815489916297693</v>
      </c>
      <c r="J759" s="16" t="n">
        <v>2016</v>
      </c>
      <c r="K759" s="16" t="n">
        <v>1</v>
      </c>
      <c r="L759" s="16" t="n">
        <v>4</v>
      </c>
      <c r="M759" s="16" t="s">
        <v>33</v>
      </c>
      <c r="N759" s="17" t="b">
        <f aca="false">FALSE()</f>
        <v>0</v>
      </c>
      <c r="O759" s="14" t="n">
        <v>38.6135285670411</v>
      </c>
      <c r="P759" s="13" t="n">
        <v>3873.78571428571</v>
      </c>
      <c r="Q759" s="15" t="n">
        <v>-0.113126631764372</v>
      </c>
      <c r="R759" s="15" t="n">
        <v>0.546807294451718</v>
      </c>
      <c r="S759" s="17" t="b">
        <f aca="false">TRUE()</f>
        <v>1</v>
      </c>
    </row>
    <row r="760" customFormat="false" ht="15" hidden="false" customHeight="true" outlineLevel="0" collapsed="false">
      <c r="A760" s="12" t="n">
        <v>42396</v>
      </c>
      <c r="B760" s="13" t="n">
        <v>214452.248428695</v>
      </c>
      <c r="C760" s="13" t="n">
        <v>231730.232749898</v>
      </c>
      <c r="D760" s="13" t="n">
        <v>6265</v>
      </c>
      <c r="E760" s="14" t="n">
        <v>34.2302072511884</v>
      </c>
      <c r="F760" s="14" t="n">
        <v>36.9880658818672</v>
      </c>
      <c r="G760" s="13" t="n">
        <v>-17277.9843212032</v>
      </c>
      <c r="H760" s="15" t="n">
        <v>-0.0805679793417887</v>
      </c>
      <c r="I760" s="15" t="n">
        <v>-0.0805679793417885</v>
      </c>
      <c r="J760" s="16" t="n">
        <v>2016</v>
      </c>
      <c r="K760" s="16" t="n">
        <v>1</v>
      </c>
      <c r="L760" s="16" t="n">
        <v>4</v>
      </c>
      <c r="M760" s="16" t="s">
        <v>34</v>
      </c>
      <c r="N760" s="17" t="b">
        <f aca="false">FALSE()</f>
        <v>0</v>
      </c>
      <c r="O760" s="14" t="n">
        <v>38.1207499602591</v>
      </c>
      <c r="P760" s="13" t="n">
        <v>4129.14285714286</v>
      </c>
      <c r="Q760" s="15" t="n">
        <v>-0.102058398985504</v>
      </c>
      <c r="R760" s="15" t="n">
        <v>0.517264046498755</v>
      </c>
      <c r="S760" s="17" t="b">
        <f aca="false">TRUE()</f>
        <v>1</v>
      </c>
    </row>
    <row r="761" customFormat="false" ht="15" hidden="false" customHeight="true" outlineLevel="0" collapsed="false">
      <c r="A761" s="12" t="n">
        <v>42397</v>
      </c>
      <c r="B761" s="13" t="n">
        <v>195767.973554038</v>
      </c>
      <c r="C761" s="13" t="n">
        <v>210639.848189275</v>
      </c>
      <c r="D761" s="13" t="n">
        <v>5723</v>
      </c>
      <c r="E761" s="14" t="n">
        <v>34.2072293472021</v>
      </c>
      <c r="F761" s="14" t="n">
        <v>36.8058445202298</v>
      </c>
      <c r="G761" s="13" t="n">
        <v>-14871.8746352377</v>
      </c>
      <c r="H761" s="15" t="n">
        <v>-0.0759668415892991</v>
      </c>
      <c r="I761" s="15" t="n">
        <v>-0.0759668415892991</v>
      </c>
      <c r="J761" s="16" t="n">
        <v>2016</v>
      </c>
      <c r="K761" s="16" t="n">
        <v>1</v>
      </c>
      <c r="L761" s="16" t="n">
        <v>4</v>
      </c>
      <c r="M761" s="16" t="s">
        <v>35</v>
      </c>
      <c r="N761" s="17" t="b">
        <f aca="false">FALSE()</f>
        <v>0</v>
      </c>
      <c r="O761" s="14" t="n">
        <v>37.6292185816913</v>
      </c>
      <c r="P761" s="13" t="n">
        <v>4459.21428571429</v>
      </c>
      <c r="Q761" s="15" t="n">
        <v>-0.0909396836678985</v>
      </c>
      <c r="R761" s="15" t="n">
        <v>0.283409953707412</v>
      </c>
      <c r="S761" s="17" t="b">
        <f aca="false">TRUE()</f>
        <v>1</v>
      </c>
    </row>
    <row r="762" customFormat="false" ht="15" hidden="false" customHeight="true" outlineLevel="0" collapsed="false">
      <c r="A762" s="12" t="n">
        <v>42398</v>
      </c>
      <c r="B762" s="13" t="n">
        <v>397984.329262888</v>
      </c>
      <c r="C762" s="13" t="n">
        <v>437198.929579715</v>
      </c>
      <c r="D762" s="13" t="n">
        <v>11900</v>
      </c>
      <c r="E762" s="14" t="n">
        <v>33.4440612825956</v>
      </c>
      <c r="F762" s="14" t="n">
        <v>36.7394058470348</v>
      </c>
      <c r="G762" s="13" t="n">
        <v>-39214.6003168268</v>
      </c>
      <c r="H762" s="15" t="n">
        <v>-0.0985330261356187</v>
      </c>
      <c r="I762" s="15" t="n">
        <v>-0.0985330261356187</v>
      </c>
      <c r="J762" s="16" t="n">
        <v>2016</v>
      </c>
      <c r="K762" s="16" t="n">
        <v>1</v>
      </c>
      <c r="L762" s="16" t="n">
        <v>4</v>
      </c>
      <c r="M762" s="16" t="s">
        <v>36</v>
      </c>
      <c r="N762" s="17" t="b">
        <f aca="false">FALSE()</f>
        <v>0</v>
      </c>
      <c r="O762" s="14" t="n">
        <v>37.1332070288964</v>
      </c>
      <c r="P762" s="13" t="n">
        <v>4760.92857142857</v>
      </c>
      <c r="Q762" s="15" t="n">
        <v>-0.0993489666386731</v>
      </c>
      <c r="R762" s="15" t="n">
        <v>1.49951240004201</v>
      </c>
      <c r="S762" s="17" t="b">
        <f aca="false">TRUE()</f>
        <v>1</v>
      </c>
    </row>
    <row r="763" customFormat="false" ht="15" hidden="false" customHeight="true" outlineLevel="0" collapsed="false">
      <c r="A763" s="12" t="n">
        <v>42399</v>
      </c>
      <c r="B763" s="13" t="n">
        <v>512603.103453023</v>
      </c>
      <c r="C763" s="13" t="n">
        <v>561872.20603299</v>
      </c>
      <c r="D763" s="13" t="n">
        <v>15345</v>
      </c>
      <c r="E763" s="14" t="n">
        <v>33.4052201663749</v>
      </c>
      <c r="F763" s="14" t="n">
        <v>36.6159795394584</v>
      </c>
      <c r="G763" s="13" t="n">
        <v>-49269.1025799664</v>
      </c>
      <c r="H763" s="15" t="n">
        <v>-0.096115498029718</v>
      </c>
      <c r="I763" s="15" t="n">
        <v>-0.0961154980297182</v>
      </c>
      <c r="J763" s="16" t="n">
        <v>2016</v>
      </c>
      <c r="K763" s="16" t="n">
        <v>1</v>
      </c>
      <c r="L763" s="16" t="n">
        <v>4</v>
      </c>
      <c r="M763" s="16" t="s">
        <v>37</v>
      </c>
      <c r="N763" s="17" t="b">
        <f aca="false">TRUE()</f>
        <v>1</v>
      </c>
      <c r="O763" s="14" t="n">
        <v>36.5849027871805</v>
      </c>
      <c r="P763" s="13" t="n">
        <v>5350.35714285714</v>
      </c>
      <c r="Q763" s="15" t="n">
        <v>-0.08691242503232</v>
      </c>
      <c r="R763" s="15" t="n">
        <v>1.86803284159936</v>
      </c>
      <c r="S763" s="17" t="b">
        <f aca="false">TRUE()</f>
        <v>1</v>
      </c>
    </row>
    <row r="764" customFormat="false" ht="15" hidden="false" customHeight="true" outlineLevel="0" collapsed="false">
      <c r="A764" s="12" t="n">
        <v>42400</v>
      </c>
      <c r="B764" s="13" t="n">
        <v>218104.066939171</v>
      </c>
      <c r="C764" s="13" t="n">
        <v>238662.192104786</v>
      </c>
      <c r="D764" s="13" t="n">
        <v>6525</v>
      </c>
      <c r="E764" s="14" t="n">
        <v>33.4259106420186</v>
      </c>
      <c r="F764" s="14" t="n">
        <v>36.5765811654844</v>
      </c>
      <c r="G764" s="13" t="n">
        <v>-20558.1251656144</v>
      </c>
      <c r="H764" s="15" t="n">
        <v>-0.0942583302279643</v>
      </c>
      <c r="I764" s="15" t="n">
        <v>-0.0942583302279644</v>
      </c>
      <c r="J764" s="16" t="n">
        <v>2016</v>
      </c>
      <c r="K764" s="16" t="n">
        <v>1</v>
      </c>
      <c r="L764" s="16" t="n">
        <v>4</v>
      </c>
      <c r="M764" s="16" t="s">
        <v>38</v>
      </c>
      <c r="N764" s="17" t="b">
        <f aca="false">TRUE()</f>
        <v>1</v>
      </c>
      <c r="O764" s="14" t="n">
        <v>36.0338914054165</v>
      </c>
      <c r="P764" s="13" t="n">
        <v>6114.14285714286</v>
      </c>
      <c r="Q764" s="15" t="n">
        <v>-0.0723757735198655</v>
      </c>
      <c r="R764" s="15" t="n">
        <v>0.0671978317250404</v>
      </c>
      <c r="S764" s="17" t="b">
        <f aca="false">FALSE()</f>
        <v>0</v>
      </c>
    </row>
    <row r="765" customFormat="false" ht="15" hidden="false" customHeight="true" outlineLevel="0" collapsed="false">
      <c r="A765" s="12" t="n">
        <v>42401</v>
      </c>
      <c r="B765" s="13" t="n">
        <v>339004.336886763</v>
      </c>
      <c r="C765" s="13" t="n">
        <v>371177.186883032</v>
      </c>
      <c r="D765" s="13" t="n">
        <v>10153</v>
      </c>
      <c r="E765" s="14" t="n">
        <v>33.3895732184342</v>
      </c>
      <c r="F765" s="14" t="n">
        <v>36.5583755425029</v>
      </c>
      <c r="G765" s="13" t="n">
        <v>-32172.8499962692</v>
      </c>
      <c r="H765" s="15" t="n">
        <v>-0.0949039481079438</v>
      </c>
      <c r="I765" s="15" t="n">
        <v>-0.0949039481079439</v>
      </c>
      <c r="J765" s="16" t="n">
        <v>2016</v>
      </c>
      <c r="K765" s="16" t="n">
        <v>2</v>
      </c>
      <c r="L765" s="16" t="n">
        <v>5</v>
      </c>
      <c r="M765" s="16" t="s">
        <v>32</v>
      </c>
      <c r="N765" s="17" t="b">
        <f aca="false">FALSE()</f>
        <v>0</v>
      </c>
      <c r="O765" s="14" t="n">
        <v>35.4845286145286</v>
      </c>
      <c r="P765" s="13" t="n">
        <v>6419.35714285714</v>
      </c>
      <c r="Q765" s="15" t="n">
        <v>-0.059038557869883</v>
      </c>
      <c r="R765" s="15" t="n">
        <v>0.581622547874175</v>
      </c>
      <c r="S765" s="17" t="b">
        <f aca="false">TRUE()</f>
        <v>1</v>
      </c>
    </row>
    <row r="766" customFormat="false" ht="15" hidden="false" customHeight="true" outlineLevel="0" collapsed="false">
      <c r="A766" s="12" t="n">
        <v>42402</v>
      </c>
      <c r="B766" s="13" t="n">
        <v>278116.369327563</v>
      </c>
      <c r="C766" s="13" t="n">
        <v>295645.629108798</v>
      </c>
      <c r="D766" s="13" t="n">
        <v>8116</v>
      </c>
      <c r="E766" s="14" t="n">
        <v>34.2676650231103</v>
      </c>
      <c r="F766" s="14" t="n">
        <v>36.4275048187282</v>
      </c>
      <c r="G766" s="13" t="n">
        <v>-17529.2597812348</v>
      </c>
      <c r="H766" s="15" t="n">
        <v>-0.0630285078998317</v>
      </c>
      <c r="I766" s="15" t="n">
        <v>-0.0630285078998316</v>
      </c>
      <c r="J766" s="16" t="n">
        <v>2016</v>
      </c>
      <c r="K766" s="16" t="n">
        <v>2</v>
      </c>
      <c r="L766" s="16" t="n">
        <v>5</v>
      </c>
      <c r="M766" s="16" t="s">
        <v>33</v>
      </c>
      <c r="N766" s="17" t="b">
        <f aca="false">FALSE()</f>
        <v>0</v>
      </c>
      <c r="O766" s="14" t="n">
        <v>34.9315305475963</v>
      </c>
      <c r="P766" s="13" t="n">
        <v>6976.21428571429</v>
      </c>
      <c r="Q766" s="15" t="n">
        <v>-0.0190047648665566</v>
      </c>
      <c r="R766" s="15" t="n">
        <v>0.163381694943021</v>
      </c>
      <c r="S766" s="17" t="b">
        <f aca="false">FALSE()</f>
        <v>0</v>
      </c>
    </row>
    <row r="767" customFormat="false" ht="15" hidden="false" customHeight="true" outlineLevel="0" collapsed="false">
      <c r="A767" s="12" t="n">
        <v>42403</v>
      </c>
      <c r="B767" s="13" t="n">
        <v>264159.300610374</v>
      </c>
      <c r="C767" s="13" t="n">
        <v>280392.273599945</v>
      </c>
      <c r="D767" s="13" t="n">
        <v>7712</v>
      </c>
      <c r="E767" s="14" t="n">
        <v>34.2530213447061</v>
      </c>
      <c r="F767" s="14" t="n">
        <v>36.3579192945987</v>
      </c>
      <c r="G767" s="13" t="n">
        <v>-16232.9729895716</v>
      </c>
      <c r="H767" s="15" t="n">
        <v>-0.0614514535436129</v>
      </c>
      <c r="I767" s="15" t="n">
        <v>-0.0614514535436129</v>
      </c>
      <c r="J767" s="16" t="n">
        <v>2016</v>
      </c>
      <c r="K767" s="16" t="n">
        <v>2</v>
      </c>
      <c r="L767" s="16" t="n">
        <v>5</v>
      </c>
      <c r="M767" s="16" t="s">
        <v>34</v>
      </c>
      <c r="N767" s="17" t="b">
        <f aca="false">FALSE()</f>
        <v>0</v>
      </c>
      <c r="O767" s="14" t="n">
        <v>34.4424073078689</v>
      </c>
      <c r="P767" s="13" t="n">
        <v>7433.42857142857</v>
      </c>
      <c r="Q767" s="15" t="n">
        <v>-0.00549862735986815</v>
      </c>
      <c r="R767" s="15" t="n">
        <v>0.03747549679056</v>
      </c>
      <c r="S767" s="17" t="b">
        <f aca="false">FALSE()</f>
        <v>0</v>
      </c>
    </row>
    <row r="768" customFormat="false" ht="15" hidden="false" customHeight="true" outlineLevel="0" collapsed="false">
      <c r="A768" s="12" t="n">
        <v>42404</v>
      </c>
      <c r="B768" s="13" t="n">
        <v>197778.133740559</v>
      </c>
      <c r="C768" s="13" t="n">
        <v>209372.292230828</v>
      </c>
      <c r="D768" s="13" t="n">
        <v>5759</v>
      </c>
      <c r="E768" s="14" t="n">
        <v>34.3424437820036</v>
      </c>
      <c r="F768" s="14" t="n">
        <v>36.3556680379976</v>
      </c>
      <c r="G768" s="13" t="n">
        <v>-11594.1584902691</v>
      </c>
      <c r="H768" s="15" t="n">
        <v>-0.0586220441612524</v>
      </c>
      <c r="I768" s="15" t="n">
        <v>-0.0586220441612525</v>
      </c>
      <c r="J768" s="16" t="n">
        <v>2016</v>
      </c>
      <c r="K768" s="16" t="n">
        <v>2</v>
      </c>
      <c r="L768" s="16" t="n">
        <v>5</v>
      </c>
      <c r="M768" s="16" t="s">
        <v>35</v>
      </c>
      <c r="N768" s="17" t="b">
        <f aca="false">FALSE()</f>
        <v>0</v>
      </c>
      <c r="O768" s="14" t="n">
        <v>34.502259244234</v>
      </c>
      <c r="P768" s="13" t="n">
        <v>7643.14285714286</v>
      </c>
      <c r="Q768" s="15" t="n">
        <v>-0.00463202890857232</v>
      </c>
      <c r="R768" s="15" t="n">
        <v>-0.246514149003776</v>
      </c>
      <c r="S768" s="17" t="b">
        <f aca="false">FALSE()</f>
        <v>0</v>
      </c>
    </row>
    <row r="769" customFormat="false" ht="15" hidden="false" customHeight="true" outlineLevel="0" collapsed="false">
      <c r="A769" s="12" t="n">
        <v>42405</v>
      </c>
      <c r="B769" s="13" t="n">
        <v>325749.008906947</v>
      </c>
      <c r="C769" s="13" t="n">
        <v>345287.811496579</v>
      </c>
      <c r="D769" s="13" t="n">
        <v>9501</v>
      </c>
      <c r="E769" s="14" t="n">
        <v>34.2857603312227</v>
      </c>
      <c r="F769" s="14" t="n">
        <v>36.3422599196484</v>
      </c>
      <c r="G769" s="13" t="n">
        <v>-19538.8025896325</v>
      </c>
      <c r="H769" s="15" t="n">
        <v>-0.0599811574414151</v>
      </c>
      <c r="I769" s="15" t="n">
        <v>-0.0599811574414152</v>
      </c>
      <c r="J769" s="16" t="n">
        <v>2016</v>
      </c>
      <c r="K769" s="16" t="n">
        <v>2</v>
      </c>
      <c r="L769" s="16" t="n">
        <v>5</v>
      </c>
      <c r="M769" s="16" t="s">
        <v>36</v>
      </c>
      <c r="N769" s="17" t="b">
        <f aca="false">FALSE()</f>
        <v>0</v>
      </c>
      <c r="O769" s="14" t="n">
        <v>34.0136327551721</v>
      </c>
      <c r="P769" s="13" t="n">
        <v>7938.21428571429</v>
      </c>
      <c r="Q769" s="15" t="n">
        <v>0.00800054431143472</v>
      </c>
      <c r="R769" s="15" t="n">
        <v>0.196868673235255</v>
      </c>
      <c r="S769" s="17" t="b">
        <f aca="false">FALSE()</f>
        <v>0</v>
      </c>
    </row>
    <row r="770" customFormat="false" ht="15" hidden="false" customHeight="true" outlineLevel="0" collapsed="false">
      <c r="A770" s="12" t="n">
        <v>42406</v>
      </c>
      <c r="B770" s="13" t="n">
        <v>371561.976387214</v>
      </c>
      <c r="C770" s="13" t="n">
        <v>393884.43303565</v>
      </c>
      <c r="D770" s="13" t="n">
        <v>10840</v>
      </c>
      <c r="E770" s="14" t="n">
        <v>34.2769350910714</v>
      </c>
      <c r="F770" s="14" t="n">
        <v>36.3362023095618</v>
      </c>
      <c r="G770" s="13" t="n">
        <v>-22322.4566484361</v>
      </c>
      <c r="H770" s="15" t="n">
        <v>-0.0600773439346045</v>
      </c>
      <c r="I770" s="15" t="n">
        <v>-0.0600773439346045</v>
      </c>
      <c r="J770" s="16" t="n">
        <v>2016</v>
      </c>
      <c r="K770" s="16" t="n">
        <v>2</v>
      </c>
      <c r="L770" s="16" t="n">
        <v>5</v>
      </c>
      <c r="M770" s="16" t="s">
        <v>37</v>
      </c>
      <c r="N770" s="17" t="b">
        <f aca="false">TRUE()</f>
        <v>1</v>
      </c>
      <c r="O770" s="14" t="n">
        <v>34.0199045456664</v>
      </c>
      <c r="P770" s="13" t="n">
        <v>8059.28571428572</v>
      </c>
      <c r="Q770" s="15" t="n">
        <v>0.00755529884159453</v>
      </c>
      <c r="R770" s="15" t="n">
        <v>0.345032349552424</v>
      </c>
      <c r="S770" s="17" t="b">
        <f aca="false">FALSE()</f>
        <v>0</v>
      </c>
    </row>
    <row r="771" customFormat="false" ht="15" hidden="false" customHeight="true" outlineLevel="0" collapsed="false">
      <c r="A771" s="12" t="n">
        <v>42407</v>
      </c>
      <c r="B771" s="13" t="n">
        <v>174581.676845831</v>
      </c>
      <c r="C771" s="13" t="n">
        <v>185040.817338933</v>
      </c>
      <c r="D771" s="13" t="n">
        <v>5089</v>
      </c>
      <c r="E771" s="14" t="n">
        <v>34.3056940156871</v>
      </c>
      <c r="F771" s="14" t="n">
        <v>36.360938757896</v>
      </c>
      <c r="G771" s="13" t="n">
        <v>-10459.1404931015</v>
      </c>
      <c r="H771" s="15" t="n">
        <v>-0.0599097263932098</v>
      </c>
      <c r="I771" s="15" t="n">
        <v>-0.05990972639321</v>
      </c>
      <c r="J771" s="16" t="n">
        <v>2016</v>
      </c>
      <c r="K771" s="16" t="n">
        <v>2</v>
      </c>
      <c r="L771" s="16" t="n">
        <v>5</v>
      </c>
      <c r="M771" s="16" t="s">
        <v>38</v>
      </c>
      <c r="N771" s="17" t="b">
        <f aca="false">TRUE()</f>
        <v>1</v>
      </c>
      <c r="O771" s="14" t="n">
        <v>34.0231490579717</v>
      </c>
      <c r="P771" s="13" t="n">
        <v>8175.71428571429</v>
      </c>
      <c r="Q771" s="15" t="n">
        <v>0.0083044916634234</v>
      </c>
      <c r="R771" s="15" t="n">
        <v>-0.37754674121964</v>
      </c>
      <c r="S771" s="17" t="b">
        <f aca="false">FALSE()</f>
        <v>0</v>
      </c>
    </row>
    <row r="772" customFormat="false" ht="15" hidden="false" customHeight="true" outlineLevel="0" collapsed="false">
      <c r="A772" s="12" t="n">
        <v>42408</v>
      </c>
      <c r="B772" s="13" t="n">
        <v>208489.369419331</v>
      </c>
      <c r="C772" s="13" t="n">
        <v>221372.836946832</v>
      </c>
      <c r="D772" s="13" t="n">
        <v>6087</v>
      </c>
      <c r="E772" s="14" t="n">
        <v>34.2515803218878</v>
      </c>
      <c r="F772" s="14" t="n">
        <v>36.3681348688734</v>
      </c>
      <c r="G772" s="13" t="n">
        <v>-12883.4675275011</v>
      </c>
      <c r="H772" s="15" t="n">
        <v>-0.0617943618103077</v>
      </c>
      <c r="I772" s="15" t="n">
        <v>-0.0617943618103078</v>
      </c>
      <c r="J772" s="16" t="n">
        <v>2016</v>
      </c>
      <c r="K772" s="16" t="n">
        <v>2</v>
      </c>
      <c r="L772" s="16" t="n">
        <v>6</v>
      </c>
      <c r="M772" s="16" t="s">
        <v>32</v>
      </c>
      <c r="N772" s="17" t="b">
        <f aca="false">FALSE()</f>
        <v>0</v>
      </c>
      <c r="O772" s="14" t="n">
        <v>34.0252036454782</v>
      </c>
      <c r="P772" s="13" t="n">
        <v>8228.42857142857</v>
      </c>
      <c r="Q772" s="15" t="n">
        <v>0.00665320562863823</v>
      </c>
      <c r="R772" s="15" t="n">
        <v>-0.2602475737426</v>
      </c>
      <c r="S772" s="17" t="b">
        <f aca="false">FALSE()</f>
        <v>0</v>
      </c>
    </row>
    <row r="773" customFormat="false" ht="15" hidden="false" customHeight="true" outlineLevel="0" collapsed="false">
      <c r="A773" s="12" t="n">
        <v>42409</v>
      </c>
      <c r="B773" s="13" t="n">
        <v>84495.1666676401</v>
      </c>
      <c r="C773" s="13" t="n">
        <v>74682.2668180992</v>
      </c>
      <c r="D773" s="13" t="n">
        <v>2053</v>
      </c>
      <c r="E773" s="14" t="n">
        <v>41.1569248259328</v>
      </c>
      <c r="F773" s="14" t="n">
        <v>36.3771392197269</v>
      </c>
      <c r="G773" s="13" t="n">
        <v>9812.89984954089</v>
      </c>
      <c r="H773" s="15" t="n">
        <v>0.116135635167627</v>
      </c>
      <c r="I773" s="15" t="n">
        <v>0.116135635167627</v>
      </c>
      <c r="J773" s="16" t="n">
        <v>2016</v>
      </c>
      <c r="K773" s="16" t="n">
        <v>2</v>
      </c>
      <c r="L773" s="16" t="n">
        <v>6</v>
      </c>
      <c r="M773" s="16" t="s">
        <v>33</v>
      </c>
      <c r="N773" s="17" t="b">
        <f aca="false">FALSE()</f>
        <v>0</v>
      </c>
      <c r="O773" s="14" t="n">
        <v>34.0236151398012</v>
      </c>
      <c r="P773" s="13" t="n">
        <v>8214.78571428571</v>
      </c>
      <c r="Q773" s="15" t="n">
        <v>0.209657605660692</v>
      </c>
      <c r="R773" s="15" t="n">
        <v>-0.750084777448329</v>
      </c>
      <c r="S773" s="17" t="b">
        <f aca="false">FALSE()</f>
        <v>0</v>
      </c>
    </row>
    <row r="774" customFormat="false" ht="15" hidden="false" customHeight="true" outlineLevel="0" collapsed="false">
      <c r="A774" s="12" t="n">
        <v>42410</v>
      </c>
      <c r="B774" s="13" t="n">
        <v>76661.2500301794</v>
      </c>
      <c r="C774" s="13" t="n">
        <v>66379.5636043739</v>
      </c>
      <c r="D774" s="13" t="n">
        <v>1825</v>
      </c>
      <c r="E774" s="14" t="n">
        <v>42.0061644000983</v>
      </c>
      <c r="F774" s="14" t="n">
        <v>36.372363618835</v>
      </c>
      <c r="G774" s="13" t="n">
        <v>10281.6864258055</v>
      </c>
      <c r="H774" s="15" t="n">
        <v>0.134118429085854</v>
      </c>
      <c r="I774" s="15" t="n">
        <v>0.134118429085854</v>
      </c>
      <c r="J774" s="16" t="n">
        <v>2016</v>
      </c>
      <c r="K774" s="16" t="n">
        <v>2</v>
      </c>
      <c r="L774" s="16" t="n">
        <v>6</v>
      </c>
      <c r="M774" s="16" t="s">
        <v>34</v>
      </c>
      <c r="N774" s="17" t="b">
        <f aca="false">FALSE()</f>
        <v>0</v>
      </c>
      <c r="O774" s="14" t="n">
        <v>34.5173019031026</v>
      </c>
      <c r="P774" s="13" t="n">
        <v>7933.42857142857</v>
      </c>
      <c r="Q774" s="15" t="n">
        <v>0.2169596719355</v>
      </c>
      <c r="R774" s="15" t="n">
        <v>-0.76996074476897</v>
      </c>
      <c r="S774" s="17" t="b">
        <f aca="false">FALSE()</f>
        <v>0</v>
      </c>
    </row>
    <row r="775" customFormat="false" ht="15" hidden="false" customHeight="true" outlineLevel="0" collapsed="false">
      <c r="A775" s="12" t="n">
        <v>42411</v>
      </c>
      <c r="B775" s="13" t="n">
        <v>64034.9404595098</v>
      </c>
      <c r="C775" s="13" t="n">
        <v>55491.3385293735</v>
      </c>
      <c r="D775" s="13" t="n">
        <v>1525</v>
      </c>
      <c r="E775" s="14" t="n">
        <v>41.9901248914818</v>
      </c>
      <c r="F775" s="14" t="n">
        <v>36.387762970081</v>
      </c>
      <c r="G775" s="13" t="n">
        <v>8543.60193013628</v>
      </c>
      <c r="H775" s="15" t="n">
        <v>0.133420939706168</v>
      </c>
      <c r="I775" s="15" t="n">
        <v>0.133420939706168</v>
      </c>
      <c r="J775" s="16" t="n">
        <v>2016</v>
      </c>
      <c r="K775" s="16" t="n">
        <v>2</v>
      </c>
      <c r="L775" s="16" t="n">
        <v>6</v>
      </c>
      <c r="M775" s="16" t="s">
        <v>35</v>
      </c>
      <c r="N775" s="17" t="b">
        <f aca="false">FALSE()</f>
        <v>0</v>
      </c>
      <c r="O775" s="14" t="n">
        <v>35.072727413739</v>
      </c>
      <c r="P775" s="13" t="n">
        <v>7616.28571428572</v>
      </c>
      <c r="Q775" s="15" t="n">
        <v>0.197230098365065</v>
      </c>
      <c r="R775" s="15" t="n">
        <v>-0.799771167048055</v>
      </c>
      <c r="S775" s="17" t="b">
        <f aca="false">FALSE()</f>
        <v>0</v>
      </c>
    </row>
    <row r="776" customFormat="false" ht="15" hidden="false" customHeight="true" outlineLevel="0" collapsed="false">
      <c r="A776" s="12" t="n">
        <v>42412</v>
      </c>
      <c r="B776" s="13" t="n">
        <v>148839.974868265</v>
      </c>
      <c r="C776" s="13" t="n">
        <v>129583.492067398</v>
      </c>
      <c r="D776" s="13" t="n">
        <v>3542</v>
      </c>
      <c r="E776" s="14" t="n">
        <v>42.021449708714</v>
      </c>
      <c r="F776" s="14" t="n">
        <v>36.5848368343867</v>
      </c>
      <c r="G776" s="13" t="n">
        <v>19256.4828008675</v>
      </c>
      <c r="H776" s="15" t="n">
        <v>0.129377089843713</v>
      </c>
      <c r="I776" s="15" t="n">
        <v>0.129377089843713</v>
      </c>
      <c r="J776" s="16" t="n">
        <v>2016</v>
      </c>
      <c r="K776" s="16" t="n">
        <v>2</v>
      </c>
      <c r="L776" s="16" t="n">
        <v>6</v>
      </c>
      <c r="M776" s="16" t="s">
        <v>36</v>
      </c>
      <c r="N776" s="17" t="b">
        <f aca="false">FALSE()</f>
        <v>0</v>
      </c>
      <c r="O776" s="14" t="n">
        <v>35.6286485240447</v>
      </c>
      <c r="P776" s="13" t="n">
        <v>7316.42857142857</v>
      </c>
      <c r="Q776" s="15" t="n">
        <v>0.179428674662051</v>
      </c>
      <c r="R776" s="15" t="n">
        <v>-0.515884018353998</v>
      </c>
      <c r="S776" s="17" t="b">
        <f aca="false">FALSE()</f>
        <v>0</v>
      </c>
    </row>
    <row r="777" customFormat="false" ht="15" hidden="false" customHeight="true" outlineLevel="0" collapsed="false">
      <c r="A777" s="12" t="n">
        <v>42413</v>
      </c>
      <c r="B777" s="13" t="n">
        <v>172541.507929524</v>
      </c>
      <c r="C777" s="13" t="n">
        <v>150538.983683141</v>
      </c>
      <c r="D777" s="13" t="n">
        <v>4105</v>
      </c>
      <c r="E777" s="14" t="n">
        <v>42.0320360364248</v>
      </c>
      <c r="F777" s="14" t="n">
        <v>36.6721032114839</v>
      </c>
      <c r="G777" s="13" t="n">
        <v>22002.5242463825</v>
      </c>
      <c r="H777" s="15" t="n">
        <v>0.127520180566462</v>
      </c>
      <c r="I777" s="15" t="n">
        <v>0.127520180566462</v>
      </c>
      <c r="J777" s="16" t="n">
        <v>2016</v>
      </c>
      <c r="K777" s="16" t="n">
        <v>2</v>
      </c>
      <c r="L777" s="16" t="n">
        <v>6</v>
      </c>
      <c r="M777" s="16" t="s">
        <v>37</v>
      </c>
      <c r="N777" s="17" t="b">
        <f aca="false">TRUE()</f>
        <v>1</v>
      </c>
      <c r="O777" s="14" t="n">
        <v>36.2413191259103</v>
      </c>
      <c r="P777" s="13" t="n">
        <v>6719.42857142857</v>
      </c>
      <c r="Q777" s="15" t="n">
        <v>0.159782178192696</v>
      </c>
      <c r="R777" s="15" t="n">
        <v>-0.389084956203759</v>
      </c>
      <c r="S777" s="17" t="b">
        <f aca="false">FALSE()</f>
        <v>0</v>
      </c>
    </row>
    <row r="778" customFormat="false" ht="15" hidden="false" customHeight="true" outlineLevel="0" collapsed="false">
      <c r="A778" s="12" t="n">
        <v>42414</v>
      </c>
      <c r="B778" s="13" t="n">
        <v>87991.6630021185</v>
      </c>
      <c r="C778" s="13" t="n">
        <v>76378.5046380639</v>
      </c>
      <c r="D778" s="13" t="n">
        <v>2094</v>
      </c>
      <c r="E778" s="14" t="n">
        <v>42.020851481432</v>
      </c>
      <c r="F778" s="14" t="n">
        <v>36.4749305816924</v>
      </c>
      <c r="G778" s="13" t="n">
        <v>11613.1583640546</v>
      </c>
      <c r="H778" s="15" t="n">
        <v>0.131980212304602</v>
      </c>
      <c r="I778" s="15" t="n">
        <v>0.131980212304602</v>
      </c>
      <c r="J778" s="16" t="n">
        <v>2016</v>
      </c>
      <c r="K778" s="16" t="n">
        <v>2</v>
      </c>
      <c r="L778" s="16" t="n">
        <v>6</v>
      </c>
      <c r="M778" s="16" t="s">
        <v>38</v>
      </c>
      <c r="N778" s="17" t="b">
        <f aca="false">TRUE()</f>
        <v>1</v>
      </c>
      <c r="O778" s="14" t="n">
        <v>36.8575202594853</v>
      </c>
      <c r="P778" s="13" t="n">
        <v>5916.57142857143</v>
      </c>
      <c r="Q778" s="15" t="n">
        <v>0.140088947536234</v>
      </c>
      <c r="R778" s="15" t="n">
        <v>-0.646078810121692</v>
      </c>
      <c r="S778" s="17" t="b">
        <f aca="false">FALSE()</f>
        <v>0</v>
      </c>
    </row>
    <row r="779" customFormat="false" ht="15" hidden="false" customHeight="true" outlineLevel="0" collapsed="false">
      <c r="A779" s="12" t="n">
        <v>42415</v>
      </c>
      <c r="B779" s="13" t="n">
        <v>123445.381550428</v>
      </c>
      <c r="C779" s="13" t="n">
        <v>108669.225381257</v>
      </c>
      <c r="D779" s="13" t="n">
        <v>2940</v>
      </c>
      <c r="E779" s="14" t="n">
        <v>41.9882250171522</v>
      </c>
      <c r="F779" s="14" t="n">
        <v>36.9623215582507</v>
      </c>
      <c r="G779" s="13" t="n">
        <v>14776.1561691706</v>
      </c>
      <c r="H779" s="15" t="n">
        <v>0.119697926188794</v>
      </c>
      <c r="I779" s="15" t="n">
        <v>0.119697926188794</v>
      </c>
      <c r="J779" s="16" t="n">
        <v>2016</v>
      </c>
      <c r="K779" s="16" t="n">
        <v>2</v>
      </c>
      <c r="L779" s="16" t="n">
        <v>7</v>
      </c>
      <c r="M779" s="16" t="s">
        <v>32</v>
      </c>
      <c r="N779" s="17" t="b">
        <f aca="false">FALSE()</f>
        <v>0</v>
      </c>
      <c r="O779" s="14" t="n">
        <v>37.4714446051576</v>
      </c>
      <c r="P779" s="13" t="n">
        <v>5600.07142857143</v>
      </c>
      <c r="Q779" s="15" t="n">
        <v>0.120539265555108</v>
      </c>
      <c r="R779" s="15" t="n">
        <v>-0.475006696343159</v>
      </c>
      <c r="S779" s="17" t="b">
        <f aca="false">FALSE()</f>
        <v>0</v>
      </c>
    </row>
    <row r="780" customFormat="false" ht="15" hidden="false" customHeight="true" outlineLevel="0" collapsed="false">
      <c r="A780" s="12" t="n">
        <v>42416</v>
      </c>
      <c r="B780" s="13" t="n">
        <v>77344.6918736694</v>
      </c>
      <c r="C780" s="13" t="n">
        <v>68269.2488384107</v>
      </c>
      <c r="D780" s="13" t="n">
        <v>1841</v>
      </c>
      <c r="E780" s="14" t="n">
        <v>42.012325841211</v>
      </c>
      <c r="F780" s="14" t="n">
        <v>37.0826989888163</v>
      </c>
      <c r="G780" s="13" t="n">
        <v>9075.44303525869</v>
      </c>
      <c r="H780" s="15" t="n">
        <v>0.117337632556375</v>
      </c>
      <c r="I780" s="15" t="n">
        <v>0.117337632556375</v>
      </c>
      <c r="J780" s="16" t="n">
        <v>2016</v>
      </c>
      <c r="K780" s="16" t="n">
        <v>2</v>
      </c>
      <c r="L780" s="16" t="n">
        <v>7</v>
      </c>
      <c r="M780" s="16" t="s">
        <v>33</v>
      </c>
      <c r="N780" s="17" t="b">
        <f aca="false">FALSE()</f>
        <v>0</v>
      </c>
      <c r="O780" s="14" t="n">
        <v>38.0856340193518</v>
      </c>
      <c r="P780" s="13" t="n">
        <v>5084.85714285714</v>
      </c>
      <c r="Q780" s="15" t="n">
        <v>0.103101652971406</v>
      </c>
      <c r="R780" s="15" t="n">
        <v>-0.637944597404057</v>
      </c>
      <c r="S780" s="17" t="b">
        <f aca="false">FALSE()</f>
        <v>0</v>
      </c>
    </row>
    <row r="781" customFormat="false" ht="15" hidden="false" customHeight="true" outlineLevel="0" collapsed="false">
      <c r="A781" s="12" t="n">
        <v>42417</v>
      </c>
      <c r="B781" s="13" t="n">
        <v>158963.024881795</v>
      </c>
      <c r="C781" s="13" t="n">
        <v>167521.525860537</v>
      </c>
      <c r="D781" s="13" t="n">
        <v>4529</v>
      </c>
      <c r="E781" s="14" t="n">
        <v>35.0989235773449</v>
      </c>
      <c r="F781" s="14" t="n">
        <v>36.988634546376</v>
      </c>
      <c r="G781" s="13" t="n">
        <v>-8558.50097874191</v>
      </c>
      <c r="H781" s="15" t="n">
        <v>-0.053839570460527</v>
      </c>
      <c r="I781" s="15" t="n">
        <v>-0.053839570460527</v>
      </c>
      <c r="J781" s="16" t="n">
        <v>2016</v>
      </c>
      <c r="K781" s="16" t="n">
        <v>2</v>
      </c>
      <c r="L781" s="16" t="n">
        <v>7</v>
      </c>
      <c r="M781" s="16" t="s">
        <v>34</v>
      </c>
      <c r="N781" s="17" t="b">
        <f aca="false">FALSE()</f>
        <v>0</v>
      </c>
      <c r="O781" s="14" t="n">
        <v>38.6388240777876</v>
      </c>
      <c r="P781" s="13" t="n">
        <v>4636.64285714286</v>
      </c>
      <c r="Q781" s="15" t="n">
        <v>-0.0916151198938173</v>
      </c>
      <c r="R781" s="15" t="n">
        <v>-0.0232156886910172</v>
      </c>
      <c r="S781" s="17" t="b">
        <f aca="false">FALSE()</f>
        <v>0</v>
      </c>
    </row>
    <row r="782" customFormat="false" ht="15" hidden="false" customHeight="true" outlineLevel="0" collapsed="false">
      <c r="A782" s="12" t="n">
        <v>42418</v>
      </c>
      <c r="B782" s="13" t="n">
        <v>69598.0711529397</v>
      </c>
      <c r="C782" s="13" t="n">
        <v>61492.9683081792</v>
      </c>
      <c r="D782" s="13" t="n">
        <v>1658</v>
      </c>
      <c r="E782" s="14" t="n">
        <v>41.9771237351868</v>
      </c>
      <c r="F782" s="14" t="n">
        <v>37.0886419229066</v>
      </c>
      <c r="G782" s="13" t="n">
        <v>8105.10284476045</v>
      </c>
      <c r="H782" s="15" t="n">
        <v>0.116455854458233</v>
      </c>
      <c r="I782" s="15" t="n">
        <v>0.116455854458232</v>
      </c>
      <c r="J782" s="16" t="n">
        <v>2016</v>
      </c>
      <c r="K782" s="16" t="n">
        <v>2</v>
      </c>
      <c r="L782" s="16" t="n">
        <v>7</v>
      </c>
      <c r="M782" s="16" t="s">
        <v>35</v>
      </c>
      <c r="N782" s="17" t="b">
        <f aca="false">FALSE()</f>
        <v>0</v>
      </c>
      <c r="O782" s="14" t="n">
        <v>38.6992456658332</v>
      </c>
      <c r="P782" s="13" t="n">
        <v>4409.28571428572</v>
      </c>
      <c r="Q782" s="15" t="n">
        <v>0.0847013426994923</v>
      </c>
      <c r="R782" s="15" t="n">
        <v>-0.623975376640207</v>
      </c>
      <c r="S782" s="17" t="b">
        <f aca="false">FALSE()</f>
        <v>0</v>
      </c>
    </row>
    <row r="783" customFormat="false" ht="15" hidden="false" customHeight="true" outlineLevel="0" collapsed="false">
      <c r="A783" s="12" t="n">
        <v>42419</v>
      </c>
      <c r="B783" s="13" t="n">
        <v>161275.602198805</v>
      </c>
      <c r="C783" s="13" t="n">
        <v>143446.358327586</v>
      </c>
      <c r="D783" s="13" t="n">
        <v>3841</v>
      </c>
      <c r="E783" s="14" t="n">
        <v>41.9879203850053</v>
      </c>
      <c r="F783" s="14" t="n">
        <v>37.3460969350653</v>
      </c>
      <c r="G783" s="13" t="n">
        <v>17829.2438712194</v>
      </c>
      <c r="H783" s="15" t="n">
        <v>0.110551401626399</v>
      </c>
      <c r="I783" s="15" t="n">
        <v>0.110551401626399</v>
      </c>
      <c r="J783" s="16" t="n">
        <v>2016</v>
      </c>
      <c r="K783" s="16" t="n">
        <v>2</v>
      </c>
      <c r="L783" s="16" t="n">
        <v>7</v>
      </c>
      <c r="M783" s="16" t="s">
        <v>36</v>
      </c>
      <c r="N783" s="17" t="b">
        <f aca="false">FALSE()</f>
        <v>0</v>
      </c>
      <c r="O783" s="14" t="n">
        <v>39.2445799482034</v>
      </c>
      <c r="P783" s="13" t="n">
        <v>4116.35714285714</v>
      </c>
      <c r="Q783" s="15" t="n">
        <v>0.0699036769006733</v>
      </c>
      <c r="R783" s="15" t="n">
        <v>-0.0668934043623871</v>
      </c>
      <c r="S783" s="17" t="b">
        <f aca="false">FALSE()</f>
        <v>0</v>
      </c>
    </row>
    <row r="784" customFormat="false" ht="15" hidden="false" customHeight="true" outlineLevel="0" collapsed="false">
      <c r="A784" s="12" t="n">
        <v>42420</v>
      </c>
      <c r="B784" s="13" t="n">
        <v>325215.076792383</v>
      </c>
      <c r="C784" s="13" t="n">
        <v>345446.00184871</v>
      </c>
      <c r="D784" s="13" t="n">
        <v>9260</v>
      </c>
      <c r="E784" s="14" t="n">
        <v>35.1204186600845</v>
      </c>
      <c r="F784" s="14" t="n">
        <v>37.3051837849579</v>
      </c>
      <c r="G784" s="13" t="n">
        <v>-20230.9250563272</v>
      </c>
      <c r="H784" s="15" t="n">
        <v>-0.0622078326007088</v>
      </c>
      <c r="I784" s="15" t="n">
        <v>-0.062207832600709</v>
      </c>
      <c r="J784" s="16" t="n">
        <v>2016</v>
      </c>
      <c r="K784" s="16" t="n">
        <v>2</v>
      </c>
      <c r="L784" s="16" t="n">
        <v>7</v>
      </c>
      <c r="M784" s="16" t="s">
        <v>37</v>
      </c>
      <c r="N784" s="17" t="b">
        <f aca="false">TRUE()</f>
        <v>1</v>
      </c>
      <c r="O784" s="14" t="n">
        <v>39.7947342377593</v>
      </c>
      <c r="P784" s="13" t="n">
        <v>3712.07142857143</v>
      </c>
      <c r="Q784" s="15" t="n">
        <v>-0.117460655717599</v>
      </c>
      <c r="R784" s="15" t="n">
        <v>1.49456406703997</v>
      </c>
      <c r="S784" s="17" t="b">
        <f aca="false">TRUE()</f>
        <v>1</v>
      </c>
    </row>
    <row r="785" customFormat="false" ht="15" hidden="false" customHeight="true" outlineLevel="0" collapsed="false">
      <c r="A785" s="12" t="n">
        <v>42421</v>
      </c>
      <c r="B785" s="13" t="n">
        <v>96957.2958444581</v>
      </c>
      <c r="C785" s="13" t="n">
        <v>86455.4943780436</v>
      </c>
      <c r="D785" s="13" t="n">
        <v>2308</v>
      </c>
      <c r="E785" s="14" t="n">
        <v>42.0092269690026</v>
      </c>
      <c r="F785" s="14" t="n">
        <v>37.4590530234158</v>
      </c>
      <c r="G785" s="13" t="n">
        <v>10501.8014664145</v>
      </c>
      <c r="H785" s="15" t="n">
        <v>0.108313679491039</v>
      </c>
      <c r="I785" s="15" t="n">
        <v>0.108313679491039</v>
      </c>
      <c r="J785" s="16" t="n">
        <v>2016</v>
      </c>
      <c r="K785" s="16" t="n">
        <v>2</v>
      </c>
      <c r="L785" s="16" t="n">
        <v>7</v>
      </c>
      <c r="M785" s="16" t="s">
        <v>38</v>
      </c>
      <c r="N785" s="17" t="b">
        <f aca="false">TRUE()</f>
        <v>1</v>
      </c>
      <c r="O785" s="14" t="n">
        <v>39.8549830641174</v>
      </c>
      <c r="P785" s="13" t="n">
        <v>3599.21428571429</v>
      </c>
      <c r="Q785" s="15" t="n">
        <v>0.0540520592222955</v>
      </c>
      <c r="R785" s="15" t="n">
        <v>-0.358748933298934</v>
      </c>
      <c r="S785" s="17" t="b">
        <f aca="false">FALSE()</f>
        <v>0</v>
      </c>
    </row>
    <row r="786" customFormat="false" ht="15" hidden="false" customHeight="true" outlineLevel="0" collapsed="false">
      <c r="A786" s="12" t="n">
        <v>42422</v>
      </c>
      <c r="B786" s="13" t="n">
        <v>85224.4770912288</v>
      </c>
      <c r="C786" s="13" t="n">
        <v>75960.7180219404</v>
      </c>
      <c r="D786" s="13" t="n">
        <v>2028</v>
      </c>
      <c r="E786" s="14" t="n">
        <v>42.0239038911385</v>
      </c>
      <c r="F786" s="14" t="n">
        <v>37.4559753559864</v>
      </c>
      <c r="G786" s="13" t="n">
        <v>9263.75906928843</v>
      </c>
      <c r="H786" s="15" t="n">
        <v>0.10869833861664</v>
      </c>
      <c r="I786" s="15" t="n">
        <v>0.10869833861664</v>
      </c>
      <c r="J786" s="16" t="n">
        <v>2016</v>
      </c>
      <c r="K786" s="16" t="n">
        <v>2</v>
      </c>
      <c r="L786" s="16" t="n">
        <v>8</v>
      </c>
      <c r="M786" s="16" t="s">
        <v>32</v>
      </c>
      <c r="N786" s="17" t="b">
        <f aca="false">FALSE()</f>
        <v>0</v>
      </c>
      <c r="O786" s="14" t="n">
        <v>40.4052354179256</v>
      </c>
      <c r="P786" s="13" t="n">
        <v>3400.57142857143</v>
      </c>
      <c r="Q786" s="15" t="n">
        <v>0.0400608598482441</v>
      </c>
      <c r="R786" s="15" t="n">
        <v>-0.403629642076962</v>
      </c>
      <c r="S786" s="17" t="b">
        <f aca="false">FALSE()</f>
        <v>0</v>
      </c>
    </row>
    <row r="787" customFormat="false" ht="15" hidden="false" customHeight="true" outlineLevel="0" collapsed="false">
      <c r="A787" s="12" t="n">
        <v>42423</v>
      </c>
      <c r="B787" s="13" t="n">
        <v>54612.8788415399</v>
      </c>
      <c r="C787" s="13" t="n">
        <v>49071.8025378972</v>
      </c>
      <c r="D787" s="13" t="n">
        <v>1301</v>
      </c>
      <c r="E787" s="14" t="n">
        <v>41.9776163270868</v>
      </c>
      <c r="F787" s="14" t="n">
        <v>37.7185261628725</v>
      </c>
      <c r="G787" s="13" t="n">
        <v>5541.07630364271</v>
      </c>
      <c r="H787" s="15" t="n">
        <v>0.101460981753411</v>
      </c>
      <c r="I787" s="15" t="n">
        <v>0.101460981753411</v>
      </c>
      <c r="J787" s="16" t="n">
        <v>2016</v>
      </c>
      <c r="K787" s="16" t="n">
        <v>2</v>
      </c>
      <c r="L787" s="16" t="n">
        <v>8</v>
      </c>
      <c r="M787" s="16" t="s">
        <v>33</v>
      </c>
      <c r="N787" s="17" t="b">
        <f aca="false">FALSE()</f>
        <v>0</v>
      </c>
      <c r="O787" s="14" t="n">
        <v>40.9604013871578</v>
      </c>
      <c r="P787" s="13" t="n">
        <v>3110.64285714286</v>
      </c>
      <c r="Q787" s="15" t="n">
        <v>0.024834105757759</v>
      </c>
      <c r="R787" s="15" t="n">
        <v>-0.581758478954741</v>
      </c>
      <c r="S787" s="17" t="b">
        <f aca="false">FALSE()</f>
        <v>0</v>
      </c>
    </row>
    <row r="788" customFormat="false" ht="15" hidden="false" customHeight="true" outlineLevel="0" collapsed="false">
      <c r="A788" s="12" t="n">
        <v>42424</v>
      </c>
      <c r="B788" s="13" t="n">
        <v>81530.6123823247</v>
      </c>
      <c r="C788" s="13" t="n">
        <v>81738.0564373136</v>
      </c>
      <c r="D788" s="13" t="n">
        <v>2213</v>
      </c>
      <c r="E788" s="14" t="n">
        <v>36.8416684963058</v>
      </c>
      <c r="F788" s="14" t="n">
        <v>36.9354073372407</v>
      </c>
      <c r="G788" s="13" t="n">
        <v>-207.444054988955</v>
      </c>
      <c r="H788" s="15" t="n">
        <v>-0.00254437013199631</v>
      </c>
      <c r="I788" s="15" t="n">
        <v>-0.00254437013199635</v>
      </c>
      <c r="J788" s="16" t="n">
        <v>2016</v>
      </c>
      <c r="K788" s="16" t="n">
        <v>2</v>
      </c>
      <c r="L788" s="16" t="n">
        <v>8</v>
      </c>
      <c r="M788" s="16" t="s">
        <v>34</v>
      </c>
      <c r="N788" s="17" t="b">
        <f aca="false">FALSE()</f>
        <v>0</v>
      </c>
      <c r="O788" s="14" t="n">
        <v>41.0190222086688</v>
      </c>
      <c r="P788" s="13" t="n">
        <v>3056.92857142857</v>
      </c>
      <c r="Q788" s="15" t="n">
        <v>-0.101839426866695</v>
      </c>
      <c r="R788" s="15" t="n">
        <v>-0.276070752622847</v>
      </c>
      <c r="S788" s="17" t="b">
        <f aca="false">FALSE()</f>
        <v>0</v>
      </c>
    </row>
    <row r="789" customFormat="false" ht="15" hidden="false" customHeight="true" outlineLevel="0" collapsed="false">
      <c r="A789" s="12" t="n">
        <v>42425</v>
      </c>
      <c r="B789" s="13" t="n">
        <v>160947.532640188</v>
      </c>
      <c r="C789" s="13" t="n">
        <v>162597.496845268</v>
      </c>
      <c r="D789" s="13" t="n">
        <v>4404</v>
      </c>
      <c r="E789" s="14" t="n">
        <v>36.5457612716139</v>
      </c>
      <c r="F789" s="14" t="n">
        <v>36.9204125443388</v>
      </c>
      <c r="G789" s="13" t="n">
        <v>-1649.96420508059</v>
      </c>
      <c r="H789" s="15" t="n">
        <v>-0.0102515656997938</v>
      </c>
      <c r="I789" s="15" t="n">
        <v>-0.0102515656997937</v>
      </c>
      <c r="J789" s="16" t="n">
        <v>2016</v>
      </c>
      <c r="K789" s="16" t="n">
        <v>2</v>
      </c>
      <c r="L789" s="16" t="n">
        <v>8</v>
      </c>
      <c r="M789" s="16" t="s">
        <v>35</v>
      </c>
      <c r="N789" s="17" t="b">
        <f aca="false">FALSE()</f>
        <v>0</v>
      </c>
      <c r="O789" s="14" t="n">
        <v>40.6501296441122</v>
      </c>
      <c r="P789" s="13" t="n">
        <v>3084.64285714286</v>
      </c>
      <c r="Q789" s="15" t="n">
        <v>-0.100968149632772</v>
      </c>
      <c r="R789" s="15" t="n">
        <v>0.427717957624175</v>
      </c>
      <c r="S789" s="17" t="b">
        <f aca="false">TRUE()</f>
        <v>1</v>
      </c>
    </row>
    <row r="790" customFormat="false" ht="15" hidden="false" customHeight="true" outlineLevel="0" collapsed="false">
      <c r="A790" s="12" t="n">
        <v>42426</v>
      </c>
      <c r="B790" s="13" t="n">
        <v>188736.247417435</v>
      </c>
      <c r="C790" s="13" t="n">
        <v>183103.233687991</v>
      </c>
      <c r="D790" s="13" t="n">
        <v>4935</v>
      </c>
      <c r="E790" s="14" t="n">
        <v>38.2444270349413</v>
      </c>
      <c r="F790" s="14" t="n">
        <v>37.1029855497448</v>
      </c>
      <c r="G790" s="13" t="n">
        <v>5633.01372944436</v>
      </c>
      <c r="H790" s="15" t="n">
        <v>0.0298459559651284</v>
      </c>
      <c r="I790" s="15" t="n">
        <v>0.0298459559651284</v>
      </c>
      <c r="J790" s="16" t="n">
        <v>2016</v>
      </c>
      <c r="K790" s="16" t="n">
        <v>2</v>
      </c>
      <c r="L790" s="16" t="n">
        <v>8</v>
      </c>
      <c r="M790" s="16" t="s">
        <v>36</v>
      </c>
      <c r="N790" s="17" t="b">
        <f aca="false">FALSE()</f>
        <v>0</v>
      </c>
      <c r="O790" s="14" t="n">
        <v>40.2612465284074</v>
      </c>
      <c r="P790" s="13" t="n">
        <v>3290.28571428571</v>
      </c>
      <c r="Q790" s="15" t="n">
        <v>-0.0500933196900169</v>
      </c>
      <c r="R790" s="15" t="n">
        <v>0.499869746439736</v>
      </c>
      <c r="S790" s="17" t="b">
        <f aca="false">TRUE()</f>
        <v>1</v>
      </c>
    </row>
    <row r="791" customFormat="false" ht="15" hidden="false" customHeight="true" outlineLevel="0" collapsed="false">
      <c r="A791" s="12" t="n">
        <v>42427</v>
      </c>
      <c r="B791" s="13" t="n">
        <v>215951.507867074</v>
      </c>
      <c r="C791" s="13" t="n">
        <v>210032.788078559</v>
      </c>
      <c r="D791" s="13" t="n">
        <v>5609</v>
      </c>
      <c r="E791" s="14" t="n">
        <v>38.5008928270768</v>
      </c>
      <c r="F791" s="14" t="n">
        <v>37.4456744657798</v>
      </c>
      <c r="G791" s="13" t="n">
        <v>5918.71978851507</v>
      </c>
      <c r="H791" s="15" t="n">
        <v>0.0274076335329793</v>
      </c>
      <c r="I791" s="15" t="n">
        <v>0.0274076335329792</v>
      </c>
      <c r="J791" s="16" t="n">
        <v>2016</v>
      </c>
      <c r="K791" s="16" t="n">
        <v>2</v>
      </c>
      <c r="L791" s="16" t="n">
        <v>8</v>
      </c>
      <c r="M791" s="16" t="s">
        <v>37</v>
      </c>
      <c r="N791" s="17" t="b">
        <f aca="false">TRUE()</f>
        <v>1</v>
      </c>
      <c r="O791" s="14" t="n">
        <v>39.9914591945665</v>
      </c>
      <c r="P791" s="13" t="n">
        <v>3389.78571428571</v>
      </c>
      <c r="Q791" s="15" t="n">
        <v>-0.0372721175348394</v>
      </c>
      <c r="R791" s="15" t="n">
        <v>0.654676865372864</v>
      </c>
      <c r="S791" s="17" t="b">
        <f aca="false">FALSE()</f>
        <v>0</v>
      </c>
    </row>
    <row r="792" customFormat="false" ht="15" hidden="false" customHeight="true" outlineLevel="0" collapsed="false">
      <c r="A792" s="12" t="n">
        <v>42428</v>
      </c>
      <c r="B792" s="13" t="n">
        <v>134995.854495943</v>
      </c>
      <c r="C792" s="13" t="n">
        <v>129938.705770359</v>
      </c>
      <c r="D792" s="13" t="n">
        <v>3452</v>
      </c>
      <c r="E792" s="14" t="n">
        <v>39.10656271609</v>
      </c>
      <c r="F792" s="14" t="n">
        <v>37.641571775886</v>
      </c>
      <c r="G792" s="13" t="n">
        <v>5057.14872558409</v>
      </c>
      <c r="H792" s="15" t="n">
        <v>0.0374615112772673</v>
      </c>
      <c r="I792" s="15" t="n">
        <v>0.0374615112772674</v>
      </c>
      <c r="J792" s="16" t="n">
        <v>2016</v>
      </c>
      <c r="K792" s="16" t="n">
        <v>2</v>
      </c>
      <c r="L792" s="16" t="n">
        <v>8</v>
      </c>
      <c r="M792" s="16" t="s">
        <v>38</v>
      </c>
      <c r="N792" s="17" t="b">
        <f aca="false">TRUE()</f>
        <v>1</v>
      </c>
      <c r="O792" s="14" t="n">
        <v>39.739234679613</v>
      </c>
      <c r="P792" s="13" t="n">
        <v>3497.21428571429</v>
      </c>
      <c r="Q792" s="15" t="n">
        <v>-0.0159205875156828</v>
      </c>
      <c r="R792" s="15" t="n">
        <v>-0.0129286575029105</v>
      </c>
      <c r="S792" s="17" t="b">
        <f aca="false">FALSE()</f>
        <v>0</v>
      </c>
    </row>
    <row r="793" customFormat="false" ht="15" hidden="false" customHeight="true" outlineLevel="0" collapsed="false">
      <c r="A793" s="12" t="n">
        <v>42429</v>
      </c>
      <c r="B793" s="13" t="n">
        <v>163079.378043968</v>
      </c>
      <c r="C793" s="13" t="n">
        <v>160332.589406031</v>
      </c>
      <c r="D793" s="13" t="n">
        <v>4270</v>
      </c>
      <c r="E793" s="14" t="n">
        <v>38.1918918135755</v>
      </c>
      <c r="F793" s="14" t="n">
        <v>37.5486157859557</v>
      </c>
      <c r="G793" s="13" t="n">
        <v>2746.78863793684</v>
      </c>
      <c r="H793" s="15" t="n">
        <v>0.0168432616734428</v>
      </c>
      <c r="I793" s="15" t="n">
        <v>0.0168432616734428</v>
      </c>
      <c r="J793" s="16" t="n">
        <v>2016</v>
      </c>
      <c r="K793" s="16" t="n">
        <v>2</v>
      </c>
      <c r="L793" s="16" t="n">
        <v>9</v>
      </c>
      <c r="M793" s="16" t="s">
        <v>32</v>
      </c>
      <c r="N793" s="17" t="b">
        <f aca="false">FALSE()</f>
        <v>0</v>
      </c>
      <c r="O793" s="14" t="n">
        <v>39.5310711963743</v>
      </c>
      <c r="P793" s="13" t="n">
        <v>3594.21428571429</v>
      </c>
      <c r="Q793" s="15" t="n">
        <v>-0.0338766277328095</v>
      </c>
      <c r="R793" s="15" t="n">
        <v>0.188020429658777</v>
      </c>
      <c r="S793" s="17" t="b">
        <f aca="false">FALSE()</f>
        <v>0</v>
      </c>
    </row>
    <row r="794" customFormat="false" ht="15" hidden="false" customHeight="true" outlineLevel="0" collapsed="false">
      <c r="A794" s="12" t="n">
        <v>42430</v>
      </c>
      <c r="B794" s="13" t="n">
        <v>180828.674091826</v>
      </c>
      <c r="C794" s="13" t="n">
        <v>182962.336996476</v>
      </c>
      <c r="D794" s="13" t="n">
        <v>4719</v>
      </c>
      <c r="E794" s="14" t="n">
        <v>38.3192782563735</v>
      </c>
      <c r="F794" s="14" t="n">
        <v>38.7714212749473</v>
      </c>
      <c r="G794" s="13" t="n">
        <v>-2133.66290464989</v>
      </c>
      <c r="H794" s="15" t="n">
        <v>-0.0117993615523962</v>
      </c>
      <c r="I794" s="15" t="n">
        <v>-0.0117993615523961</v>
      </c>
      <c r="J794" s="16" t="n">
        <v>2016</v>
      </c>
      <c r="K794" s="16" t="n">
        <v>3</v>
      </c>
      <c r="L794" s="16" t="n">
        <v>9</v>
      </c>
      <c r="M794" s="16" t="s">
        <v>33</v>
      </c>
      <c r="N794" s="17" t="b">
        <f aca="false">FALSE()</f>
        <v>0</v>
      </c>
      <c r="O794" s="14" t="n">
        <v>39.259904538976</v>
      </c>
      <c r="P794" s="13" t="n">
        <v>3689.21428571429</v>
      </c>
      <c r="Q794" s="15" t="n">
        <v>-0.0239589549095484</v>
      </c>
      <c r="R794" s="15" t="n">
        <v>0.279134155549962</v>
      </c>
      <c r="S794" s="17" t="b">
        <f aca="false">FALSE()</f>
        <v>0</v>
      </c>
    </row>
    <row r="795" customFormat="false" ht="15" hidden="false" customHeight="true" outlineLevel="0" collapsed="false">
      <c r="A795" s="12" t="n">
        <v>42431</v>
      </c>
      <c r="B795" s="13" t="n">
        <v>171196.175194466</v>
      </c>
      <c r="C795" s="13" t="n">
        <v>174428.680891675</v>
      </c>
      <c r="D795" s="13" t="n">
        <v>4451</v>
      </c>
      <c r="E795" s="14" t="n">
        <v>38.4624073678873</v>
      </c>
      <c r="F795" s="14" t="n">
        <v>39.1886499419625</v>
      </c>
      <c r="G795" s="13" t="n">
        <v>-3232.5056972086</v>
      </c>
      <c r="H795" s="15" t="n">
        <v>-0.0188818803547259</v>
      </c>
      <c r="I795" s="15" t="n">
        <v>-0.0188818803547258</v>
      </c>
      <c r="J795" s="16" t="n">
        <v>2016</v>
      </c>
      <c r="K795" s="16" t="n">
        <v>3</v>
      </c>
      <c r="L795" s="16" t="n">
        <v>9</v>
      </c>
      <c r="M795" s="16" t="s">
        <v>34</v>
      </c>
      <c r="N795" s="17" t="b">
        <f aca="false">FALSE()</f>
        <v>0</v>
      </c>
      <c r="O795" s="14" t="n">
        <v>38.9961154257733</v>
      </c>
      <c r="P795" s="13" t="n">
        <v>3894.78571428571</v>
      </c>
      <c r="Q795" s="15" t="n">
        <v>-0.0136861852022636</v>
      </c>
      <c r="R795" s="15" t="n">
        <v>0.142809984044602</v>
      </c>
      <c r="S795" s="17" t="b">
        <f aca="false">FALSE()</f>
        <v>0</v>
      </c>
    </row>
    <row r="796" customFormat="false" ht="15" hidden="false" customHeight="true" outlineLevel="0" collapsed="false">
      <c r="A796" s="12" t="n">
        <v>42432</v>
      </c>
      <c r="B796" s="13" t="n">
        <v>129719.050526334</v>
      </c>
      <c r="C796" s="13" t="n">
        <v>131961.932508289</v>
      </c>
      <c r="D796" s="13" t="n">
        <v>3364</v>
      </c>
      <c r="E796" s="14" t="n">
        <v>38.560954377626</v>
      </c>
      <c r="F796" s="14" t="n">
        <v>39.2276850500265</v>
      </c>
      <c r="G796" s="13" t="n">
        <v>-2242.88198195529</v>
      </c>
      <c r="H796" s="15" t="n">
        <v>-0.0172903052624485</v>
      </c>
      <c r="I796" s="15" t="n">
        <v>-0.0172903052624484</v>
      </c>
      <c r="J796" s="16" t="n">
        <v>2016</v>
      </c>
      <c r="K796" s="16" t="n">
        <v>3</v>
      </c>
      <c r="L796" s="16" t="n">
        <v>9</v>
      </c>
      <c r="M796" s="16" t="s">
        <v>35</v>
      </c>
      <c r="N796" s="17" t="b">
        <f aca="false">FALSE()</f>
        <v>0</v>
      </c>
      <c r="O796" s="14" t="n">
        <v>39.2363642679549</v>
      </c>
      <c r="P796" s="13" t="n">
        <v>3889.21428571429</v>
      </c>
      <c r="Q796" s="15" t="n">
        <v>-0.0172138755190559</v>
      </c>
      <c r="R796" s="15" t="n">
        <v>-0.135043802457345</v>
      </c>
      <c r="S796" s="17" t="b">
        <f aca="false">FALSE()</f>
        <v>0</v>
      </c>
    </row>
    <row r="797" customFormat="false" ht="15" hidden="false" customHeight="true" outlineLevel="0" collapsed="false">
      <c r="A797" s="12" t="n">
        <v>42433</v>
      </c>
      <c r="B797" s="13" t="n">
        <v>142127.642090613</v>
      </c>
      <c r="C797" s="13" t="n">
        <v>144039.4136827</v>
      </c>
      <c r="D797" s="13" t="n">
        <v>3665</v>
      </c>
      <c r="E797" s="14" t="n">
        <v>38.7797113480525</v>
      </c>
      <c r="F797" s="14" t="n">
        <v>39.3013407046931</v>
      </c>
      <c r="G797" s="13" t="n">
        <v>-1911.77159208767</v>
      </c>
      <c r="H797" s="15" t="n">
        <v>-0.0134510892038076</v>
      </c>
      <c r="I797" s="15" t="n">
        <v>-0.0134510892038077</v>
      </c>
      <c r="J797" s="16" t="n">
        <v>2016</v>
      </c>
      <c r="K797" s="16" t="n">
        <v>3</v>
      </c>
      <c r="L797" s="16" t="n">
        <v>9</v>
      </c>
      <c r="M797" s="16" t="s">
        <v>36</v>
      </c>
      <c r="N797" s="17" t="b">
        <f aca="false">FALSE()</f>
        <v>0</v>
      </c>
      <c r="O797" s="14" t="n">
        <v>38.9923521709863</v>
      </c>
      <c r="P797" s="13" t="n">
        <v>4011.07142857143</v>
      </c>
      <c r="Q797" s="15" t="n">
        <v>-0.00545339819463207</v>
      </c>
      <c r="R797" s="15" t="n">
        <v>-0.0862790490606357</v>
      </c>
      <c r="S797" s="17" t="b">
        <f aca="false">FALSE()</f>
        <v>0</v>
      </c>
    </row>
    <row r="798" customFormat="false" ht="15" hidden="false" customHeight="true" outlineLevel="0" collapsed="false">
      <c r="A798" s="12" t="n">
        <v>42434</v>
      </c>
      <c r="B798" s="13" t="n">
        <v>152124.407894328</v>
      </c>
      <c r="C798" s="13" t="n">
        <v>153377.512038677</v>
      </c>
      <c r="D798" s="13" t="n">
        <v>3889</v>
      </c>
      <c r="E798" s="14" t="n">
        <v>39.1165872703337</v>
      </c>
      <c r="F798" s="14" t="n">
        <v>39.4388048440929</v>
      </c>
      <c r="G798" s="13" t="n">
        <v>-1253.10414434975</v>
      </c>
      <c r="H798" s="15" t="n">
        <v>-0.00823736415276774</v>
      </c>
      <c r="I798" s="15" t="n">
        <v>-0.00823736415276765</v>
      </c>
      <c r="J798" s="16" t="n">
        <v>2016</v>
      </c>
      <c r="K798" s="16" t="n">
        <v>3</v>
      </c>
      <c r="L798" s="16" t="n">
        <v>9</v>
      </c>
      <c r="M798" s="16" t="s">
        <v>37</v>
      </c>
      <c r="N798" s="17" t="b">
        <f aca="false">TRUE()</f>
        <v>1</v>
      </c>
      <c r="O798" s="14" t="n">
        <v>38.7631943826325</v>
      </c>
      <c r="P798" s="13" t="n">
        <v>3998.5</v>
      </c>
      <c r="Q798" s="15" t="n">
        <v>0.00911671221449963</v>
      </c>
      <c r="R798" s="15" t="n">
        <v>-0.0273852694760535</v>
      </c>
      <c r="S798" s="17" t="b">
        <f aca="false">FALSE()</f>
        <v>0</v>
      </c>
    </row>
    <row r="799" customFormat="false" ht="15" hidden="false" customHeight="true" outlineLevel="0" collapsed="false">
      <c r="A799" s="12" t="n">
        <v>42435</v>
      </c>
      <c r="B799" s="13" t="n">
        <v>74132.7870230743</v>
      </c>
      <c r="C799" s="13" t="n">
        <v>74332.2794842242</v>
      </c>
      <c r="D799" s="13" t="n">
        <v>1882</v>
      </c>
      <c r="E799" s="14" t="n">
        <v>39.3904288114104</v>
      </c>
      <c r="F799" s="14" t="n">
        <v>39.4964290564422</v>
      </c>
      <c r="G799" s="13" t="n">
        <v>-199.492461149945</v>
      </c>
      <c r="H799" s="15" t="n">
        <v>-0.002691015260061</v>
      </c>
      <c r="I799" s="15" t="n">
        <v>-0.00269101526006097</v>
      </c>
      <c r="J799" s="16" t="n">
        <v>2016</v>
      </c>
      <c r="K799" s="16" t="n">
        <v>3</v>
      </c>
      <c r="L799" s="16" t="n">
        <v>9</v>
      </c>
      <c r="M799" s="16" t="s">
        <v>38</v>
      </c>
      <c r="N799" s="17" t="b">
        <f aca="false">TRUE()</f>
        <v>1</v>
      </c>
      <c r="O799" s="14" t="n">
        <v>39.0486349976503</v>
      </c>
      <c r="P799" s="13" t="n">
        <v>3614.85714285714</v>
      </c>
      <c r="Q799" s="15" t="n">
        <v>0.00875302846772039</v>
      </c>
      <c r="R799" s="15" t="n">
        <v>-0.479370850458426</v>
      </c>
      <c r="S799" s="17" t="b">
        <f aca="false">FALSE()</f>
        <v>0</v>
      </c>
    </row>
    <row r="800" customFormat="false" ht="15" hidden="false" customHeight="true" outlineLevel="0" collapsed="false">
      <c r="A800" s="12" t="n">
        <v>42436</v>
      </c>
      <c r="B800" s="13" t="n">
        <v>91143.0286077093</v>
      </c>
      <c r="C800" s="13" t="n">
        <v>95167.5287320489</v>
      </c>
      <c r="D800" s="13" t="n">
        <v>2405</v>
      </c>
      <c r="E800" s="14" t="n">
        <v>37.8973091923947</v>
      </c>
      <c r="F800" s="14" t="n">
        <v>39.570698017484</v>
      </c>
      <c r="G800" s="13" t="n">
        <v>-4024.50012433967</v>
      </c>
      <c r="H800" s="15" t="n">
        <v>-0.0441558744077027</v>
      </c>
      <c r="I800" s="15" t="n">
        <v>-0.0441558744077028</v>
      </c>
      <c r="J800" s="16" t="n">
        <v>2016</v>
      </c>
      <c r="K800" s="16" t="n">
        <v>3</v>
      </c>
      <c r="L800" s="16" t="n">
        <v>10</v>
      </c>
      <c r="M800" s="16" t="s">
        <v>32</v>
      </c>
      <c r="N800" s="17" t="b">
        <f aca="false">FALSE()</f>
        <v>0</v>
      </c>
      <c r="O800" s="14" t="n">
        <v>38.8615779863937</v>
      </c>
      <c r="P800" s="13" t="n">
        <v>3584.42857142857</v>
      </c>
      <c r="Q800" s="15" t="n">
        <v>-0.0248129088925983</v>
      </c>
      <c r="R800" s="15" t="n">
        <v>-0.329042286078674</v>
      </c>
      <c r="S800" s="17" t="b">
        <f aca="false">FALSE()</f>
        <v>0</v>
      </c>
    </row>
    <row r="801" customFormat="false" ht="15" hidden="false" customHeight="true" outlineLevel="0" collapsed="false">
      <c r="A801" s="12" t="n">
        <v>42437</v>
      </c>
      <c r="B801" s="13" t="n">
        <v>60528.093358145</v>
      </c>
      <c r="C801" s="13" t="n">
        <v>62342.8811663599</v>
      </c>
      <c r="D801" s="13" t="n">
        <v>1577</v>
      </c>
      <c r="E801" s="14" t="n">
        <v>38.381796676059</v>
      </c>
      <c r="F801" s="14" t="n">
        <v>39.5325815893215</v>
      </c>
      <c r="G801" s="13" t="n">
        <v>-1814.78780821493</v>
      </c>
      <c r="H801" s="15" t="n">
        <v>-0.0299825702005318</v>
      </c>
      <c r="I801" s="15" t="n">
        <v>-0.0299825702005318</v>
      </c>
      <c r="J801" s="16" t="n">
        <v>2016</v>
      </c>
      <c r="K801" s="16" t="n">
        <v>3</v>
      </c>
      <c r="L801" s="16" t="n">
        <v>10</v>
      </c>
      <c r="M801" s="16" t="s">
        <v>33</v>
      </c>
      <c r="N801" s="17" t="b">
        <f aca="false">FALSE()</f>
        <v>0</v>
      </c>
      <c r="O801" s="14" t="n">
        <v>38.5668212221977</v>
      </c>
      <c r="P801" s="13" t="n">
        <v>3611.35714285714</v>
      </c>
      <c r="Q801" s="15" t="n">
        <v>-0.0047975057387473</v>
      </c>
      <c r="R801" s="15" t="n">
        <v>-0.563322059376174</v>
      </c>
      <c r="S801" s="17" t="b">
        <f aca="false">FALSE()</f>
        <v>0</v>
      </c>
    </row>
    <row r="802" customFormat="false" ht="15" hidden="false" customHeight="true" outlineLevel="0" collapsed="false">
      <c r="A802" s="12" t="n">
        <v>42438</v>
      </c>
      <c r="B802" s="13" t="n">
        <v>38340.5996110802</v>
      </c>
      <c r="C802" s="13" t="n">
        <v>35918.3351533292</v>
      </c>
      <c r="D802" s="13" t="n">
        <v>913</v>
      </c>
      <c r="E802" s="14" t="n">
        <v>41.9940850066596</v>
      </c>
      <c r="F802" s="14" t="n">
        <v>39.3410023585205</v>
      </c>
      <c r="G802" s="13" t="n">
        <v>2422.26445775104</v>
      </c>
      <c r="H802" s="15" t="n">
        <v>0.0631775319719053</v>
      </c>
      <c r="I802" s="15" t="n">
        <v>0.0631775319719053</v>
      </c>
      <c r="J802" s="16" t="n">
        <v>2016</v>
      </c>
      <c r="K802" s="16" t="n">
        <v>3</v>
      </c>
      <c r="L802" s="16" t="n">
        <v>10</v>
      </c>
      <c r="M802" s="16" t="s">
        <v>34</v>
      </c>
      <c r="N802" s="17" t="b">
        <f aca="false">FALSE()</f>
        <v>0</v>
      </c>
      <c r="O802" s="14" t="n">
        <v>38.30997696141</v>
      </c>
      <c r="P802" s="13" t="n">
        <v>3631.07142857143</v>
      </c>
      <c r="Q802" s="15" t="n">
        <v>0.0961657598740049</v>
      </c>
      <c r="R802" s="15" t="n">
        <v>-0.748559063637258</v>
      </c>
      <c r="S802" s="17" t="b">
        <f aca="false">FALSE()</f>
        <v>0</v>
      </c>
    </row>
    <row r="803" customFormat="false" ht="15" hidden="false" customHeight="true" outlineLevel="0" collapsed="false">
      <c r="A803" s="12" t="n">
        <v>42439</v>
      </c>
      <c r="B803" s="13" t="n">
        <v>37453.0061825103</v>
      </c>
      <c r="C803" s="13" t="n">
        <v>35108.2001065368</v>
      </c>
      <c r="D803" s="13" t="n">
        <v>892</v>
      </c>
      <c r="E803" s="14" t="n">
        <v>41.9876750925003</v>
      </c>
      <c r="F803" s="14" t="n">
        <v>39.3589687293013</v>
      </c>
      <c r="G803" s="13" t="n">
        <v>2344.80607597347</v>
      </c>
      <c r="H803" s="15" t="n">
        <v>0.0626066186662593</v>
      </c>
      <c r="I803" s="15" t="n">
        <v>0.0626066186662593</v>
      </c>
      <c r="J803" s="16" t="n">
        <v>2016</v>
      </c>
      <c r="K803" s="16" t="n">
        <v>3</v>
      </c>
      <c r="L803" s="16" t="n">
        <v>10</v>
      </c>
      <c r="M803" s="16" t="s">
        <v>35</v>
      </c>
      <c r="N803" s="17" t="b">
        <f aca="false">FALSE()</f>
        <v>0</v>
      </c>
      <c r="O803" s="14" t="n">
        <v>38.6780067121496</v>
      </c>
      <c r="P803" s="13" t="n">
        <v>3538.21428571429</v>
      </c>
      <c r="Q803" s="15" t="n">
        <v>0.0855697762550691</v>
      </c>
      <c r="R803" s="15" t="n">
        <v>-0.747895427475522</v>
      </c>
      <c r="S803" s="17" t="b">
        <f aca="false">FALSE()</f>
        <v>0</v>
      </c>
    </row>
    <row r="804" customFormat="false" ht="15" hidden="false" customHeight="true" outlineLevel="0" collapsed="false">
      <c r="A804" s="12" t="n">
        <v>42440</v>
      </c>
      <c r="B804" s="13" t="n">
        <v>77997.0450128694</v>
      </c>
      <c r="C804" s="13" t="n">
        <v>73051.6755425454</v>
      </c>
      <c r="D804" s="13" t="n">
        <v>1855</v>
      </c>
      <c r="E804" s="14" t="n">
        <v>42.0469245352396</v>
      </c>
      <c r="F804" s="14" t="n">
        <v>39.3809571657926</v>
      </c>
      <c r="G804" s="13" t="n">
        <v>4945.36947032403</v>
      </c>
      <c r="H804" s="15" t="n">
        <v>0.0634045747439285</v>
      </c>
      <c r="I804" s="15" t="n">
        <v>0.0634045747439285</v>
      </c>
      <c r="J804" s="16" t="n">
        <v>2016</v>
      </c>
      <c r="K804" s="16" t="n">
        <v>3</v>
      </c>
      <c r="L804" s="16" t="n">
        <v>10</v>
      </c>
      <c r="M804" s="16" t="s">
        <v>36</v>
      </c>
      <c r="N804" s="17" t="b">
        <f aca="false">FALSE()</f>
        <v>0</v>
      </c>
      <c r="O804" s="14" t="n">
        <v>39.0667148422129</v>
      </c>
      <c r="P804" s="13" t="n">
        <v>3287.35714285714</v>
      </c>
      <c r="Q804" s="15" t="n">
        <v>0.0762851369782047</v>
      </c>
      <c r="R804" s="15" t="n">
        <v>-0.435716924146622</v>
      </c>
      <c r="S804" s="17" t="b">
        <f aca="false">FALSE()</f>
        <v>0</v>
      </c>
    </row>
    <row r="805" customFormat="false" ht="15" hidden="false" customHeight="true" outlineLevel="0" collapsed="false">
      <c r="A805" s="12" t="n">
        <v>42441</v>
      </c>
      <c r="B805" s="13" t="n">
        <v>79752.2826780293</v>
      </c>
      <c r="C805" s="13" t="n">
        <v>74962.816397036</v>
      </c>
      <c r="D805" s="13" t="n">
        <v>1897</v>
      </c>
      <c r="E805" s="14" t="n">
        <v>42.0412665672268</v>
      </c>
      <c r="F805" s="14" t="n">
        <v>39.5165083800928</v>
      </c>
      <c r="G805" s="13" t="n">
        <v>4789.46628099325</v>
      </c>
      <c r="H805" s="15" t="n">
        <v>0.0600542845943228</v>
      </c>
      <c r="I805" s="15" t="n">
        <v>0.0600542845943228</v>
      </c>
      <c r="J805" s="16" t="n">
        <v>2016</v>
      </c>
      <c r="K805" s="16" t="n">
        <v>3</v>
      </c>
      <c r="L805" s="16" t="n">
        <v>10</v>
      </c>
      <c r="M805" s="16" t="s">
        <v>37</v>
      </c>
      <c r="N805" s="17" t="b">
        <f aca="false">TRUE()</f>
        <v>1</v>
      </c>
      <c r="O805" s="14" t="n">
        <v>39.3383218065199</v>
      </c>
      <c r="P805" s="13" t="n">
        <v>3067.35714285714</v>
      </c>
      <c r="Q805" s="15" t="n">
        <v>0.0687102203800397</v>
      </c>
      <c r="R805" s="15" t="n">
        <v>-0.381552290245209</v>
      </c>
      <c r="S805" s="17" t="b">
        <f aca="false">FALSE()</f>
        <v>0</v>
      </c>
    </row>
    <row r="806" customFormat="false" ht="15" hidden="false" customHeight="true" outlineLevel="0" collapsed="false">
      <c r="A806" s="12" t="n">
        <v>42442</v>
      </c>
      <c r="B806" s="13" t="n">
        <v>37155.5884845603</v>
      </c>
      <c r="C806" s="13" t="n">
        <v>34962.8305041842</v>
      </c>
      <c r="D806" s="13" t="n">
        <v>883</v>
      </c>
      <c r="E806" s="14" t="n">
        <v>42.0788091557874</v>
      </c>
      <c r="F806" s="14" t="n">
        <v>39.5955045347499</v>
      </c>
      <c r="G806" s="13" t="n">
        <v>2192.75798037607</v>
      </c>
      <c r="H806" s="15" t="n">
        <v>0.0590155631981782</v>
      </c>
      <c r="I806" s="15" t="n">
        <v>0.0590155631981782</v>
      </c>
      <c r="J806" s="16" t="n">
        <v>2016</v>
      </c>
      <c r="K806" s="16" t="n">
        <v>3</v>
      </c>
      <c r="L806" s="16" t="n">
        <v>10</v>
      </c>
      <c r="M806" s="16" t="s">
        <v>38</v>
      </c>
      <c r="N806" s="17" t="b">
        <f aca="false">TRUE()</f>
        <v>1</v>
      </c>
      <c r="O806" s="14" t="n">
        <v>39.5912056451021</v>
      </c>
      <c r="P806" s="13" t="n">
        <v>2802.21428571429</v>
      </c>
      <c r="Q806" s="15" t="n">
        <v>0.0628322242314201</v>
      </c>
      <c r="R806" s="15" t="n">
        <v>-0.68489204965461</v>
      </c>
      <c r="S806" s="17" t="b">
        <f aca="false">FALSE()</f>
        <v>0</v>
      </c>
    </row>
    <row r="807" customFormat="false" ht="15" hidden="false" customHeight="true" outlineLevel="0" collapsed="false">
      <c r="A807" s="12" t="n">
        <v>42443</v>
      </c>
      <c r="B807" s="13" t="n">
        <v>45046.5132144302</v>
      </c>
      <c r="C807" s="13" t="n">
        <v>42368.0453535041</v>
      </c>
      <c r="D807" s="13" t="n">
        <v>1071</v>
      </c>
      <c r="E807" s="14" t="n">
        <v>42.0602364280394</v>
      </c>
      <c r="F807" s="14" t="n">
        <v>39.5593327296957</v>
      </c>
      <c r="G807" s="13" t="n">
        <v>2678.46786092615</v>
      </c>
      <c r="H807" s="15" t="n">
        <v>0.0594600485097729</v>
      </c>
      <c r="I807" s="15" t="n">
        <v>0.0594600485097729</v>
      </c>
      <c r="J807" s="16" t="n">
        <v>2016</v>
      </c>
      <c r="K807" s="16" t="n">
        <v>3</v>
      </c>
      <c r="L807" s="16" t="n">
        <v>11</v>
      </c>
      <c r="M807" s="16" t="s">
        <v>32</v>
      </c>
      <c r="N807" s="17" t="b">
        <f aca="false">FALSE()</f>
        <v>0</v>
      </c>
      <c r="O807" s="14" t="n">
        <v>39.8035089622233</v>
      </c>
      <c r="P807" s="13" t="n">
        <v>2618.71428571429</v>
      </c>
      <c r="Q807" s="15" t="n">
        <v>0.0566966964635695</v>
      </c>
      <c r="R807" s="15" t="n">
        <v>-0.591020675358682</v>
      </c>
      <c r="S807" s="17" t="b">
        <f aca="false">FALSE()</f>
        <v>0</v>
      </c>
    </row>
    <row r="808" customFormat="false" ht="15" hidden="false" customHeight="true" outlineLevel="0" collapsed="false">
      <c r="A808" s="12" t="n">
        <v>42444</v>
      </c>
      <c r="B808" s="13" t="n">
        <v>55489.3327578002</v>
      </c>
      <c r="C808" s="13" t="n">
        <v>52263.0569882266</v>
      </c>
      <c r="D808" s="13" t="n">
        <v>1320</v>
      </c>
      <c r="E808" s="14" t="n">
        <v>42.0373733013638</v>
      </c>
      <c r="F808" s="14" t="n">
        <v>39.5932249910808</v>
      </c>
      <c r="G808" s="13" t="n">
        <v>3226.2757695736</v>
      </c>
      <c r="H808" s="15" t="n">
        <v>0.0581422700405435</v>
      </c>
      <c r="I808" s="15" t="n">
        <v>0.0581422700405436</v>
      </c>
      <c r="J808" s="16" t="n">
        <v>2016</v>
      </c>
      <c r="K808" s="16" t="n">
        <v>3</v>
      </c>
      <c r="L808" s="16" t="n">
        <v>11</v>
      </c>
      <c r="M808" s="16" t="s">
        <v>33</v>
      </c>
      <c r="N808" s="17" t="b">
        <f aca="false">FALSE()</f>
        <v>0</v>
      </c>
      <c r="O808" s="14" t="n">
        <v>40.0798192918279</v>
      </c>
      <c r="P808" s="13" t="n">
        <v>2390.21428571429</v>
      </c>
      <c r="Q808" s="15" t="n">
        <v>0.0488413881131221</v>
      </c>
      <c r="R808" s="15" t="n">
        <v>-0.447748259271434</v>
      </c>
      <c r="S808" s="17" t="b">
        <f aca="false">FALSE()</f>
        <v>0</v>
      </c>
    </row>
    <row r="809" customFormat="false" ht="15" hidden="false" customHeight="true" outlineLevel="0" collapsed="false">
      <c r="A809" s="12" t="n">
        <v>42445</v>
      </c>
      <c r="B809" s="13" t="n">
        <v>41893.3031580002</v>
      </c>
      <c r="C809" s="13" t="n">
        <v>39495.4559015033</v>
      </c>
      <c r="D809" s="13" t="n">
        <v>997</v>
      </c>
      <c r="E809" s="14" t="n">
        <v>42.0193612417254</v>
      </c>
      <c r="F809" s="14" t="n">
        <v>39.614298797897</v>
      </c>
      <c r="G809" s="13" t="n">
        <v>2397.84725649697</v>
      </c>
      <c r="H809" s="15" t="n">
        <v>0.0572370062931899</v>
      </c>
      <c r="I809" s="15" t="n">
        <v>0.0572370062931899</v>
      </c>
      <c r="J809" s="16" t="n">
        <v>2016</v>
      </c>
      <c r="K809" s="16" t="n">
        <v>3</v>
      </c>
      <c r="L809" s="16" t="n">
        <v>11</v>
      </c>
      <c r="M809" s="16" t="s">
        <v>34</v>
      </c>
      <c r="N809" s="17" t="b">
        <f aca="false">FALSE()</f>
        <v>0</v>
      </c>
      <c r="O809" s="14" t="n">
        <v>40.3453975093272</v>
      </c>
      <c r="P809" s="13" t="n">
        <v>2147.42857142857</v>
      </c>
      <c r="Q809" s="15" t="n">
        <v>0.0414908226399616</v>
      </c>
      <c r="R809" s="15" t="n">
        <v>-0.535723789249601</v>
      </c>
      <c r="S809" s="17" t="b">
        <f aca="false">FALSE()</f>
        <v>0</v>
      </c>
    </row>
    <row r="810" customFormat="false" ht="15" hidden="false" customHeight="true" outlineLevel="0" collapsed="false">
      <c r="A810" s="12" t="n">
        <v>42446</v>
      </c>
      <c r="B810" s="13" t="n">
        <v>34348.5041897101</v>
      </c>
      <c r="C810" s="13" t="n">
        <v>32292.8376020684</v>
      </c>
      <c r="D810" s="13" t="n">
        <v>817</v>
      </c>
      <c r="E810" s="14" t="n">
        <v>42.0422327903429</v>
      </c>
      <c r="F810" s="14" t="n">
        <v>39.5261170159956</v>
      </c>
      <c r="G810" s="13" t="n">
        <v>2055.66658764171</v>
      </c>
      <c r="H810" s="15" t="n">
        <v>0.0598473393859616</v>
      </c>
      <c r="I810" s="15" t="n">
        <v>0.0598473393859617</v>
      </c>
      <c r="J810" s="16" t="n">
        <v>2016</v>
      </c>
      <c r="K810" s="16" t="n">
        <v>3</v>
      </c>
      <c r="L810" s="16" t="n">
        <v>11</v>
      </c>
      <c r="M810" s="16" t="s">
        <v>35</v>
      </c>
      <c r="N810" s="17" t="b">
        <f aca="false">FALSE()</f>
        <v>0</v>
      </c>
      <c r="O810" s="14" t="n">
        <v>40.5994656431728</v>
      </c>
      <c r="P810" s="13" t="n">
        <v>1900.71428571429</v>
      </c>
      <c r="Q810" s="15" t="n">
        <v>0.0355366043447602</v>
      </c>
      <c r="R810" s="15" t="n">
        <v>-0.570161593385945</v>
      </c>
      <c r="S810" s="17" t="b">
        <f aca="false">FALSE()</f>
        <v>0</v>
      </c>
    </row>
    <row r="811" customFormat="false" ht="15" hidden="false" customHeight="true" outlineLevel="0" collapsed="false">
      <c r="A811" s="12" t="n">
        <v>42447</v>
      </c>
      <c r="B811" s="13" t="n">
        <v>78276.8312169345</v>
      </c>
      <c r="C811" s="13" t="n">
        <v>73746.7587115386</v>
      </c>
      <c r="D811" s="13" t="n">
        <v>1866</v>
      </c>
      <c r="E811" s="14" t="n">
        <v>41.9489985085394</v>
      </c>
      <c r="F811" s="14" t="n">
        <v>39.5213069193669</v>
      </c>
      <c r="G811" s="13" t="n">
        <v>4530.07250539593</v>
      </c>
      <c r="H811" s="15" t="n">
        <v>0.0578724564468048</v>
      </c>
      <c r="I811" s="15" t="n">
        <v>0.0578724564468048</v>
      </c>
      <c r="J811" s="16" t="n">
        <v>2016</v>
      </c>
      <c r="K811" s="16" t="n">
        <v>3</v>
      </c>
      <c r="L811" s="16" t="n">
        <v>11</v>
      </c>
      <c r="M811" s="16" t="s">
        <v>36</v>
      </c>
      <c r="N811" s="17" t="b">
        <f aca="false">FALSE()</f>
        <v>0</v>
      </c>
      <c r="O811" s="14" t="n">
        <v>40.8481283869382</v>
      </c>
      <c r="P811" s="13" t="n">
        <v>1718.78571428571</v>
      </c>
      <c r="Q811" s="15" t="n">
        <v>0.0269503197594035</v>
      </c>
      <c r="R811" s="15" t="n">
        <v>0.085650168308191</v>
      </c>
      <c r="S811" s="17" t="b">
        <f aca="false">FALSE()</f>
        <v>0</v>
      </c>
    </row>
    <row r="812" customFormat="false" ht="15" hidden="false" customHeight="true" outlineLevel="0" collapsed="false">
      <c r="A812" s="12" t="n">
        <v>42448</v>
      </c>
      <c r="B812" s="13" t="n">
        <v>92851.4026600788</v>
      </c>
      <c r="C812" s="13" t="n">
        <v>87451.5661757812</v>
      </c>
      <c r="D812" s="13" t="n">
        <v>2211</v>
      </c>
      <c r="E812" s="14" t="n">
        <v>41.9952069923468</v>
      </c>
      <c r="F812" s="14" t="n">
        <v>39.552947162271</v>
      </c>
      <c r="G812" s="13" t="n">
        <v>5399.83648429756</v>
      </c>
      <c r="H812" s="15" t="n">
        <v>0.0581556802546743</v>
      </c>
      <c r="I812" s="15" t="n">
        <v>0.0581556802546743</v>
      </c>
      <c r="J812" s="16" t="n">
        <v>2016</v>
      </c>
      <c r="K812" s="16" t="n">
        <v>3</v>
      </c>
      <c r="L812" s="16" t="n">
        <v>11</v>
      </c>
      <c r="M812" s="16" t="s">
        <v>37</v>
      </c>
      <c r="N812" s="17" t="b">
        <f aca="false">TRUE()</f>
        <v>1</v>
      </c>
      <c r="O812" s="14" t="n">
        <v>41.0745060412587</v>
      </c>
      <c r="P812" s="13" t="n">
        <v>1590.28571428571</v>
      </c>
      <c r="Q812" s="15" t="n">
        <v>0.0224153870569555</v>
      </c>
      <c r="R812" s="15" t="n">
        <v>0.390316205533597</v>
      </c>
      <c r="S812" s="17" t="b">
        <f aca="false">FALSE()</f>
        <v>0</v>
      </c>
    </row>
    <row r="813" customFormat="false" ht="15" hidden="false" customHeight="true" outlineLevel="0" collapsed="false">
      <c r="A813" s="12" t="n">
        <v>42449</v>
      </c>
      <c r="B813" s="13" t="n">
        <v>54845.7892982703</v>
      </c>
      <c r="C813" s="13" t="n">
        <v>51625.5117177853</v>
      </c>
      <c r="D813" s="13" t="n">
        <v>1304</v>
      </c>
      <c r="E813" s="14" t="n">
        <v>42.0596543698391</v>
      </c>
      <c r="F813" s="14" t="n">
        <v>39.5901163479949</v>
      </c>
      <c r="G813" s="13" t="n">
        <v>3220.27758048496</v>
      </c>
      <c r="H813" s="15" t="n">
        <v>0.0587151287580526</v>
      </c>
      <c r="I813" s="15" t="n">
        <v>0.0587151287580526</v>
      </c>
      <c r="J813" s="16" t="n">
        <v>2016</v>
      </c>
      <c r="K813" s="16" t="n">
        <v>3</v>
      </c>
      <c r="L813" s="16" t="n">
        <v>11</v>
      </c>
      <c r="M813" s="16" t="s">
        <v>38</v>
      </c>
      <c r="N813" s="17" t="b">
        <f aca="false">TRUE()</f>
        <v>1</v>
      </c>
      <c r="O813" s="14" t="n">
        <v>41.2801217356882</v>
      </c>
      <c r="P813" s="13" t="n">
        <v>1470.42857142857</v>
      </c>
      <c r="Q813" s="15" t="n">
        <v>0.0188839713008154</v>
      </c>
      <c r="R813" s="15" t="n">
        <v>-0.113183717089284</v>
      </c>
      <c r="S813" s="17" t="b">
        <f aca="false">FALSE()</f>
        <v>0</v>
      </c>
    </row>
    <row r="814" customFormat="false" ht="15" hidden="false" customHeight="true" outlineLevel="0" collapsed="false">
      <c r="A814" s="12" t="n">
        <v>42450</v>
      </c>
      <c r="B814" s="13" t="n">
        <v>48037.7999023803</v>
      </c>
      <c r="C814" s="13" t="n">
        <v>45187.6415757207</v>
      </c>
      <c r="D814" s="13" t="n">
        <v>1143</v>
      </c>
      <c r="E814" s="14" t="n">
        <v>42.0278214369031</v>
      </c>
      <c r="F814" s="14" t="n">
        <v>39.5342445981808</v>
      </c>
      <c r="G814" s="13" t="n">
        <v>2850.15832665956</v>
      </c>
      <c r="H814" s="15" t="n">
        <v>0.0593315749774446</v>
      </c>
      <c r="I814" s="15" t="n">
        <v>0.0593315749774446</v>
      </c>
      <c r="J814" s="16" t="n">
        <v>2016</v>
      </c>
      <c r="K814" s="16" t="n">
        <v>3</v>
      </c>
      <c r="L814" s="16" t="n">
        <v>12</v>
      </c>
      <c r="M814" s="16" t="s">
        <v>32</v>
      </c>
      <c r="N814" s="17" t="b">
        <f aca="false">FALSE()</f>
        <v>0</v>
      </c>
      <c r="O814" s="14" t="n">
        <v>41.4707807041474</v>
      </c>
      <c r="P814" s="13" t="n">
        <v>1429.14285714286</v>
      </c>
      <c r="Q814" s="15" t="n">
        <v>0.0134321255423087</v>
      </c>
      <c r="R814" s="15" t="n">
        <v>-0.200219912035186</v>
      </c>
      <c r="S814" s="17" t="b">
        <f aca="false">FALSE()</f>
        <v>0</v>
      </c>
    </row>
    <row r="815" customFormat="false" ht="15" hidden="false" customHeight="true" outlineLevel="0" collapsed="false">
      <c r="A815" s="12" t="n">
        <v>42451</v>
      </c>
      <c r="B815" s="13" t="n">
        <v>65905.72326216</v>
      </c>
      <c r="C815" s="13" t="n">
        <v>62023.8812977001</v>
      </c>
      <c r="D815" s="13" t="n">
        <v>1573</v>
      </c>
      <c r="E815" s="14" t="n">
        <v>41.898107604679</v>
      </c>
      <c r="F815" s="14" t="n">
        <v>39.4303123316593</v>
      </c>
      <c r="G815" s="13" t="n">
        <v>3881.84196445995</v>
      </c>
      <c r="H815" s="15" t="n">
        <v>0.058899922075337</v>
      </c>
      <c r="I815" s="15" t="n">
        <v>0.058899922075337</v>
      </c>
      <c r="J815" s="16" t="n">
        <v>2016</v>
      </c>
      <c r="K815" s="16" t="n">
        <v>3</v>
      </c>
      <c r="L815" s="16" t="n">
        <v>12</v>
      </c>
      <c r="M815" s="16" t="s">
        <v>33</v>
      </c>
      <c r="N815" s="17" t="b">
        <f aca="false">FALSE()</f>
        <v>0</v>
      </c>
      <c r="O815" s="14" t="n">
        <v>41.7658172930409</v>
      </c>
      <c r="P815" s="13" t="n">
        <v>1339</v>
      </c>
      <c r="Q815" s="15" t="n">
        <v>0.00316743021475845</v>
      </c>
      <c r="R815" s="15" t="n">
        <v>0.174757281553398</v>
      </c>
      <c r="S815" s="17" t="b">
        <f aca="false">FALSE()</f>
        <v>0</v>
      </c>
    </row>
    <row r="816" customFormat="false" ht="15" hidden="false" customHeight="true" outlineLevel="0" collapsed="false">
      <c r="A816" s="12" t="n">
        <v>42452</v>
      </c>
      <c r="B816" s="13" t="n">
        <v>84870.0513008698</v>
      </c>
      <c r="C816" s="13" t="n">
        <v>81472.8271759893</v>
      </c>
      <c r="D816" s="13" t="n">
        <v>2065</v>
      </c>
      <c r="E816" s="14" t="n">
        <v>41.0992984507844</v>
      </c>
      <c r="F816" s="14" t="n">
        <v>39.4541535961207</v>
      </c>
      <c r="G816" s="13" t="n">
        <v>3397.22412488044</v>
      </c>
      <c r="H816" s="15" t="n">
        <v>0.0400285386047083</v>
      </c>
      <c r="I816" s="15" t="n">
        <v>0.0400285386047082</v>
      </c>
      <c r="J816" s="16" t="n">
        <v>2016</v>
      </c>
      <c r="K816" s="16" t="n">
        <v>3</v>
      </c>
      <c r="L816" s="16" t="n">
        <v>12</v>
      </c>
      <c r="M816" s="16" t="s">
        <v>34</v>
      </c>
      <c r="N816" s="17" t="b">
        <f aca="false">FALSE()</f>
        <v>0</v>
      </c>
      <c r="O816" s="14" t="n">
        <v>42.0169823593709</v>
      </c>
      <c r="P816" s="13" t="n">
        <v>1338.71428571429</v>
      </c>
      <c r="Q816" s="15" t="n">
        <v>-0.0218407857265326</v>
      </c>
      <c r="R816" s="15" t="n">
        <v>0.54252481058585</v>
      </c>
      <c r="S816" s="17" t="b">
        <f aca="false">FALSE()</f>
        <v>0</v>
      </c>
    </row>
    <row r="817" customFormat="false" ht="15" hidden="false" customHeight="true" outlineLevel="0" collapsed="false">
      <c r="A817" s="12" t="n">
        <v>42453</v>
      </c>
      <c r="B817" s="13" t="n">
        <v>262459.505681304</v>
      </c>
      <c r="C817" s="13" t="n">
        <v>259298.456618437</v>
      </c>
      <c r="D817" s="13" t="n">
        <v>6588</v>
      </c>
      <c r="E817" s="14" t="n">
        <v>39.8390263632823</v>
      </c>
      <c r="F817" s="14" t="n">
        <v>39.3592071369819</v>
      </c>
      <c r="G817" s="13" t="n">
        <v>3161.04906286707</v>
      </c>
      <c r="H817" s="15" t="n">
        <v>0.0120439496167665</v>
      </c>
      <c r="I817" s="15" t="n">
        <v>0.0120439496167664</v>
      </c>
      <c r="J817" s="16" t="n">
        <v>2016</v>
      </c>
      <c r="K817" s="16" t="n">
        <v>3</v>
      </c>
      <c r="L817" s="16" t="n">
        <v>12</v>
      </c>
      <c r="M817" s="16" t="s">
        <v>35</v>
      </c>
      <c r="N817" s="17" t="b">
        <f aca="false">FALSE()</f>
        <v>0</v>
      </c>
      <c r="O817" s="14" t="n">
        <v>41.9530690339512</v>
      </c>
      <c r="P817" s="13" t="n">
        <v>1421</v>
      </c>
      <c r="Q817" s="15" t="n">
        <v>-0.0503906560198994</v>
      </c>
      <c r="R817" s="15" t="n">
        <v>3.63617171006334</v>
      </c>
      <c r="S817" s="17" t="b">
        <f aca="false">TRUE()</f>
        <v>1</v>
      </c>
    </row>
    <row r="818" customFormat="false" ht="15" hidden="false" customHeight="true" outlineLevel="0" collapsed="false">
      <c r="A818" s="12" t="n">
        <v>42454</v>
      </c>
      <c r="B818" s="13" t="n">
        <v>228124.398029274</v>
      </c>
      <c r="C818" s="13" t="n">
        <v>222208.350380804</v>
      </c>
      <c r="D818" s="13" t="n">
        <v>5652</v>
      </c>
      <c r="E818" s="14" t="n">
        <v>40.3617123194045</v>
      </c>
      <c r="F818" s="14" t="n">
        <v>39.3149947595195</v>
      </c>
      <c r="G818" s="13" t="n">
        <v>5916.04764847001</v>
      </c>
      <c r="H818" s="15" t="n">
        <v>0.0259334279874388</v>
      </c>
      <c r="I818" s="15" t="n">
        <v>0.0259334279874388</v>
      </c>
      <c r="J818" s="16" t="n">
        <v>2016</v>
      </c>
      <c r="K818" s="16" t="n">
        <v>3</v>
      </c>
      <c r="L818" s="16" t="n">
        <v>12</v>
      </c>
      <c r="M818" s="16" t="s">
        <v>36</v>
      </c>
      <c r="N818" s="17" t="b">
        <f aca="false">FALSE()</f>
        <v>0</v>
      </c>
      <c r="O818" s="14" t="n">
        <v>41.7995941247214</v>
      </c>
      <c r="P818" s="13" t="n">
        <v>1827.85714285714</v>
      </c>
      <c r="Q818" s="15" t="n">
        <v>-0.0343994202677327</v>
      </c>
      <c r="R818" s="15" t="n">
        <v>2.09214536928488</v>
      </c>
      <c r="S818" s="17" t="b">
        <f aca="false">FALSE()</f>
        <v>0</v>
      </c>
    </row>
    <row r="819" customFormat="false" ht="15" hidden="false" customHeight="true" outlineLevel="0" collapsed="false">
      <c r="A819" s="12" t="n">
        <v>42455</v>
      </c>
      <c r="B819" s="13" t="n">
        <v>162929.492144126</v>
      </c>
      <c r="C819" s="13" t="n">
        <v>161434.815098505</v>
      </c>
      <c r="D819" s="13" t="n">
        <v>4103</v>
      </c>
      <c r="E819" s="14" t="n">
        <v>39.7098445391485</v>
      </c>
      <c r="F819" s="14" t="n">
        <v>39.3455557149658</v>
      </c>
      <c r="G819" s="13" t="n">
        <v>1494.67704562182</v>
      </c>
      <c r="H819" s="15" t="n">
        <v>0.00917376606255938</v>
      </c>
      <c r="I819" s="15" t="n">
        <v>0.00917376606255941</v>
      </c>
      <c r="J819" s="16" t="n">
        <v>2016</v>
      </c>
      <c r="K819" s="16" t="n">
        <v>3</v>
      </c>
      <c r="L819" s="16" t="n">
        <v>12</v>
      </c>
      <c r="M819" s="16" t="s">
        <v>37</v>
      </c>
      <c r="N819" s="17" t="b">
        <f aca="false">TRUE()</f>
        <v>1</v>
      </c>
      <c r="O819" s="14" t="n">
        <v>41.6792218235903</v>
      </c>
      <c r="P819" s="13" t="n">
        <v>2099.07142857143</v>
      </c>
      <c r="Q819" s="15" t="n">
        <v>-0.0472508170324603</v>
      </c>
      <c r="R819" s="15" t="n">
        <v>0.954673835369381</v>
      </c>
      <c r="S819" s="17" t="b">
        <f aca="false">FALSE()</f>
        <v>0</v>
      </c>
    </row>
    <row r="820" customFormat="false" ht="15" hidden="false" customHeight="true" outlineLevel="0" collapsed="false">
      <c r="A820" s="12" t="n">
        <v>42456</v>
      </c>
      <c r="B820" s="13" t="n">
        <v>58359.8321848201</v>
      </c>
      <c r="C820" s="13" t="n">
        <v>57681.5698849339</v>
      </c>
      <c r="D820" s="13" t="n">
        <v>1466</v>
      </c>
      <c r="E820" s="14" t="n">
        <v>39.8088896212961</v>
      </c>
      <c r="F820" s="14" t="n">
        <v>39.3462277523424</v>
      </c>
      <c r="G820" s="13" t="n">
        <v>678.262299886213</v>
      </c>
      <c r="H820" s="15" t="n">
        <v>0.0116220741988808</v>
      </c>
      <c r="I820" s="15" t="n">
        <v>0.0116220741988808</v>
      </c>
      <c r="J820" s="16" t="n">
        <v>2016</v>
      </c>
      <c r="K820" s="16" t="n">
        <v>3</v>
      </c>
      <c r="L820" s="16" t="n">
        <v>12</v>
      </c>
      <c r="M820" s="16" t="s">
        <v>38</v>
      </c>
      <c r="N820" s="17" t="b">
        <f aca="false">TRUE()</f>
        <v>1</v>
      </c>
      <c r="O820" s="14" t="n">
        <v>41.5126916787276</v>
      </c>
      <c r="P820" s="13" t="n">
        <v>2256.64285714286</v>
      </c>
      <c r="Q820" s="15" t="n">
        <v>-0.0410429193707167</v>
      </c>
      <c r="R820" s="15" t="n">
        <v>-0.350362422055519</v>
      </c>
      <c r="S820" s="17" t="b">
        <f aca="false">FALSE()</f>
        <v>0</v>
      </c>
    </row>
    <row r="821" customFormat="false" ht="15" hidden="false" customHeight="true" outlineLevel="0" collapsed="false">
      <c r="A821" s="12" t="n">
        <v>42457</v>
      </c>
      <c r="B821" s="13" t="n">
        <v>85605.3319205992</v>
      </c>
      <c r="C821" s="13" t="n">
        <v>85022.3809201806</v>
      </c>
      <c r="D821" s="13" t="n">
        <v>2162</v>
      </c>
      <c r="E821" s="14" t="n">
        <v>39.5954356709524</v>
      </c>
      <c r="F821" s="14" t="n">
        <v>39.3258006106293</v>
      </c>
      <c r="G821" s="13" t="n">
        <v>582.951000418572</v>
      </c>
      <c r="H821" s="15" t="n">
        <v>0.0068097510673666</v>
      </c>
      <c r="I821" s="15" t="n">
        <v>0.00680975106736671</v>
      </c>
      <c r="J821" s="16" t="n">
        <v>2016</v>
      </c>
      <c r="K821" s="16" t="n">
        <v>3</v>
      </c>
      <c r="L821" s="16" t="n">
        <v>13</v>
      </c>
      <c r="M821" s="16" t="s">
        <v>32</v>
      </c>
      <c r="N821" s="17" t="b">
        <f aca="false">FALSE()</f>
        <v>0</v>
      </c>
      <c r="O821" s="14" t="n">
        <v>41.3505545691211</v>
      </c>
      <c r="P821" s="13" t="n">
        <v>2298.28571428571</v>
      </c>
      <c r="Q821" s="15" t="n">
        <v>-0.0424448696385628</v>
      </c>
      <c r="R821" s="15" t="n">
        <v>-0.0592988562904028</v>
      </c>
      <c r="S821" s="17" t="b">
        <f aca="false">FALSE()</f>
        <v>0</v>
      </c>
    </row>
    <row r="822" customFormat="false" ht="15" hidden="false" customHeight="true" outlineLevel="0" collapsed="false">
      <c r="A822" s="12" t="n">
        <v>42458</v>
      </c>
      <c r="B822" s="13" t="n">
        <v>84836.4143421293</v>
      </c>
      <c r="C822" s="13" t="n">
        <v>84595.2179348059</v>
      </c>
      <c r="D822" s="13" t="n">
        <v>2155</v>
      </c>
      <c r="E822" s="14" t="n">
        <v>39.3672456343987</v>
      </c>
      <c r="F822" s="14" t="n">
        <v>39.2553215474738</v>
      </c>
      <c r="G822" s="13" t="n">
        <v>241.196407323354</v>
      </c>
      <c r="H822" s="15" t="n">
        <v>0.00284307639819211</v>
      </c>
      <c r="I822" s="15" t="n">
        <v>0.00284307639819219</v>
      </c>
      <c r="J822" s="16" t="n">
        <v>2016</v>
      </c>
      <c r="K822" s="16" t="n">
        <v>3</v>
      </c>
      <c r="L822" s="16" t="n">
        <v>13</v>
      </c>
      <c r="M822" s="16" t="s">
        <v>33</v>
      </c>
      <c r="N822" s="17" t="b">
        <f aca="false">FALSE()</f>
        <v>0</v>
      </c>
      <c r="O822" s="14" t="n">
        <v>41.1744973721863</v>
      </c>
      <c r="P822" s="13" t="n">
        <v>2376.21428571429</v>
      </c>
      <c r="Q822" s="15" t="n">
        <v>-0.0438925027171876</v>
      </c>
      <c r="R822" s="15" t="n">
        <v>-0.0930952595665374</v>
      </c>
      <c r="S822" s="17" t="b">
        <f aca="false">FALSE()</f>
        <v>0</v>
      </c>
    </row>
    <row r="823" customFormat="false" ht="15" hidden="false" customHeight="true" outlineLevel="0" collapsed="false">
      <c r="A823" s="12" t="n">
        <v>42459</v>
      </c>
      <c r="B823" s="13" t="n">
        <v>64308.9142165205</v>
      </c>
      <c r="C823" s="13" t="n">
        <v>68427.5946660658</v>
      </c>
      <c r="D823" s="13" t="n">
        <v>1746</v>
      </c>
      <c r="E823" s="14" t="n">
        <v>36.8321387265295</v>
      </c>
      <c r="F823" s="14" t="n">
        <v>39.1910622371511</v>
      </c>
      <c r="G823" s="13" t="n">
        <v>-4118.68044954526</v>
      </c>
      <c r="H823" s="15" t="n">
        <v>-0.0640452493985227</v>
      </c>
      <c r="I823" s="15" t="n">
        <v>-0.0640452493985226</v>
      </c>
      <c r="J823" s="16" t="n">
        <v>2016</v>
      </c>
      <c r="K823" s="16" t="n">
        <v>3</v>
      </c>
      <c r="L823" s="16" t="n">
        <v>13</v>
      </c>
      <c r="M823" s="16" t="s">
        <v>34</v>
      </c>
      <c r="N823" s="17" t="b">
        <f aca="false">FALSE()</f>
        <v>0</v>
      </c>
      <c r="O823" s="14" t="n">
        <v>40.9837739674031</v>
      </c>
      <c r="P823" s="13" t="n">
        <v>2435.85714285714</v>
      </c>
      <c r="Q823" s="15" t="n">
        <v>-0.101299486088705</v>
      </c>
      <c r="R823" s="15" t="n">
        <v>-0.283209195941587</v>
      </c>
      <c r="S823" s="17" t="b">
        <f aca="false">FALSE()</f>
        <v>0</v>
      </c>
    </row>
    <row r="824" customFormat="false" ht="15" hidden="false" customHeight="true" outlineLevel="0" collapsed="false">
      <c r="A824" s="12" t="n">
        <v>42460</v>
      </c>
      <c r="B824" s="13" t="n">
        <v>131168.485522948</v>
      </c>
      <c r="C824" s="13" t="n">
        <v>138589.100064263</v>
      </c>
      <c r="D824" s="13" t="n">
        <v>3554</v>
      </c>
      <c r="E824" s="14" t="n">
        <v>36.9072834898558</v>
      </c>
      <c r="F824" s="14" t="n">
        <v>38.9952448126795</v>
      </c>
      <c r="G824" s="13" t="n">
        <v>-7420.61454131536</v>
      </c>
      <c r="H824" s="15" t="n">
        <v>-0.0565731510258014</v>
      </c>
      <c r="I824" s="15" t="n">
        <v>-0.0565731510258014</v>
      </c>
      <c r="J824" s="16" t="n">
        <v>2016</v>
      </c>
      <c r="K824" s="16" t="n">
        <v>3</v>
      </c>
      <c r="L824" s="16" t="n">
        <v>13</v>
      </c>
      <c r="M824" s="16" t="s">
        <v>35</v>
      </c>
      <c r="N824" s="17" t="b">
        <f aca="false">FALSE()</f>
        <v>0</v>
      </c>
      <c r="O824" s="14" t="n">
        <v>40.6132580734605</v>
      </c>
      <c r="P824" s="13" t="n">
        <v>2489.35714285714</v>
      </c>
      <c r="Q824" s="15" t="n">
        <v>-0.0912503640289425</v>
      </c>
      <c r="R824" s="15" t="n">
        <v>0.427677828469771</v>
      </c>
      <c r="S824" s="17" t="b">
        <f aca="false">TRUE()</f>
        <v>1</v>
      </c>
    </row>
    <row r="825" customFormat="false" ht="15" hidden="false" customHeight="true" outlineLevel="0" collapsed="false">
      <c r="A825" s="12" t="n">
        <v>42461</v>
      </c>
      <c r="B825" s="13" t="n">
        <v>232410.197977816</v>
      </c>
      <c r="C825" s="13" t="n">
        <v>245358.629980534</v>
      </c>
      <c r="D825" s="13" t="n">
        <v>6282</v>
      </c>
      <c r="E825" s="14" t="n">
        <v>36.9962110757427</v>
      </c>
      <c r="F825" s="14" t="n">
        <v>39.0574068736921</v>
      </c>
      <c r="G825" s="13" t="n">
        <v>-12948.4320027184</v>
      </c>
      <c r="H825" s="15" t="n">
        <v>-0.0557136998091382</v>
      </c>
      <c r="I825" s="15" t="n">
        <v>-0.0557136998091381</v>
      </c>
      <c r="J825" s="16" t="n">
        <v>2016</v>
      </c>
      <c r="K825" s="16" t="n">
        <v>4</v>
      </c>
      <c r="L825" s="16" t="n">
        <v>13</v>
      </c>
      <c r="M825" s="16" t="s">
        <v>36</v>
      </c>
      <c r="N825" s="17" t="b">
        <f aca="false">FALSE()</f>
        <v>0</v>
      </c>
      <c r="O825" s="14" t="n">
        <v>40.2464759805686</v>
      </c>
      <c r="P825" s="13" t="n">
        <v>2684.85714285714</v>
      </c>
      <c r="Q825" s="15" t="n">
        <v>-0.0807589938158844</v>
      </c>
      <c r="R825" s="15" t="n">
        <v>1.33978929445568</v>
      </c>
      <c r="S825" s="17" t="b">
        <f aca="false">TRUE()</f>
        <v>1</v>
      </c>
    </row>
    <row r="826" customFormat="false" ht="15" hidden="false" customHeight="true" outlineLevel="0" collapsed="false">
      <c r="A826" s="12" t="n">
        <v>42462</v>
      </c>
      <c r="B826" s="13" t="n">
        <v>195831.097457118</v>
      </c>
      <c r="C826" s="13" t="n">
        <v>205442.828096812</v>
      </c>
      <c r="D826" s="13" t="n">
        <v>5259</v>
      </c>
      <c r="E826" s="14" t="n">
        <v>37.2373260043959</v>
      </c>
      <c r="F826" s="14" t="n">
        <v>39.0649986873572</v>
      </c>
      <c r="G826" s="13" t="n">
        <v>-9611.73063969382</v>
      </c>
      <c r="H826" s="15" t="n">
        <v>-0.0490817381126026</v>
      </c>
      <c r="I826" s="15" t="n">
        <v>-0.0490817381126026</v>
      </c>
      <c r="J826" s="16" t="n">
        <v>2016</v>
      </c>
      <c r="K826" s="16" t="n">
        <v>4</v>
      </c>
      <c r="L826" s="16" t="n">
        <v>13</v>
      </c>
      <c r="M826" s="16" t="s">
        <v>37</v>
      </c>
      <c r="N826" s="17" t="b">
        <f aca="false">TRUE()</f>
        <v>1</v>
      </c>
      <c r="O826" s="14" t="n">
        <v>39.8927054496545</v>
      </c>
      <c r="P826" s="13" t="n">
        <v>3000.28571428571</v>
      </c>
      <c r="Q826" s="15" t="n">
        <v>-0.0665630323972328</v>
      </c>
      <c r="R826" s="15" t="n">
        <v>0.75283306351776</v>
      </c>
      <c r="S826" s="17" t="b">
        <f aca="false">TRUE()</f>
        <v>1</v>
      </c>
    </row>
    <row r="827" customFormat="false" ht="15" hidden="false" customHeight="true" outlineLevel="0" collapsed="false">
      <c r="A827" s="12" t="n">
        <v>42463</v>
      </c>
      <c r="B827" s="13" t="n">
        <v>90716.5478891399</v>
      </c>
      <c r="C827" s="13" t="n">
        <v>95543.1336461968</v>
      </c>
      <c r="D827" s="13" t="n">
        <v>2446</v>
      </c>
      <c r="E827" s="14" t="n">
        <v>37.0877137731561</v>
      </c>
      <c r="F827" s="14" t="n">
        <v>39.0609704195408</v>
      </c>
      <c r="G827" s="13" t="n">
        <v>-4826.58575705688</v>
      </c>
      <c r="H827" s="15" t="n">
        <v>-0.0532051303688849</v>
      </c>
      <c r="I827" s="15" t="n">
        <v>-0.053205130368885</v>
      </c>
      <c r="J827" s="16" t="n">
        <v>2016</v>
      </c>
      <c r="K827" s="16" t="n">
        <v>4</v>
      </c>
      <c r="L827" s="16" t="n">
        <v>13</v>
      </c>
      <c r="M827" s="16" t="s">
        <v>38</v>
      </c>
      <c r="N827" s="17" t="b">
        <f aca="false">TRUE()</f>
        <v>1</v>
      </c>
      <c r="O827" s="14" t="n">
        <v>39.552856807658</v>
      </c>
      <c r="P827" s="13" t="n">
        <v>3218</v>
      </c>
      <c r="Q827" s="15" t="n">
        <v>-0.0623252840241007</v>
      </c>
      <c r="R827" s="15" t="n">
        <v>-0.239900559353636</v>
      </c>
      <c r="S827" s="17" t="b">
        <f aca="false">FALSE()</f>
        <v>0</v>
      </c>
    </row>
    <row r="828" customFormat="false" ht="15" hidden="false" customHeight="true" outlineLevel="0" collapsed="false">
      <c r="A828" s="12" t="n">
        <v>42464</v>
      </c>
      <c r="B828" s="13" t="n">
        <v>131638.019607176</v>
      </c>
      <c r="C828" s="13" t="n">
        <v>130700.188942007</v>
      </c>
      <c r="D828" s="13" t="n">
        <v>3345</v>
      </c>
      <c r="E828" s="14" t="n">
        <v>39.3536680439989</v>
      </c>
      <c r="F828" s="14" t="n">
        <v>39.0733001321397</v>
      </c>
      <c r="G828" s="13" t="n">
        <v>937.830665169007</v>
      </c>
      <c r="H828" s="15" t="n">
        <v>0.00712431460126494</v>
      </c>
      <c r="I828" s="15" t="n">
        <v>0.00712431460126493</v>
      </c>
      <c r="J828" s="16" t="n">
        <v>2016</v>
      </c>
      <c r="K828" s="16" t="n">
        <v>4</v>
      </c>
      <c r="L828" s="16" t="n">
        <v>14</v>
      </c>
      <c r="M828" s="16" t="s">
        <v>32</v>
      </c>
      <c r="N828" s="17" t="b">
        <f aca="false">FALSE()</f>
        <v>0</v>
      </c>
      <c r="O828" s="14" t="n">
        <v>39.1977181936092</v>
      </c>
      <c r="P828" s="13" t="n">
        <v>3299.57142857143</v>
      </c>
      <c r="Q828" s="15" t="n">
        <v>0.00397854409839421</v>
      </c>
      <c r="R828" s="15" t="n">
        <v>0.0137680218210158</v>
      </c>
      <c r="S828" s="17" t="b">
        <f aca="false">FALSE()</f>
        <v>0</v>
      </c>
    </row>
    <row r="829" customFormat="false" ht="15" hidden="false" customHeight="true" outlineLevel="0" collapsed="false">
      <c r="A829" s="12" t="n">
        <v>42465</v>
      </c>
      <c r="B829" s="13" t="n">
        <v>81910.8726189894</v>
      </c>
      <c r="C829" s="13" t="n">
        <v>79969.510545293</v>
      </c>
      <c r="D829" s="13" t="n">
        <v>2048</v>
      </c>
      <c r="E829" s="14" t="n">
        <v>39.9955432709909</v>
      </c>
      <c r="F829" s="14" t="n">
        <v>39.0476125709439</v>
      </c>
      <c r="G829" s="13" t="n">
        <v>1941.36207369639</v>
      </c>
      <c r="H829" s="15" t="n">
        <v>0.0237009082143062</v>
      </c>
      <c r="I829" s="15" t="n">
        <v>0.0237009082143062</v>
      </c>
      <c r="J829" s="16" t="n">
        <v>2016</v>
      </c>
      <c r="K829" s="16" t="n">
        <v>4</v>
      </c>
      <c r="L829" s="16" t="n">
        <v>14</v>
      </c>
      <c r="M829" s="16" t="s">
        <v>33</v>
      </c>
      <c r="N829" s="17" t="b">
        <f aca="false">FALSE()</f>
        <v>0</v>
      </c>
      <c r="O829" s="14" t="n">
        <v>39.0067072369732</v>
      </c>
      <c r="P829" s="13" t="n">
        <v>3456.85714285714</v>
      </c>
      <c r="Q829" s="15" t="n">
        <v>0.0253504103284173</v>
      </c>
      <c r="R829" s="15" t="n">
        <v>-0.40755434333416</v>
      </c>
      <c r="S829" s="17" t="b">
        <f aca="false">FALSE()</f>
        <v>0</v>
      </c>
    </row>
    <row r="830" customFormat="false" ht="15" hidden="false" customHeight="true" outlineLevel="0" collapsed="false">
      <c r="A830" s="12" t="n">
        <v>42466</v>
      </c>
      <c r="B830" s="13" t="n">
        <v>54821.9085137099</v>
      </c>
      <c r="C830" s="13" t="n">
        <v>50800.0085147593</v>
      </c>
      <c r="D830" s="13" t="n">
        <v>1303</v>
      </c>
      <c r="E830" s="14" t="n">
        <v>42.0736059199615</v>
      </c>
      <c r="F830" s="14" t="n">
        <v>38.9869597196925</v>
      </c>
      <c r="G830" s="13" t="n">
        <v>4021.89999895058</v>
      </c>
      <c r="H830" s="15" t="n">
        <v>0.0733630059220719</v>
      </c>
      <c r="I830" s="15" t="n">
        <v>0.0733630059220719</v>
      </c>
      <c r="J830" s="16" t="n">
        <v>2016</v>
      </c>
      <c r="K830" s="16" t="n">
        <v>4</v>
      </c>
      <c r="L830" s="16" t="n">
        <v>14</v>
      </c>
      <c r="M830" s="16" t="s">
        <v>34</v>
      </c>
      <c r="N830" s="17" t="b">
        <f aca="false">FALSE()</f>
        <v>0</v>
      </c>
      <c r="O830" s="14" t="n">
        <v>38.8708097845669</v>
      </c>
      <c r="P830" s="13" t="n">
        <v>3490.78571428571</v>
      </c>
      <c r="Q830" s="15" t="n">
        <v>0.0823959200527449</v>
      </c>
      <c r="R830" s="15" t="n">
        <v>-0.626731599517096</v>
      </c>
      <c r="S830" s="17" t="b">
        <f aca="false">FALSE()</f>
        <v>0</v>
      </c>
    </row>
    <row r="831" customFormat="false" ht="15" hidden="false" customHeight="true" outlineLevel="0" collapsed="false">
      <c r="A831" s="12" t="n">
        <v>42467</v>
      </c>
      <c r="B831" s="13" t="n">
        <v>155615.419414466</v>
      </c>
      <c r="C831" s="13" t="n">
        <v>171592.125879157</v>
      </c>
      <c r="D831" s="13" t="n">
        <v>4413</v>
      </c>
      <c r="E831" s="14" t="n">
        <v>35.2629547732759</v>
      </c>
      <c r="F831" s="14" t="n">
        <v>38.8833278674728</v>
      </c>
      <c r="G831" s="13" t="n">
        <v>-15976.706464691</v>
      </c>
      <c r="H831" s="15" t="n">
        <v>-0.102667888084654</v>
      </c>
      <c r="I831" s="15" t="n">
        <v>-0.102667888084654</v>
      </c>
      <c r="J831" s="16" t="n">
        <v>2016</v>
      </c>
      <c r="K831" s="16" t="n">
        <v>4</v>
      </c>
      <c r="L831" s="16" t="n">
        <v>14</v>
      </c>
      <c r="M831" s="16" t="s">
        <v>35</v>
      </c>
      <c r="N831" s="17" t="b">
        <f aca="false">FALSE()</f>
        <v>0</v>
      </c>
      <c r="O831" s="14" t="n">
        <v>38.9404031752224</v>
      </c>
      <c r="P831" s="13" t="n">
        <v>3436.35714285714</v>
      </c>
      <c r="Q831" s="15" t="n">
        <v>-0.0944378615033575</v>
      </c>
      <c r="R831" s="15" t="n">
        <v>0.284208775904716</v>
      </c>
      <c r="S831" s="17" t="b">
        <f aca="false">TRUE()</f>
        <v>1</v>
      </c>
    </row>
    <row r="832" customFormat="false" ht="15" hidden="false" customHeight="true" outlineLevel="0" collapsed="false">
      <c r="A832" s="12" t="n">
        <v>42468</v>
      </c>
      <c r="B832" s="13" t="n">
        <v>264086.89378035</v>
      </c>
      <c r="C832" s="13" t="n">
        <v>291378.579802775</v>
      </c>
      <c r="D832" s="13" t="n">
        <v>7494</v>
      </c>
      <c r="E832" s="14" t="n">
        <v>35.2397776595076</v>
      </c>
      <c r="F832" s="14" t="n">
        <v>38.8815825730951</v>
      </c>
      <c r="G832" s="13" t="n">
        <v>-27291.6860224245</v>
      </c>
      <c r="H832" s="15" t="n">
        <v>-0.103343583741509</v>
      </c>
      <c r="I832" s="15" t="n">
        <v>-0.103343583741509</v>
      </c>
      <c r="J832" s="16" t="n">
        <v>2016</v>
      </c>
      <c r="K832" s="16" t="n">
        <v>4</v>
      </c>
      <c r="L832" s="16" t="n">
        <v>14</v>
      </c>
      <c r="M832" s="16" t="s">
        <v>36</v>
      </c>
      <c r="N832" s="17" t="b">
        <f aca="false">FALSE()</f>
        <v>0</v>
      </c>
      <c r="O832" s="14" t="n">
        <v>38.6135409187934</v>
      </c>
      <c r="P832" s="13" t="n">
        <v>3281</v>
      </c>
      <c r="Q832" s="15" t="n">
        <v>-0.0873725428698968</v>
      </c>
      <c r="R832" s="15" t="n">
        <v>1.28405973788479</v>
      </c>
      <c r="S832" s="17" t="b">
        <f aca="false">TRUE()</f>
        <v>1</v>
      </c>
    </row>
    <row r="833" customFormat="false" ht="15" hidden="false" customHeight="true" outlineLevel="0" collapsed="false">
      <c r="A833" s="12" t="n">
        <v>42469</v>
      </c>
      <c r="B833" s="13" t="n">
        <v>272761.297542689</v>
      </c>
      <c r="C833" s="13" t="n">
        <v>298164.416097075</v>
      </c>
      <c r="D833" s="13" t="n">
        <v>7738</v>
      </c>
      <c r="E833" s="14" t="n">
        <v>35.2495861388846</v>
      </c>
      <c r="F833" s="14" t="n">
        <v>38.5324910955123</v>
      </c>
      <c r="G833" s="13" t="n">
        <v>-25403.1185543857</v>
      </c>
      <c r="H833" s="15" t="n">
        <v>-0.0931331489593384</v>
      </c>
      <c r="I833" s="15" t="n">
        <v>-0.0931331489593384</v>
      </c>
      <c r="J833" s="16" t="n">
        <v>2016</v>
      </c>
      <c r="K833" s="16" t="n">
        <v>4</v>
      </c>
      <c r="L833" s="16" t="n">
        <v>14</v>
      </c>
      <c r="M833" s="16" t="s">
        <v>37</v>
      </c>
      <c r="N833" s="17" t="b">
        <f aca="false">TRUE()</f>
        <v>1</v>
      </c>
      <c r="O833" s="14" t="n">
        <v>38.2476884430865</v>
      </c>
      <c r="P833" s="13" t="n">
        <v>3412.57142857143</v>
      </c>
      <c r="Q833" s="15" t="n">
        <v>-0.0783864967071973</v>
      </c>
      <c r="R833" s="15" t="n">
        <v>1.26749832551909</v>
      </c>
      <c r="S833" s="17" t="b">
        <f aca="false">TRUE()</f>
        <v>1</v>
      </c>
    </row>
    <row r="834" customFormat="false" ht="15" hidden="false" customHeight="true" outlineLevel="0" collapsed="false">
      <c r="A834" s="12" t="n">
        <v>42470</v>
      </c>
      <c r="B834" s="13" t="n">
        <v>104689.427918459</v>
      </c>
      <c r="C834" s="13" t="n">
        <v>113609.304253074</v>
      </c>
      <c r="D834" s="13" t="n">
        <v>2958</v>
      </c>
      <c r="E834" s="14" t="n">
        <v>35.3919634612774</v>
      </c>
      <c r="F834" s="14" t="n">
        <v>38.4074727021887</v>
      </c>
      <c r="G834" s="13" t="n">
        <v>-8919.87633461575</v>
      </c>
      <c r="H834" s="15" t="n">
        <v>-0.0852032197708</v>
      </c>
      <c r="I834" s="15" t="n">
        <v>-0.0852032197708</v>
      </c>
      <c r="J834" s="16" t="n">
        <v>2016</v>
      </c>
      <c r="K834" s="16" t="n">
        <v>4</v>
      </c>
      <c r="L834" s="16" t="n">
        <v>14</v>
      </c>
      <c r="M834" s="16" t="s">
        <v>38</v>
      </c>
      <c r="N834" s="17" t="b">
        <f aca="false">TRUE()</f>
        <v>1</v>
      </c>
      <c r="O834" s="14" t="n">
        <v>37.9290985573533</v>
      </c>
      <c r="P834" s="13" t="n">
        <v>3672.21428571429</v>
      </c>
      <c r="Q834" s="15" t="n">
        <v>-0.066891521090054</v>
      </c>
      <c r="R834" s="15" t="n">
        <v>-0.194491451245842</v>
      </c>
      <c r="S834" s="17" t="b">
        <f aca="false">FALSE()</f>
        <v>0</v>
      </c>
    </row>
    <row r="835" customFormat="false" ht="15" hidden="false" customHeight="true" outlineLevel="0" collapsed="false">
      <c r="A835" s="12" t="n">
        <v>42471</v>
      </c>
      <c r="B835" s="13" t="n">
        <v>131170.596933776</v>
      </c>
      <c r="C835" s="13" t="n">
        <v>142022.812593446</v>
      </c>
      <c r="D835" s="13" t="n">
        <v>3713</v>
      </c>
      <c r="E835" s="14" t="n">
        <v>35.3273894246637</v>
      </c>
      <c r="F835" s="14" t="n">
        <v>38.2501515199154</v>
      </c>
      <c r="G835" s="13" t="n">
        <v>-10852.2156596695</v>
      </c>
      <c r="H835" s="15" t="n">
        <v>-0.0827335997041199</v>
      </c>
      <c r="I835" s="15" t="n">
        <v>-0.0827335997041199</v>
      </c>
      <c r="J835" s="16" t="n">
        <v>2016</v>
      </c>
      <c r="K835" s="16" t="n">
        <v>4</v>
      </c>
      <c r="L835" s="16" t="n">
        <v>15</v>
      </c>
      <c r="M835" s="16" t="s">
        <v>32</v>
      </c>
      <c r="N835" s="17" t="b">
        <f aca="false">FALSE()</f>
        <v>0</v>
      </c>
      <c r="O835" s="14" t="n">
        <v>37.6136038316377</v>
      </c>
      <c r="P835" s="13" t="n">
        <v>3778.78571428571</v>
      </c>
      <c r="Q835" s="15" t="n">
        <v>-0.0607815836314787</v>
      </c>
      <c r="R835" s="15" t="n">
        <v>-0.0174092206491125</v>
      </c>
      <c r="S835" s="17" t="b">
        <f aca="false">FALSE()</f>
        <v>0</v>
      </c>
    </row>
    <row r="836" customFormat="false" ht="15" hidden="false" customHeight="true" outlineLevel="0" collapsed="false">
      <c r="A836" s="12" t="n">
        <v>42472</v>
      </c>
      <c r="B836" s="13" t="n">
        <v>123179.489400389</v>
      </c>
      <c r="C836" s="13" t="n">
        <v>132714.9602041</v>
      </c>
      <c r="D836" s="13" t="n">
        <v>3504</v>
      </c>
      <c r="E836" s="14" t="n">
        <v>35.153963869974</v>
      </c>
      <c r="F836" s="14" t="n">
        <v>37.8752740308506</v>
      </c>
      <c r="G836" s="13" t="n">
        <v>-9535.47080371162</v>
      </c>
      <c r="H836" s="15" t="n">
        <v>-0.0774111895586533</v>
      </c>
      <c r="I836" s="15" t="n">
        <v>-0.0774111895586533</v>
      </c>
      <c r="J836" s="16" t="n">
        <v>2016</v>
      </c>
      <c r="K836" s="16" t="n">
        <v>4</v>
      </c>
      <c r="L836" s="16" t="n">
        <v>15</v>
      </c>
      <c r="M836" s="16" t="s">
        <v>33</v>
      </c>
      <c r="N836" s="17" t="b">
        <f aca="false">FALSE()</f>
        <v>0</v>
      </c>
      <c r="O836" s="14" t="n">
        <v>37.3087433854742</v>
      </c>
      <c r="P836" s="13" t="n">
        <v>3889.57142857143</v>
      </c>
      <c r="Q836" s="15" t="n">
        <v>-0.0577553495500255</v>
      </c>
      <c r="R836" s="15" t="n">
        <v>-0.0991295405296213</v>
      </c>
      <c r="S836" s="17" t="b">
        <f aca="false">FALSE()</f>
        <v>0</v>
      </c>
    </row>
    <row r="837" customFormat="false" ht="15" hidden="false" customHeight="true" outlineLevel="0" collapsed="false">
      <c r="A837" s="12" t="n">
        <v>42473</v>
      </c>
      <c r="B837" s="13" t="n">
        <v>124431.046371689</v>
      </c>
      <c r="C837" s="13" t="n">
        <v>132889.056896937</v>
      </c>
      <c r="D837" s="13" t="n">
        <v>3534</v>
      </c>
      <c r="E837" s="14" t="n">
        <v>35.2096905409419</v>
      </c>
      <c r="F837" s="14" t="n">
        <v>37.6030155339381</v>
      </c>
      <c r="G837" s="13" t="n">
        <v>-8458.01052524848</v>
      </c>
      <c r="H837" s="15" t="n">
        <v>-0.0679734742403717</v>
      </c>
      <c r="I837" s="15" t="n">
        <v>-0.0679734742403718</v>
      </c>
      <c r="J837" s="16" t="n">
        <v>2016</v>
      </c>
      <c r="K837" s="16" t="n">
        <v>4</v>
      </c>
      <c r="L837" s="16" t="n">
        <v>15</v>
      </c>
      <c r="M837" s="16" t="s">
        <v>34</v>
      </c>
      <c r="N837" s="17" t="b">
        <f aca="false">FALSE()</f>
        <v>0</v>
      </c>
      <c r="O837" s="14" t="n">
        <v>37.0077946880153</v>
      </c>
      <c r="P837" s="13" t="n">
        <v>3985.92857142857</v>
      </c>
      <c r="Q837" s="15" t="n">
        <v>-0.0485871736544108</v>
      </c>
      <c r="R837" s="15" t="n">
        <v>-0.113381001021451</v>
      </c>
      <c r="S837" s="17" t="b">
        <f aca="false">FALSE()</f>
        <v>0</v>
      </c>
    </row>
    <row r="838" customFormat="false" ht="15" hidden="false" customHeight="true" outlineLevel="0" collapsed="false">
      <c r="A838" s="12" t="n">
        <v>42474</v>
      </c>
      <c r="B838" s="13" t="n">
        <v>162166.835990875</v>
      </c>
      <c r="C838" s="13" t="n">
        <v>172225.652705639</v>
      </c>
      <c r="D838" s="13" t="n">
        <v>4601</v>
      </c>
      <c r="E838" s="14" t="n">
        <v>35.2459978245762</v>
      </c>
      <c r="F838" s="14" t="n">
        <v>37.4322218443031</v>
      </c>
      <c r="G838" s="13" t="n">
        <v>-10058.8167147635</v>
      </c>
      <c r="H838" s="15" t="n">
        <v>-0.0620275819855639</v>
      </c>
      <c r="I838" s="15" t="n">
        <v>-0.0620275819855639</v>
      </c>
      <c r="J838" s="16" t="n">
        <v>2016</v>
      </c>
      <c r="K838" s="16" t="n">
        <v>4</v>
      </c>
      <c r="L838" s="16" t="n">
        <v>15</v>
      </c>
      <c r="M838" s="16" t="s">
        <v>35</v>
      </c>
      <c r="N838" s="17" t="b">
        <f aca="false">FALSE()</f>
        <v>0</v>
      </c>
      <c r="O838" s="14" t="n">
        <v>36.8919055319019</v>
      </c>
      <c r="P838" s="13" t="n">
        <v>4113.64285714286</v>
      </c>
      <c r="Q838" s="15" t="n">
        <v>-0.0446143316154386</v>
      </c>
      <c r="R838" s="15" t="n">
        <v>0.118473372575576</v>
      </c>
      <c r="S838" s="17" t="b">
        <f aca="false">FALSE()</f>
        <v>0</v>
      </c>
    </row>
    <row r="839" customFormat="false" ht="15" hidden="false" customHeight="true" outlineLevel="0" collapsed="false">
      <c r="A839" s="12" t="n">
        <v>42475</v>
      </c>
      <c r="B839" s="13" t="n">
        <v>354042.023239829</v>
      </c>
      <c r="C839" s="13" t="n">
        <v>373200.305984063</v>
      </c>
      <c r="D839" s="13" t="n">
        <v>10045</v>
      </c>
      <c r="E839" s="14" t="n">
        <v>35.245597136867</v>
      </c>
      <c r="F839" s="14" t="n">
        <v>37.1528428057803</v>
      </c>
      <c r="G839" s="13" t="n">
        <v>-19158.2827442343</v>
      </c>
      <c r="H839" s="15" t="n">
        <v>-0.0541130190391451</v>
      </c>
      <c r="I839" s="15" t="n">
        <v>-0.054113019039145</v>
      </c>
      <c r="J839" s="16" t="n">
        <v>2016</v>
      </c>
      <c r="K839" s="16" t="n">
        <v>4</v>
      </c>
      <c r="L839" s="16" t="n">
        <v>15</v>
      </c>
      <c r="M839" s="16" t="s">
        <v>36</v>
      </c>
      <c r="N839" s="17" t="b">
        <f aca="false">FALSE()</f>
        <v>0</v>
      </c>
      <c r="O839" s="14" t="n">
        <v>36.7732422700962</v>
      </c>
      <c r="P839" s="13" t="n">
        <v>4188.42857142857</v>
      </c>
      <c r="Q839" s="15" t="n">
        <v>-0.0415423019272774</v>
      </c>
      <c r="R839" s="15" t="n">
        <v>1.3982741566902</v>
      </c>
      <c r="S839" s="17" t="b">
        <f aca="false">FALSE()</f>
        <v>0</v>
      </c>
    </row>
    <row r="840" customFormat="false" ht="15" hidden="false" customHeight="true" outlineLevel="0" collapsed="false">
      <c r="A840" s="12" t="n">
        <v>42476</v>
      </c>
      <c r="B840" s="13" t="n">
        <v>327352.261395959</v>
      </c>
      <c r="C840" s="13" t="n">
        <v>345338.628069206</v>
      </c>
      <c r="D840" s="13" t="n">
        <v>9301</v>
      </c>
      <c r="E840" s="14" t="n">
        <v>35.1953834422061</v>
      </c>
      <c r="F840" s="14" t="n">
        <v>37.1291934275031</v>
      </c>
      <c r="G840" s="13" t="n">
        <v>-17986.3666732474</v>
      </c>
      <c r="H840" s="15" t="n">
        <v>-0.0549449898300579</v>
      </c>
      <c r="I840" s="15" t="n">
        <v>-0.054944989830058</v>
      </c>
      <c r="J840" s="16" t="n">
        <v>2016</v>
      </c>
      <c r="K840" s="16" t="n">
        <v>4</v>
      </c>
      <c r="L840" s="16" t="n">
        <v>15</v>
      </c>
      <c r="M840" s="16" t="s">
        <v>37</v>
      </c>
      <c r="N840" s="17" t="b">
        <f aca="false">TRUE()</f>
        <v>1</v>
      </c>
      <c r="O840" s="14" t="n">
        <v>36.6481984173194</v>
      </c>
      <c r="P840" s="13" t="n">
        <v>4457.21428571429</v>
      </c>
      <c r="Q840" s="15" t="n">
        <v>-0.0396421935553245</v>
      </c>
      <c r="R840" s="15" t="n">
        <v>1.08672937933687</v>
      </c>
      <c r="S840" s="17" t="b">
        <f aca="false">FALSE()</f>
        <v>0</v>
      </c>
    </row>
    <row r="841" customFormat="false" ht="15" hidden="false" customHeight="true" outlineLevel="0" collapsed="false">
      <c r="A841" s="12" t="n">
        <v>42477</v>
      </c>
      <c r="B841" s="13" t="n">
        <v>164809.303048254</v>
      </c>
      <c r="C841" s="13" t="n">
        <v>175167.42875983</v>
      </c>
      <c r="D841" s="13" t="n">
        <v>4678</v>
      </c>
      <c r="E841" s="14" t="n">
        <v>35.2307189072796</v>
      </c>
      <c r="F841" s="14" t="n">
        <v>37.4449398802543</v>
      </c>
      <c r="G841" s="13" t="n">
        <v>-10358.1257115758</v>
      </c>
      <c r="H841" s="15" t="n">
        <v>-0.0628491566919804</v>
      </c>
      <c r="I841" s="15" t="n">
        <v>-0.0628491566919803</v>
      </c>
      <c r="J841" s="16" t="n">
        <v>2016</v>
      </c>
      <c r="K841" s="16" t="n">
        <v>4</v>
      </c>
      <c r="L841" s="16" t="n">
        <v>15</v>
      </c>
      <c r="M841" s="16" t="s">
        <v>38</v>
      </c>
      <c r="N841" s="17" t="b">
        <f aca="false">TRUE()</f>
        <v>1</v>
      </c>
      <c r="O841" s="14" t="n">
        <v>36.502345377163</v>
      </c>
      <c r="P841" s="13" t="n">
        <v>4745.92857142857</v>
      </c>
      <c r="Q841" s="15" t="n">
        <v>-0.0348368428588417</v>
      </c>
      <c r="R841" s="15" t="n">
        <v>-0.014313020182713</v>
      </c>
      <c r="S841" s="17" t="b">
        <f aca="false">FALSE()</f>
        <v>0</v>
      </c>
    </row>
    <row r="842" customFormat="false" ht="15" hidden="false" customHeight="true" outlineLevel="0" collapsed="false">
      <c r="A842" s="12" t="n">
        <v>42478</v>
      </c>
      <c r="B842" s="13" t="n">
        <v>151157.794308715</v>
      </c>
      <c r="C842" s="13" t="n">
        <v>159828.765034305</v>
      </c>
      <c r="D842" s="13" t="n">
        <v>4294</v>
      </c>
      <c r="E842" s="14" t="n">
        <v>35.2020946224302</v>
      </c>
      <c r="F842" s="14" t="n">
        <v>37.2214171016081</v>
      </c>
      <c r="G842" s="13" t="n">
        <v>-8670.97072559019</v>
      </c>
      <c r="H842" s="15" t="n">
        <v>-0.0573637023829624</v>
      </c>
      <c r="I842" s="15" t="n">
        <v>-0.0573637023829626</v>
      </c>
      <c r="J842" s="16" t="n">
        <v>2016</v>
      </c>
      <c r="K842" s="16" t="n">
        <v>4</v>
      </c>
      <c r="L842" s="16" t="n">
        <v>16</v>
      </c>
      <c r="M842" s="16" t="s">
        <v>32</v>
      </c>
      <c r="N842" s="17" t="b">
        <f aca="false">FALSE()</f>
        <v>0</v>
      </c>
      <c r="O842" s="14" t="n">
        <v>36.3697028867432</v>
      </c>
      <c r="P842" s="13" t="n">
        <v>4905.35714285714</v>
      </c>
      <c r="Q842" s="15" t="n">
        <v>-0.0321038713994736</v>
      </c>
      <c r="R842" s="15" t="n">
        <v>-0.124630506006553</v>
      </c>
      <c r="S842" s="17" t="b">
        <f aca="false">FALSE()</f>
        <v>0</v>
      </c>
    </row>
    <row r="843" customFormat="false" ht="15" hidden="false" customHeight="true" outlineLevel="0" collapsed="false">
      <c r="A843" s="12" t="n">
        <v>42479</v>
      </c>
      <c r="B843" s="13" t="n">
        <v>126895.936497538</v>
      </c>
      <c r="C843" s="13" t="n">
        <v>133726.280561525</v>
      </c>
      <c r="D843" s="13" t="n">
        <v>3606</v>
      </c>
      <c r="E843" s="14" t="n">
        <v>35.1902208811807</v>
      </c>
      <c r="F843" s="14" t="n">
        <v>37.0843817419647</v>
      </c>
      <c r="G843" s="13" t="n">
        <v>-6830.34406398724</v>
      </c>
      <c r="H843" s="15" t="n">
        <v>-0.0538263419027589</v>
      </c>
      <c r="I843" s="15" t="n">
        <v>-0.053826341902759</v>
      </c>
      <c r="J843" s="16" t="n">
        <v>2016</v>
      </c>
      <c r="K843" s="16" t="n">
        <v>4</v>
      </c>
      <c r="L843" s="16" t="n">
        <v>16</v>
      </c>
      <c r="M843" s="16" t="s">
        <v>33</v>
      </c>
      <c r="N843" s="17" t="b">
        <f aca="false">FALSE()</f>
        <v>0</v>
      </c>
      <c r="O843" s="14" t="n">
        <v>36.0731619280598</v>
      </c>
      <c r="P843" s="13" t="n">
        <v>4973.14285714286</v>
      </c>
      <c r="Q843" s="15" t="n">
        <v>-0.0244763974014779</v>
      </c>
      <c r="R843" s="15" t="n">
        <v>-0.274905205101689</v>
      </c>
      <c r="S843" s="17" t="b">
        <f aca="false">FALSE()</f>
        <v>0</v>
      </c>
    </row>
    <row r="844" customFormat="false" ht="15" hidden="false" customHeight="true" outlineLevel="0" collapsed="false">
      <c r="A844" s="12" t="n">
        <v>42480</v>
      </c>
      <c r="B844" s="13" t="n">
        <v>166395.44582884</v>
      </c>
      <c r="C844" s="13" t="n">
        <v>179020.542458508</v>
      </c>
      <c r="D844" s="13" t="n">
        <v>4838</v>
      </c>
      <c r="E844" s="14" t="n">
        <v>34.3934365086482</v>
      </c>
      <c r="F844" s="14" t="n">
        <v>37.0030058822877</v>
      </c>
      <c r="G844" s="13" t="n">
        <v>-12625.0966296676</v>
      </c>
      <c r="H844" s="15" t="n">
        <v>-0.0758740515209425</v>
      </c>
      <c r="I844" s="15" t="n">
        <v>-0.0758740515209426</v>
      </c>
      <c r="J844" s="16" t="n">
        <v>2016</v>
      </c>
      <c r="K844" s="16" t="n">
        <v>4</v>
      </c>
      <c r="L844" s="16" t="n">
        <v>16</v>
      </c>
      <c r="M844" s="16" t="s">
        <v>34</v>
      </c>
      <c r="N844" s="17" t="b">
        <f aca="false">FALSE()</f>
        <v>0</v>
      </c>
      <c r="O844" s="14" t="n">
        <v>35.7299246145019</v>
      </c>
      <c r="P844" s="13" t="n">
        <v>5084.42857142857</v>
      </c>
      <c r="Q844" s="15" t="n">
        <v>-0.0374052875922164</v>
      </c>
      <c r="R844" s="15" t="n">
        <v>-0.0484673091511899</v>
      </c>
      <c r="S844" s="17" t="b">
        <f aca="false">FALSE()</f>
        <v>0</v>
      </c>
    </row>
    <row r="845" customFormat="false" ht="15" hidden="false" customHeight="true" outlineLevel="0" collapsed="false">
      <c r="A845" s="12" t="n">
        <v>42481</v>
      </c>
      <c r="B845" s="13" t="n">
        <v>167796.354780001</v>
      </c>
      <c r="C845" s="13" t="n">
        <v>182485.098937054</v>
      </c>
      <c r="D845" s="13" t="n">
        <v>4914</v>
      </c>
      <c r="E845" s="14" t="n">
        <v>34.1465923443226</v>
      </c>
      <c r="F845" s="14" t="n">
        <v>37.1357547694453</v>
      </c>
      <c r="G845" s="13" t="n">
        <v>-14688.7441570526</v>
      </c>
      <c r="H845" s="15" t="n">
        <v>-0.0875391135660312</v>
      </c>
      <c r="I845" s="15" t="n">
        <v>-0.0875391135660312</v>
      </c>
      <c r="J845" s="16" t="n">
        <v>2016</v>
      </c>
      <c r="K845" s="16" t="n">
        <v>4</v>
      </c>
      <c r="L845" s="16" t="n">
        <v>16</v>
      </c>
      <c r="M845" s="16" t="s">
        <v>35</v>
      </c>
      <c r="N845" s="17" t="b">
        <f aca="false">FALSE()</f>
        <v>0</v>
      </c>
      <c r="O845" s="14" t="n">
        <v>35.1813410851224</v>
      </c>
      <c r="P845" s="13" t="n">
        <v>5336.92857142857</v>
      </c>
      <c r="Q845" s="15" t="n">
        <v>-0.0294118617677515</v>
      </c>
      <c r="R845" s="15" t="n">
        <v>-0.07924568705917</v>
      </c>
      <c r="S845" s="17" t="b">
        <f aca="false">FALSE()</f>
        <v>0</v>
      </c>
    </row>
    <row r="846" customFormat="false" ht="15" hidden="false" customHeight="true" outlineLevel="0" collapsed="false">
      <c r="A846" s="12" t="n">
        <v>42482</v>
      </c>
      <c r="B846" s="13" t="n">
        <v>351146.016999244</v>
      </c>
      <c r="C846" s="13" t="n">
        <v>380098.156403875</v>
      </c>
      <c r="D846" s="13" t="n">
        <v>10269</v>
      </c>
      <c r="E846" s="14" t="n">
        <v>34.1947625863516</v>
      </c>
      <c r="F846" s="14" t="n">
        <v>37.0141353981765</v>
      </c>
      <c r="G846" s="13" t="n">
        <v>-28952.1394046302</v>
      </c>
      <c r="H846" s="15" t="n">
        <v>-0.0824504280357322</v>
      </c>
      <c r="I846" s="15" t="n">
        <v>-0.0824504280357322</v>
      </c>
      <c r="J846" s="16" t="n">
        <v>2016</v>
      </c>
      <c r="K846" s="16" t="n">
        <v>4</v>
      </c>
      <c r="L846" s="16" t="n">
        <v>16</v>
      </c>
      <c r="M846" s="16" t="s">
        <v>36</v>
      </c>
      <c r="N846" s="17" t="b">
        <f aca="false">FALSE()</f>
        <v>0</v>
      </c>
      <c r="O846" s="14" t="n">
        <v>35.1016009116257</v>
      </c>
      <c r="P846" s="13" t="n">
        <v>5372.71428571429</v>
      </c>
      <c r="Q846" s="15" t="n">
        <v>-0.0258346714030865</v>
      </c>
      <c r="R846" s="15" t="n">
        <v>0.911324417027839</v>
      </c>
      <c r="S846" s="17" t="b">
        <f aca="false">FALSE()</f>
        <v>0</v>
      </c>
    </row>
    <row r="847" customFormat="false" ht="15" hidden="false" customHeight="true" outlineLevel="0" collapsed="false">
      <c r="A847" s="12" t="n">
        <v>42483</v>
      </c>
      <c r="B847" s="13" t="n">
        <v>420738.821759645</v>
      </c>
      <c r="C847" s="13" t="n">
        <v>455415.34932803</v>
      </c>
      <c r="D847" s="13" t="n">
        <v>12317</v>
      </c>
      <c r="E847" s="14" t="n">
        <v>34.159196375712</v>
      </c>
      <c r="F847" s="14" t="n">
        <v>36.9745351407023</v>
      </c>
      <c r="G847" s="13" t="n">
        <v>-34676.5275683852</v>
      </c>
      <c r="H847" s="15" t="n">
        <v>-0.0824181791054091</v>
      </c>
      <c r="I847" s="15" t="n">
        <v>-0.0824181791054091</v>
      </c>
      <c r="J847" s="16" t="n">
        <v>2016</v>
      </c>
      <c r="K847" s="16" t="n">
        <v>4</v>
      </c>
      <c r="L847" s="16" t="n">
        <v>16</v>
      </c>
      <c r="M847" s="16" t="s">
        <v>37</v>
      </c>
      <c r="N847" s="17" t="b">
        <f aca="false">TRUE()</f>
        <v>1</v>
      </c>
      <c r="O847" s="14" t="n">
        <v>35.0269569778288</v>
      </c>
      <c r="P847" s="13" t="n">
        <v>5570.92857142857</v>
      </c>
      <c r="Q847" s="15" t="n">
        <v>-0.024774079080467</v>
      </c>
      <c r="R847" s="15" t="n">
        <v>1.21094200761607</v>
      </c>
      <c r="S847" s="17" t="b">
        <f aca="false">FALSE()</f>
        <v>0</v>
      </c>
    </row>
    <row r="848" customFormat="false" ht="15" hidden="false" customHeight="true" outlineLevel="0" collapsed="false">
      <c r="A848" s="12" t="n">
        <v>42484</v>
      </c>
      <c r="B848" s="13" t="n">
        <v>186166.150786439</v>
      </c>
      <c r="C848" s="13" t="n">
        <v>202391.17869529</v>
      </c>
      <c r="D848" s="13" t="n">
        <v>5453</v>
      </c>
      <c r="E848" s="14" t="n">
        <v>34.1401340154848</v>
      </c>
      <c r="F848" s="14" t="n">
        <v>37.1155655043628</v>
      </c>
      <c r="G848" s="13" t="n">
        <v>-16225.0279088517</v>
      </c>
      <c r="H848" s="15" t="n">
        <v>-0.087153480051614</v>
      </c>
      <c r="I848" s="15" t="n">
        <v>-0.0871534800516138</v>
      </c>
      <c r="J848" s="16" t="n">
        <v>2016</v>
      </c>
      <c r="K848" s="16" t="n">
        <v>4</v>
      </c>
      <c r="L848" s="16" t="n">
        <v>16</v>
      </c>
      <c r="M848" s="16" t="s">
        <v>38</v>
      </c>
      <c r="N848" s="17" t="b">
        <f aca="false">TRUE()</f>
        <v>1</v>
      </c>
      <c r="O848" s="14" t="n">
        <v>34.9490719947451</v>
      </c>
      <c r="P848" s="13" t="n">
        <v>5898</v>
      </c>
      <c r="Q848" s="15" t="n">
        <v>-0.0231461933919701</v>
      </c>
      <c r="R848" s="15" t="n">
        <v>-0.0754493048491014</v>
      </c>
      <c r="S848" s="17" t="b">
        <f aca="false">FALSE()</f>
        <v>0</v>
      </c>
    </row>
    <row r="849" customFormat="false" ht="15" hidden="false" customHeight="true" outlineLevel="0" collapsed="false">
      <c r="A849" s="12" t="n">
        <v>42485</v>
      </c>
      <c r="B849" s="13" t="n">
        <v>251449.529639191</v>
      </c>
      <c r="C849" s="13" t="n">
        <v>273255.098530793</v>
      </c>
      <c r="D849" s="13" t="n">
        <v>7372</v>
      </c>
      <c r="E849" s="14" t="n">
        <v>34.108726212587</v>
      </c>
      <c r="F849" s="14" t="n">
        <v>37.0666167296247</v>
      </c>
      <c r="G849" s="13" t="n">
        <v>-21805.568891602</v>
      </c>
      <c r="H849" s="15" t="n">
        <v>-0.0867194658223906</v>
      </c>
      <c r="I849" s="15" t="n">
        <v>-0.0867194658223908</v>
      </c>
      <c r="J849" s="16" t="n">
        <v>2016</v>
      </c>
      <c r="K849" s="16" t="n">
        <v>4</v>
      </c>
      <c r="L849" s="16" t="n">
        <v>17</v>
      </c>
      <c r="M849" s="16" t="s">
        <v>32</v>
      </c>
      <c r="N849" s="17" t="b">
        <f aca="false">FALSE()</f>
        <v>0</v>
      </c>
      <c r="O849" s="14" t="n">
        <v>34.8596556057599</v>
      </c>
      <c r="P849" s="13" t="n">
        <v>6076.21428571429</v>
      </c>
      <c r="Q849" s="15" t="n">
        <v>-0.0215415034980685</v>
      </c>
      <c r="R849" s="15" t="n">
        <v>0.213255433952061</v>
      </c>
      <c r="S849" s="17" t="b">
        <f aca="false">FALSE()</f>
        <v>0</v>
      </c>
    </row>
    <row r="850" customFormat="false" ht="15" hidden="false" customHeight="true" outlineLevel="0" collapsed="false">
      <c r="A850" s="12" t="n">
        <v>42486</v>
      </c>
      <c r="B850" s="13" t="n">
        <v>280321.810746766</v>
      </c>
      <c r="C850" s="13" t="n">
        <v>302469.831975235</v>
      </c>
      <c r="D850" s="13" t="n">
        <v>8211</v>
      </c>
      <c r="E850" s="14" t="n">
        <v>34.1397893979742</v>
      </c>
      <c r="F850" s="14" t="n">
        <v>36.8371491870947</v>
      </c>
      <c r="G850" s="13" t="n">
        <v>-22148.0212284687</v>
      </c>
      <c r="H850" s="15" t="n">
        <v>-0.0790092685598288</v>
      </c>
      <c r="I850" s="15" t="n">
        <v>-0.0790092685598289</v>
      </c>
      <c r="J850" s="16" t="n">
        <v>2016</v>
      </c>
      <c r="K850" s="16" t="n">
        <v>4</v>
      </c>
      <c r="L850" s="16" t="n">
        <v>17</v>
      </c>
      <c r="M850" s="16" t="s">
        <v>33</v>
      </c>
      <c r="N850" s="17" t="b">
        <f aca="false">FALSE()</f>
        <v>0</v>
      </c>
      <c r="O850" s="14" t="n">
        <v>34.7726082334687</v>
      </c>
      <c r="P850" s="13" t="n">
        <v>6337.57142857143</v>
      </c>
      <c r="Q850" s="15" t="n">
        <v>-0.0181987739097881</v>
      </c>
      <c r="R850" s="15" t="n">
        <v>0.295606699276424</v>
      </c>
      <c r="S850" s="17" t="b">
        <f aca="false">FALSE()</f>
        <v>0</v>
      </c>
    </row>
    <row r="851" customFormat="false" ht="15" hidden="false" customHeight="true" outlineLevel="0" collapsed="false">
      <c r="A851" s="12" t="n">
        <v>42487</v>
      </c>
      <c r="B851" s="13" t="n">
        <v>313434.933313665</v>
      </c>
      <c r="C851" s="13" t="n">
        <v>337931.116966197</v>
      </c>
      <c r="D851" s="13" t="n">
        <v>9182</v>
      </c>
      <c r="E851" s="14" t="n">
        <v>34.1358019291728</v>
      </c>
      <c r="F851" s="14" t="n">
        <v>36.8036502903722</v>
      </c>
      <c r="G851" s="13" t="n">
        <v>-24496.1836525325</v>
      </c>
      <c r="H851" s="15" t="n">
        <v>-0.0781539676945275</v>
      </c>
      <c r="I851" s="15" t="n">
        <v>-0.0781539676945275</v>
      </c>
      <c r="J851" s="16" t="n">
        <v>2016</v>
      </c>
      <c r="K851" s="16" t="n">
        <v>4</v>
      </c>
      <c r="L851" s="16" t="n">
        <v>17</v>
      </c>
      <c r="M851" s="16" t="s">
        <v>34</v>
      </c>
      <c r="N851" s="17" t="b">
        <f aca="false">FALSE()</f>
        <v>0</v>
      </c>
      <c r="O851" s="14" t="n">
        <v>34.7001671997544</v>
      </c>
      <c r="P851" s="13" t="n">
        <v>6673.78571428572</v>
      </c>
      <c r="Q851" s="15" t="n">
        <v>-0.0162640504679076</v>
      </c>
      <c r="R851" s="15" t="n">
        <v>0.375830809242987</v>
      </c>
      <c r="S851" s="17" t="b">
        <f aca="false">FALSE()</f>
        <v>0</v>
      </c>
    </row>
    <row r="852" customFormat="false" ht="15" hidden="false" customHeight="true" outlineLevel="0" collapsed="false">
      <c r="A852" s="12" t="n">
        <v>42488</v>
      </c>
      <c r="B852" s="13" t="n">
        <v>257324.60308094</v>
      </c>
      <c r="C852" s="13" t="n">
        <v>276852.179942577</v>
      </c>
      <c r="D852" s="13" t="n">
        <v>7520</v>
      </c>
      <c r="E852" s="14" t="n">
        <v>34.2186972182101</v>
      </c>
      <c r="F852" s="14" t="n">
        <v>36.8154494604491</v>
      </c>
      <c r="G852" s="13" t="n">
        <v>-19527.5768616376</v>
      </c>
      <c r="H852" s="15" t="n">
        <v>-0.0758869405716925</v>
      </c>
      <c r="I852" s="15" t="n">
        <v>-0.0758869405716923</v>
      </c>
      <c r="J852" s="16" t="n">
        <v>2016</v>
      </c>
      <c r="K852" s="16" t="n">
        <v>4</v>
      </c>
      <c r="L852" s="16" t="n">
        <v>17</v>
      </c>
      <c r="M852" s="16" t="s">
        <v>35</v>
      </c>
      <c r="N852" s="17" t="b">
        <f aca="false">FALSE()</f>
        <v>0</v>
      </c>
      <c r="O852" s="14" t="n">
        <v>34.6234608703423</v>
      </c>
      <c r="P852" s="13" t="n">
        <v>7077.21428571429</v>
      </c>
      <c r="Q852" s="15" t="n">
        <v>-0.0116904446279366</v>
      </c>
      <c r="R852" s="15" t="n">
        <v>0.0625649720935397</v>
      </c>
      <c r="S852" s="17" t="b">
        <f aca="false">FALSE()</f>
        <v>0</v>
      </c>
    </row>
    <row r="853" customFormat="false" ht="15" hidden="false" customHeight="true" outlineLevel="0" collapsed="false">
      <c r="A853" s="12" t="n">
        <v>42489</v>
      </c>
      <c r="B853" s="13" t="n">
        <v>455554.33604823</v>
      </c>
      <c r="C853" s="13" t="n">
        <v>489215.067537896</v>
      </c>
      <c r="D853" s="13" t="n">
        <v>13321</v>
      </c>
      <c r="E853" s="14" t="n">
        <v>34.1982085465227</v>
      </c>
      <c r="F853" s="14" t="n">
        <v>36.725100783567</v>
      </c>
      <c r="G853" s="13" t="n">
        <v>-33660.7314896662</v>
      </c>
      <c r="H853" s="15" t="n">
        <v>-0.0738896083871376</v>
      </c>
      <c r="I853" s="15" t="n">
        <v>-0.0738896083871377</v>
      </c>
      <c r="J853" s="16" t="n">
        <v>2016</v>
      </c>
      <c r="K853" s="16" t="n">
        <v>4</v>
      </c>
      <c r="L853" s="16" t="n">
        <v>17</v>
      </c>
      <c r="M853" s="16" t="s">
        <v>36</v>
      </c>
      <c r="N853" s="17" t="b">
        <f aca="false">FALSE()</f>
        <v>0</v>
      </c>
      <c r="O853" s="14" t="n">
        <v>34.5500822556019</v>
      </c>
      <c r="P853" s="13" t="n">
        <v>7285.71428571429</v>
      </c>
      <c r="Q853" s="15" t="n">
        <v>-0.0101844535846832</v>
      </c>
      <c r="R853" s="15" t="n">
        <v>0.828372549019608</v>
      </c>
      <c r="S853" s="17" t="b">
        <f aca="false">FALSE()</f>
        <v>0</v>
      </c>
    </row>
    <row r="854" customFormat="false" ht="15" hidden="false" customHeight="true" outlineLevel="0" collapsed="false">
      <c r="A854" s="12" t="n">
        <v>42490</v>
      </c>
      <c r="B854" s="13" t="n">
        <v>556865.203275052</v>
      </c>
      <c r="C854" s="13" t="n">
        <v>598925.667888701</v>
      </c>
      <c r="D854" s="13" t="n">
        <v>16276</v>
      </c>
      <c r="E854" s="14" t="n">
        <v>34.2138856767666</v>
      </c>
      <c r="F854" s="14" t="n">
        <v>36.7980872381851</v>
      </c>
      <c r="G854" s="13" t="n">
        <v>-42060.4646136484</v>
      </c>
      <c r="H854" s="15" t="n">
        <v>-0.075530782613604</v>
      </c>
      <c r="I854" s="15" t="n">
        <v>-0.075530782613604</v>
      </c>
      <c r="J854" s="16" t="n">
        <v>2016</v>
      </c>
      <c r="K854" s="16" t="n">
        <v>4</v>
      </c>
      <c r="L854" s="16" t="n">
        <v>17</v>
      </c>
      <c r="M854" s="16" t="s">
        <v>37</v>
      </c>
      <c r="N854" s="17" t="b">
        <f aca="false">TRUE()</f>
        <v>1</v>
      </c>
      <c r="O854" s="14" t="n">
        <v>34.475268784863</v>
      </c>
      <c r="P854" s="13" t="n">
        <v>7519.71428571429</v>
      </c>
      <c r="Q854" s="15" t="n">
        <v>-0.00758175693212403</v>
      </c>
      <c r="R854" s="15" t="n">
        <v>1.16444393783958</v>
      </c>
      <c r="S854" s="17" t="b">
        <f aca="false">FALSE()</f>
        <v>0</v>
      </c>
    </row>
    <row r="855" customFormat="false" ht="15" hidden="false" customHeight="true" outlineLevel="0" collapsed="false">
      <c r="A855" s="12" t="n">
        <v>42491</v>
      </c>
      <c r="B855" s="13" t="n">
        <v>354856.044922087</v>
      </c>
      <c r="C855" s="13" t="n">
        <v>380511.159158109</v>
      </c>
      <c r="D855" s="13" t="n">
        <v>10388</v>
      </c>
      <c r="E855" s="14" t="n">
        <v>34.1601891530696</v>
      </c>
      <c r="F855" s="14" t="n">
        <v>36.6298766998565</v>
      </c>
      <c r="G855" s="13" t="n">
        <v>-25655.1142360222</v>
      </c>
      <c r="H855" s="15" t="n">
        <v>-0.0722972444830555</v>
      </c>
      <c r="I855" s="15" t="n">
        <v>-0.0722972444830555</v>
      </c>
      <c r="J855" s="16" t="n">
        <v>2016</v>
      </c>
      <c r="K855" s="16" t="n">
        <v>5</v>
      </c>
      <c r="L855" s="16" t="n">
        <v>17</v>
      </c>
      <c r="M855" s="16" t="s">
        <v>38</v>
      </c>
      <c r="N855" s="17" t="b">
        <f aca="false">TRUE()</f>
        <v>1</v>
      </c>
      <c r="O855" s="14" t="n">
        <v>34.4051618016174</v>
      </c>
      <c r="P855" s="13" t="n">
        <v>8017.92857142857</v>
      </c>
      <c r="Q855" s="15" t="n">
        <v>-0.0071202295155677</v>
      </c>
      <c r="R855" s="15" t="n">
        <v>0.295596475755227</v>
      </c>
      <c r="S855" s="17" t="b">
        <f aca="false">FALSE()</f>
        <v>0</v>
      </c>
    </row>
    <row r="856" customFormat="false" ht="15" hidden="false" customHeight="true" outlineLevel="0" collapsed="false">
      <c r="A856" s="12" t="n">
        <v>42492</v>
      </c>
      <c r="B856" s="13" t="n">
        <v>283284.581253971</v>
      </c>
      <c r="C856" s="13" t="n">
        <v>304997.851816896</v>
      </c>
      <c r="D856" s="13" t="n">
        <v>8298</v>
      </c>
      <c r="E856" s="14" t="n">
        <v>34.1388986808834</v>
      </c>
      <c r="F856" s="14" t="n">
        <v>36.7555859022531</v>
      </c>
      <c r="G856" s="13" t="n">
        <v>-21713.2705629255</v>
      </c>
      <c r="H856" s="15" t="n">
        <v>-0.0766482611471857</v>
      </c>
      <c r="I856" s="15" t="n">
        <v>-0.0766482611471857</v>
      </c>
      <c r="J856" s="16" t="n">
        <v>2016</v>
      </c>
      <c r="K856" s="16" t="n">
        <v>5</v>
      </c>
      <c r="L856" s="16" t="n">
        <v>18</v>
      </c>
      <c r="M856" s="16" t="s">
        <v>32</v>
      </c>
      <c r="N856" s="17" t="b">
        <f aca="false">FALSE()</f>
        <v>0</v>
      </c>
      <c r="O856" s="14" t="n">
        <v>34.3286953906024</v>
      </c>
      <c r="P856" s="13" t="n">
        <v>8425.78571428571</v>
      </c>
      <c r="Q856" s="15" t="n">
        <v>-0.00552880636911329</v>
      </c>
      <c r="R856" s="15" t="n">
        <v>-0.0151660294504115</v>
      </c>
      <c r="S856" s="17" t="b">
        <f aca="false">FALSE()</f>
        <v>0</v>
      </c>
    </row>
    <row r="857" customFormat="false" ht="15" hidden="false" customHeight="true" outlineLevel="0" collapsed="false">
      <c r="A857" s="12" t="n">
        <v>42493</v>
      </c>
      <c r="B857" s="13" t="n">
        <v>297500.673968726</v>
      </c>
      <c r="C857" s="13" t="n">
        <v>319786.359468561</v>
      </c>
      <c r="D857" s="13" t="n">
        <v>8717</v>
      </c>
      <c r="E857" s="14" t="n">
        <v>34.1287913237038</v>
      </c>
      <c r="F857" s="14" t="n">
        <v>36.6853687585822</v>
      </c>
      <c r="G857" s="13" t="n">
        <v>-22285.6854998352</v>
      </c>
      <c r="H857" s="15" t="n">
        <v>-0.0749096975228297</v>
      </c>
      <c r="I857" s="15" t="n">
        <v>-0.0749096975228298</v>
      </c>
      <c r="J857" s="16" t="n">
        <v>2016</v>
      </c>
      <c r="K857" s="16" t="n">
        <v>5</v>
      </c>
      <c r="L857" s="16" t="n">
        <v>18</v>
      </c>
      <c r="M857" s="16" t="s">
        <v>33</v>
      </c>
      <c r="N857" s="17" t="b">
        <f aca="false">FALSE()</f>
        <v>0</v>
      </c>
      <c r="O857" s="14" t="n">
        <v>34.252752823349</v>
      </c>
      <c r="P857" s="13" t="n">
        <v>8711.78571428571</v>
      </c>
      <c r="Q857" s="15" t="n">
        <v>-0.00361902298143852</v>
      </c>
      <c r="R857" s="15" t="n">
        <v>0.000598532365842719</v>
      </c>
      <c r="S857" s="17" t="b">
        <f aca="false">FALSE()</f>
        <v>0</v>
      </c>
    </row>
    <row r="858" customFormat="false" ht="15" hidden="false" customHeight="true" outlineLevel="0" collapsed="false">
      <c r="A858" s="12" t="n">
        <v>42494</v>
      </c>
      <c r="B858" s="13" t="n">
        <v>285968.48778252</v>
      </c>
      <c r="C858" s="13" t="n">
        <v>305506.998234948</v>
      </c>
      <c r="D858" s="13" t="n">
        <v>8364</v>
      </c>
      <c r="E858" s="14" t="n">
        <v>34.1903978697417</v>
      </c>
      <c r="F858" s="14" t="n">
        <v>36.5264225531979</v>
      </c>
      <c r="G858" s="13" t="n">
        <v>-19538.5104524278</v>
      </c>
      <c r="H858" s="15" t="n">
        <v>-0.068323998227689</v>
      </c>
      <c r="I858" s="15" t="n">
        <v>-0.0683239982276891</v>
      </c>
      <c r="J858" s="16" t="n">
        <v>2016</v>
      </c>
      <c r="K858" s="16" t="n">
        <v>5</v>
      </c>
      <c r="L858" s="16" t="n">
        <v>18</v>
      </c>
      <c r="M858" s="16" t="s">
        <v>34</v>
      </c>
      <c r="N858" s="17" t="b">
        <f aca="false">FALSE()</f>
        <v>0</v>
      </c>
      <c r="O858" s="14" t="n">
        <v>34.1769364263864</v>
      </c>
      <c r="P858" s="13" t="n">
        <v>9076.85714285714</v>
      </c>
      <c r="Q858" s="15" t="n">
        <v>0.00039387507374533</v>
      </c>
      <c r="R858" s="15" t="n">
        <v>-0.0785356794359281</v>
      </c>
      <c r="S858" s="17" t="b">
        <f aca="false">FALSE()</f>
        <v>0</v>
      </c>
    </row>
    <row r="859" customFormat="false" ht="15" hidden="false" customHeight="true" outlineLevel="0" collapsed="false">
      <c r="A859" s="12" t="n">
        <v>42495</v>
      </c>
      <c r="B859" s="13" t="n">
        <v>237946.632672264</v>
      </c>
      <c r="C859" s="13" t="n">
        <v>254527.415505526</v>
      </c>
      <c r="D859" s="13" t="n">
        <v>6968</v>
      </c>
      <c r="E859" s="14" t="n">
        <v>34.1484834489471</v>
      </c>
      <c r="F859" s="14" t="n">
        <v>36.5280447051559</v>
      </c>
      <c r="G859" s="13" t="n">
        <v>-16580.7828332624</v>
      </c>
      <c r="H859" s="15" t="n">
        <v>-0.0696827799034249</v>
      </c>
      <c r="I859" s="15" t="n">
        <v>-0.0696827799034249</v>
      </c>
      <c r="J859" s="16" t="n">
        <v>2016</v>
      </c>
      <c r="K859" s="16" t="n">
        <v>5</v>
      </c>
      <c r="L859" s="16" t="n">
        <v>18</v>
      </c>
      <c r="M859" s="16" t="s">
        <v>35</v>
      </c>
      <c r="N859" s="17" t="b">
        <f aca="false">FALSE()</f>
        <v>0</v>
      </c>
      <c r="O859" s="14" t="n">
        <v>34.1624336664645</v>
      </c>
      <c r="P859" s="13" t="n">
        <v>9328.71428571429</v>
      </c>
      <c r="Q859" s="15" t="n">
        <v>-0.000408349640823213</v>
      </c>
      <c r="R859" s="15" t="n">
        <v>-0.253058911808395</v>
      </c>
      <c r="S859" s="17" t="b">
        <f aca="false">FALSE()</f>
        <v>0</v>
      </c>
    </row>
    <row r="860" customFormat="false" ht="15" hidden="false" customHeight="true" outlineLevel="0" collapsed="false">
      <c r="A860" s="12" t="n">
        <v>42496</v>
      </c>
      <c r="B860" s="13" t="n">
        <v>340851.50586486</v>
      </c>
      <c r="C860" s="13" t="n">
        <v>364361.032864139</v>
      </c>
      <c r="D860" s="13" t="n">
        <v>9973</v>
      </c>
      <c r="E860" s="14" t="n">
        <v>34.1774296465316</v>
      </c>
      <c r="F860" s="14" t="n">
        <v>36.5347471035936</v>
      </c>
      <c r="G860" s="13" t="n">
        <v>-23509.526999279</v>
      </c>
      <c r="H860" s="15" t="n">
        <v>-0.0689729298382507</v>
      </c>
      <c r="I860" s="15" t="n">
        <v>-0.0689729298382508</v>
      </c>
      <c r="J860" s="16" t="n">
        <v>2016</v>
      </c>
      <c r="K860" s="16" t="n">
        <v>5</v>
      </c>
      <c r="L860" s="16" t="n">
        <v>18</v>
      </c>
      <c r="M860" s="16" t="s">
        <v>36</v>
      </c>
      <c r="N860" s="17" t="b">
        <f aca="false">FALSE()</f>
        <v>0</v>
      </c>
      <c r="O860" s="14" t="n">
        <v>34.1625687453662</v>
      </c>
      <c r="P860" s="13" t="n">
        <v>9475.42857142857</v>
      </c>
      <c r="Q860" s="15" t="n">
        <v>0.000435005379019039</v>
      </c>
      <c r="R860" s="15" t="n">
        <v>0.0525117597394766</v>
      </c>
      <c r="S860" s="17" t="b">
        <f aca="false">FALSE()</f>
        <v>0</v>
      </c>
    </row>
    <row r="861" customFormat="false" ht="15" hidden="false" customHeight="true" outlineLevel="0" collapsed="false">
      <c r="A861" s="12" t="n">
        <v>42497</v>
      </c>
      <c r="B861" s="13" t="n">
        <v>388187.601433528</v>
      </c>
      <c r="C861" s="13" t="n">
        <v>414644.623490811</v>
      </c>
      <c r="D861" s="13" t="n">
        <v>11363</v>
      </c>
      <c r="E861" s="14" t="n">
        <v>34.1624220217837</v>
      </c>
      <c r="F861" s="14" t="n">
        <v>36.490770350331</v>
      </c>
      <c r="G861" s="13" t="n">
        <v>-26457.0220572834</v>
      </c>
      <c r="H861" s="15" t="n">
        <v>-0.0681552475132666</v>
      </c>
      <c r="I861" s="15" t="n">
        <v>-0.0681552475132665</v>
      </c>
      <c r="J861" s="16" t="n">
        <v>2016</v>
      </c>
      <c r="K861" s="16" t="n">
        <v>5</v>
      </c>
      <c r="L861" s="16" t="n">
        <v>18</v>
      </c>
      <c r="M861" s="16" t="s">
        <v>37</v>
      </c>
      <c r="N861" s="17" t="b">
        <f aca="false">TRUE()</f>
        <v>1</v>
      </c>
      <c r="O861" s="14" t="n">
        <v>34.1613306782363</v>
      </c>
      <c r="P861" s="13" t="n">
        <v>9454.28571428571</v>
      </c>
      <c r="Q861" s="15" t="n">
        <v>3.19467516568035E-005</v>
      </c>
      <c r="R861" s="15" t="n">
        <v>0.201888788153521</v>
      </c>
      <c r="S861" s="17" t="b">
        <f aca="false">FALSE()</f>
        <v>0</v>
      </c>
    </row>
    <row r="862" customFormat="false" ht="15" hidden="false" customHeight="true" outlineLevel="0" collapsed="false">
      <c r="A862" s="12" t="n">
        <v>42498</v>
      </c>
      <c r="B862" s="13" t="n">
        <v>139178.984059245</v>
      </c>
      <c r="C862" s="13" t="n">
        <v>148731.090527304</v>
      </c>
      <c r="D862" s="13" t="n">
        <v>4074</v>
      </c>
      <c r="E862" s="14" t="n">
        <v>34.1627354097313</v>
      </c>
      <c r="F862" s="14" t="n">
        <v>36.5073859909927</v>
      </c>
      <c r="G862" s="13" t="n">
        <v>-9552.10646805898</v>
      </c>
      <c r="H862" s="15" t="n">
        <v>-0.0686318163092272</v>
      </c>
      <c r="I862" s="15" t="n">
        <v>-0.0686318163092271</v>
      </c>
      <c r="J862" s="16" t="n">
        <v>2016</v>
      </c>
      <c r="K862" s="16" t="n">
        <v>5</v>
      </c>
      <c r="L862" s="16" t="n">
        <v>18</v>
      </c>
      <c r="M862" s="16" t="s">
        <v>38</v>
      </c>
      <c r="N862" s="17" t="b">
        <f aca="false">TRUE()</f>
        <v>1</v>
      </c>
      <c r="O862" s="14" t="n">
        <v>34.1615610815271</v>
      </c>
      <c r="P862" s="13" t="n">
        <v>9386.14285714286</v>
      </c>
      <c r="Q862" s="15" t="n">
        <v>3.43757184096335E-005</v>
      </c>
      <c r="R862" s="15" t="n">
        <v>-0.565955892425003</v>
      </c>
      <c r="S862" s="17" t="b">
        <f aca="false">FALSE()</f>
        <v>0</v>
      </c>
    </row>
    <row r="863" customFormat="false" ht="15" hidden="false" customHeight="true" outlineLevel="0" collapsed="false">
      <c r="A863" s="12" t="n">
        <v>42499</v>
      </c>
      <c r="B863" s="13" t="n">
        <v>66400.3030472695</v>
      </c>
      <c r="C863" s="13" t="n">
        <v>57741.7389075126</v>
      </c>
      <c r="D863" s="13" t="n">
        <v>1579</v>
      </c>
      <c r="E863" s="14" t="n">
        <v>42.0521235258198</v>
      </c>
      <c r="F863" s="14" t="n">
        <v>36.5685490231238</v>
      </c>
      <c r="G863" s="13" t="n">
        <v>8658.56413975696</v>
      </c>
      <c r="H863" s="15" t="n">
        <v>0.130399467207146</v>
      </c>
      <c r="I863" s="15" t="n">
        <v>0.130399467207146</v>
      </c>
      <c r="J863" s="16" t="n">
        <v>2016</v>
      </c>
      <c r="K863" s="16" t="n">
        <v>5</v>
      </c>
      <c r="L863" s="16" t="n">
        <v>19</v>
      </c>
      <c r="M863" s="16" t="s">
        <v>32</v>
      </c>
      <c r="N863" s="17" t="b">
        <f aca="false">FALSE()</f>
        <v>0</v>
      </c>
      <c r="O863" s="14" t="n">
        <v>34.1631754668304</v>
      </c>
      <c r="P863" s="13" t="n">
        <v>9287.64285714286</v>
      </c>
      <c r="Q863" s="15" t="n">
        <v>0.230919636456188</v>
      </c>
      <c r="R863" s="15" t="n">
        <v>-0.829989156098349</v>
      </c>
      <c r="S863" s="17" t="b">
        <f aca="false">FALSE()</f>
        <v>0</v>
      </c>
    </row>
    <row r="864" customFormat="false" ht="15" hidden="false" customHeight="true" outlineLevel="0" collapsed="false">
      <c r="A864" s="12" t="n">
        <v>42500</v>
      </c>
      <c r="B864" s="13" t="n">
        <v>42723.5244578102</v>
      </c>
      <c r="C864" s="13" t="n">
        <v>37112.9850569903</v>
      </c>
      <c r="D864" s="13" t="n">
        <v>1016</v>
      </c>
      <c r="E864" s="14" t="n">
        <v>42.0507130490258</v>
      </c>
      <c r="F864" s="14" t="n">
        <v>36.5285285993999</v>
      </c>
      <c r="G864" s="13" t="n">
        <v>5610.53940081998</v>
      </c>
      <c r="H864" s="15" t="n">
        <v>0.131322016898686</v>
      </c>
      <c r="I864" s="15" t="n">
        <v>0.131322016898686</v>
      </c>
      <c r="J864" s="16" t="n">
        <v>2016</v>
      </c>
      <c r="K864" s="16" t="n">
        <v>5</v>
      </c>
      <c r="L864" s="16" t="n">
        <v>19</v>
      </c>
      <c r="M864" s="16" t="s">
        <v>33</v>
      </c>
      <c r="N864" s="17" t="b">
        <f aca="false">FALSE()</f>
        <v>0</v>
      </c>
      <c r="O864" s="14" t="n">
        <v>34.7305609892042</v>
      </c>
      <c r="P864" s="13" t="n">
        <v>8873.85714285714</v>
      </c>
      <c r="Q864" s="15" t="n">
        <v>0.210769761596914</v>
      </c>
      <c r="R864" s="15" t="n">
        <v>-0.885506383115733</v>
      </c>
      <c r="S864" s="17" t="b">
        <f aca="false">FALSE()</f>
        <v>0</v>
      </c>
    </row>
    <row r="865" customFormat="false" ht="15" hidden="false" customHeight="true" outlineLevel="0" collapsed="false">
      <c r="A865" s="12" t="n">
        <v>42501</v>
      </c>
      <c r="B865" s="13" t="n">
        <v>35014.3994811303</v>
      </c>
      <c r="C865" s="13" t="n">
        <v>30393.7401198165</v>
      </c>
      <c r="D865" s="13" t="n">
        <v>832</v>
      </c>
      <c r="E865" s="14" t="n">
        <v>42.0846147609739</v>
      </c>
      <c r="F865" s="14" t="n">
        <v>36.5309376440102</v>
      </c>
      <c r="G865" s="13" t="n">
        <v>4620.65936131378</v>
      </c>
      <c r="H865" s="15" t="n">
        <v>0.131964546866038</v>
      </c>
      <c r="I865" s="15" t="n">
        <v>0.131964546866038</v>
      </c>
      <c r="J865" s="16" t="n">
        <v>2016</v>
      </c>
      <c r="K865" s="16" t="n">
        <v>5</v>
      </c>
      <c r="L865" s="16" t="n">
        <v>19</v>
      </c>
      <c r="M865" s="16" t="s">
        <v>34</v>
      </c>
      <c r="N865" s="17" t="b">
        <f aca="false">FALSE()</f>
        <v>0</v>
      </c>
      <c r="O865" s="14" t="n">
        <v>35.2956269642793</v>
      </c>
      <c r="P865" s="13" t="n">
        <v>8359.92857142857</v>
      </c>
      <c r="Q865" s="15" t="n">
        <v>0.192346428739326</v>
      </c>
      <c r="R865" s="15" t="n">
        <v>-0.900477618571587</v>
      </c>
      <c r="S865" s="17" t="b">
        <f aca="false">FALSE()</f>
        <v>0</v>
      </c>
    </row>
    <row r="866" customFormat="false" ht="15" hidden="false" customHeight="true" outlineLevel="0" collapsed="false">
      <c r="A866" s="12" t="n">
        <v>42502</v>
      </c>
      <c r="B866" s="13" t="n">
        <v>27210.4066316401</v>
      </c>
      <c r="C866" s="13" t="n">
        <v>23570.1591554175</v>
      </c>
      <c r="D866" s="13" t="n">
        <v>647</v>
      </c>
      <c r="E866" s="14" t="n">
        <v>42.0562699097993</v>
      </c>
      <c r="F866" s="14" t="n">
        <v>36.4299214148647</v>
      </c>
      <c r="G866" s="13" t="n">
        <v>3640.24747622267</v>
      </c>
      <c r="H866" s="15" t="n">
        <v>0.13378144345663</v>
      </c>
      <c r="I866" s="15" t="n">
        <v>0.13378144345663</v>
      </c>
      <c r="J866" s="16" t="n">
        <v>2016</v>
      </c>
      <c r="K866" s="16" t="n">
        <v>5</v>
      </c>
      <c r="L866" s="16" t="n">
        <v>19</v>
      </c>
      <c r="M866" s="16" t="s">
        <v>35</v>
      </c>
      <c r="N866" s="17" t="b">
        <f aca="false">FALSE()</f>
        <v>0</v>
      </c>
      <c r="O866" s="14" t="n">
        <v>35.8633993094079</v>
      </c>
      <c r="P866" s="13" t="n">
        <v>7763.5</v>
      </c>
      <c r="Q866" s="15" t="n">
        <v>0.17267940908119</v>
      </c>
      <c r="R866" s="15" t="n">
        <v>-0.91666129967154</v>
      </c>
      <c r="S866" s="17" t="b">
        <f aca="false">FALSE()</f>
        <v>0</v>
      </c>
    </row>
    <row r="867" customFormat="false" ht="15" hidden="false" customHeight="true" outlineLevel="0" collapsed="false">
      <c r="A867" s="12" t="n">
        <v>42503</v>
      </c>
      <c r="B867" s="13" t="n">
        <v>79840.0882456494</v>
      </c>
      <c r="C867" s="13" t="n">
        <v>69078.7141445426</v>
      </c>
      <c r="D867" s="13" t="n">
        <v>1898</v>
      </c>
      <c r="E867" s="14" t="n">
        <v>42.0653784223653</v>
      </c>
      <c r="F867" s="14" t="n">
        <v>36.3955290540267</v>
      </c>
      <c r="G867" s="13" t="n">
        <v>10761.3741011068</v>
      </c>
      <c r="H867" s="15" t="n">
        <v>0.134786600786268</v>
      </c>
      <c r="I867" s="15" t="n">
        <v>0.134786600786268</v>
      </c>
      <c r="J867" s="16" t="n">
        <v>2016</v>
      </c>
      <c r="K867" s="16" t="n">
        <v>5</v>
      </c>
      <c r="L867" s="16" t="n">
        <v>19</v>
      </c>
      <c r="M867" s="16" t="s">
        <v>36</v>
      </c>
      <c r="N867" s="17" t="b">
        <f aca="false">FALSE()</f>
        <v>0</v>
      </c>
      <c r="O867" s="14" t="n">
        <v>36.4232259302357</v>
      </c>
      <c r="P867" s="13" t="n">
        <v>7272.57142857143</v>
      </c>
      <c r="Q867" s="15" t="n">
        <v>0.154905348113219</v>
      </c>
      <c r="R867" s="15" t="n">
        <v>-0.739019407558733</v>
      </c>
      <c r="S867" s="17" t="b">
        <f aca="false">FALSE()</f>
        <v>0</v>
      </c>
    </row>
    <row r="868" customFormat="false" ht="15" hidden="false" customHeight="true" outlineLevel="0" collapsed="false">
      <c r="A868" s="12" t="n">
        <v>42504</v>
      </c>
      <c r="B868" s="13" t="n">
        <v>82484.4482920492</v>
      </c>
      <c r="C868" s="13" t="n">
        <v>71426.0116447103</v>
      </c>
      <c r="D868" s="13" t="n">
        <v>1961</v>
      </c>
      <c r="E868" s="14" t="n">
        <v>42.0624417603514</v>
      </c>
      <c r="F868" s="14" t="n">
        <v>36.4232593802704</v>
      </c>
      <c r="G868" s="13" t="n">
        <v>11058.4366473389</v>
      </c>
      <c r="H868" s="15" t="n">
        <v>0.134066928691633</v>
      </c>
      <c r="I868" s="15" t="n">
        <v>0.134066928691633</v>
      </c>
      <c r="J868" s="16" t="n">
        <v>2016</v>
      </c>
      <c r="K868" s="16" t="n">
        <v>5</v>
      </c>
      <c r="L868" s="16" t="n">
        <v>19</v>
      </c>
      <c r="M868" s="16" t="s">
        <v>37</v>
      </c>
      <c r="N868" s="17" t="b">
        <f aca="false">TRUE()</f>
        <v>1</v>
      </c>
      <c r="O868" s="14" t="n">
        <v>36.9851666356531</v>
      </c>
      <c r="P868" s="13" t="n">
        <v>6456.64285714286</v>
      </c>
      <c r="Q868" s="15" t="n">
        <v>0.137278687283349</v>
      </c>
      <c r="R868" s="15" t="n">
        <v>-0.696281791731661</v>
      </c>
      <c r="S868" s="17" t="b">
        <f aca="false">FALSE()</f>
        <v>0</v>
      </c>
    </row>
    <row r="869" customFormat="false" ht="15" hidden="false" customHeight="true" outlineLevel="0" collapsed="false">
      <c r="A869" s="12" t="n">
        <v>42505</v>
      </c>
      <c r="B869" s="13" t="n">
        <v>51497.23733643</v>
      </c>
      <c r="C869" s="13" t="n">
        <v>44611.9396795098</v>
      </c>
      <c r="D869" s="13" t="n">
        <v>1224</v>
      </c>
      <c r="E869" s="14" t="n">
        <v>42.0729063206128</v>
      </c>
      <c r="F869" s="14" t="n">
        <v>36.4476631368544</v>
      </c>
      <c r="G869" s="13" t="n">
        <v>6885.29765692024</v>
      </c>
      <c r="H869" s="15" t="n">
        <v>0.133702272452768</v>
      </c>
      <c r="I869" s="15" t="n">
        <v>0.133702272452769</v>
      </c>
      <c r="J869" s="16" t="n">
        <v>2016</v>
      </c>
      <c r="K869" s="16" t="n">
        <v>5</v>
      </c>
      <c r="L869" s="16" t="n">
        <v>19</v>
      </c>
      <c r="M869" s="16" t="s">
        <v>38</v>
      </c>
      <c r="N869" s="17" t="b">
        <f aca="false">TRUE()</f>
        <v>1</v>
      </c>
      <c r="O869" s="14" t="n">
        <v>37.5457777844806</v>
      </c>
      <c r="P869" s="13" t="n">
        <v>5434.14285714286</v>
      </c>
      <c r="Q869" s="15" t="n">
        <v>0.120576235285862</v>
      </c>
      <c r="R869" s="15" t="n">
        <v>-0.774757485738321</v>
      </c>
      <c r="S869" s="17" t="b">
        <f aca="false">FALSE()</f>
        <v>0</v>
      </c>
    </row>
    <row r="870" customFormat="false" ht="15" hidden="false" customHeight="true" outlineLevel="0" collapsed="false">
      <c r="A870" s="12" t="n">
        <v>42506</v>
      </c>
      <c r="B870" s="13" t="n">
        <v>42871.8328668004</v>
      </c>
      <c r="C870" s="13" t="n">
        <v>37139.3082568899</v>
      </c>
      <c r="D870" s="13" t="n">
        <v>1019</v>
      </c>
      <c r="E870" s="14" t="n">
        <v>42.072456199019</v>
      </c>
      <c r="F870" s="14" t="n">
        <v>36.4468187015602</v>
      </c>
      <c r="G870" s="13" t="n">
        <v>5732.52460991051</v>
      </c>
      <c r="H870" s="15" t="n">
        <v>0.133713075149389</v>
      </c>
      <c r="I870" s="15" t="n">
        <v>0.133713075149389</v>
      </c>
      <c r="J870" s="16" t="n">
        <v>2016</v>
      </c>
      <c r="K870" s="16" t="n">
        <v>5</v>
      </c>
      <c r="L870" s="16" t="n">
        <v>20</v>
      </c>
      <c r="M870" s="16" t="s">
        <v>32</v>
      </c>
      <c r="N870" s="17" t="b">
        <f aca="false">FALSE()</f>
        <v>0</v>
      </c>
      <c r="O870" s="14" t="n">
        <v>38.1109718678765</v>
      </c>
      <c r="P870" s="13" t="n">
        <v>4779.57142857143</v>
      </c>
      <c r="Q870" s="15" t="n">
        <v>0.103946032782271</v>
      </c>
      <c r="R870" s="15" t="n">
        <v>-0.786800968407209</v>
      </c>
      <c r="S870" s="17" t="b">
        <f aca="false">FALSE()</f>
        <v>0</v>
      </c>
    </row>
    <row r="871" customFormat="false" ht="15" hidden="false" customHeight="true" outlineLevel="0" collapsed="false">
      <c r="A871" s="12" t="n">
        <v>42507</v>
      </c>
      <c r="B871" s="13" t="n">
        <v>39104.6391024603</v>
      </c>
      <c r="C871" s="13" t="n">
        <v>33890.3604324963</v>
      </c>
      <c r="D871" s="13" t="n">
        <v>930</v>
      </c>
      <c r="E871" s="14" t="n">
        <v>42.0479990349035</v>
      </c>
      <c r="F871" s="14" t="n">
        <v>36.4412477768778</v>
      </c>
      <c r="G871" s="13" t="n">
        <v>5214.27866996394</v>
      </c>
      <c r="H871" s="15" t="n">
        <v>0.133341690133023</v>
      </c>
      <c r="I871" s="15" t="n">
        <v>0.133341690133023</v>
      </c>
      <c r="J871" s="16" t="n">
        <v>2016</v>
      </c>
      <c r="K871" s="16" t="n">
        <v>5</v>
      </c>
      <c r="L871" s="16" t="n">
        <v>20</v>
      </c>
      <c r="M871" s="16" t="s">
        <v>33</v>
      </c>
      <c r="N871" s="17" t="b">
        <f aca="false">FALSE()</f>
        <v>0</v>
      </c>
      <c r="O871" s="14" t="n">
        <v>38.6776545477433</v>
      </c>
      <c r="P871" s="13" t="n">
        <v>4259.64285714286</v>
      </c>
      <c r="Q871" s="15" t="n">
        <v>0.0871393192418081</v>
      </c>
      <c r="R871" s="15" t="n">
        <v>-0.781671837008468</v>
      </c>
      <c r="S871" s="17" t="b">
        <f aca="false">FALSE()</f>
        <v>0</v>
      </c>
    </row>
    <row r="872" customFormat="false" ht="15" hidden="false" customHeight="true" outlineLevel="0" collapsed="false">
      <c r="A872" s="12" t="n">
        <v>42508</v>
      </c>
      <c r="B872" s="13" t="n">
        <v>34406.7500057102</v>
      </c>
      <c r="C872" s="13" t="n">
        <v>29884.3305893676</v>
      </c>
      <c r="D872" s="13" t="n">
        <v>818</v>
      </c>
      <c r="E872" s="14" t="n">
        <v>42.0620415717729</v>
      </c>
      <c r="F872" s="14" t="n">
        <v>36.5334114784445</v>
      </c>
      <c r="G872" s="13" t="n">
        <v>4522.41941634266</v>
      </c>
      <c r="H872" s="15" t="n">
        <v>0.131439889428444</v>
      </c>
      <c r="I872" s="15" t="n">
        <v>0.131439889428444</v>
      </c>
      <c r="J872" s="16" t="n">
        <v>2016</v>
      </c>
      <c r="K872" s="16" t="n">
        <v>5</v>
      </c>
      <c r="L872" s="16" t="n">
        <v>20</v>
      </c>
      <c r="M872" s="16" t="s">
        <v>34</v>
      </c>
      <c r="N872" s="17" t="b">
        <f aca="false">FALSE()</f>
        <v>0</v>
      </c>
      <c r="O872" s="14" t="n">
        <v>39.2433122414004</v>
      </c>
      <c r="P872" s="13" t="n">
        <v>3703.42857142857</v>
      </c>
      <c r="Q872" s="15" t="n">
        <v>0.0718269985222809</v>
      </c>
      <c r="R872" s="15" t="n">
        <v>-0.779123592038266</v>
      </c>
      <c r="S872" s="17" t="b">
        <f aca="false">FALSE()</f>
        <v>0</v>
      </c>
    </row>
    <row r="873" customFormat="false" ht="15" hidden="false" customHeight="true" outlineLevel="0" collapsed="false">
      <c r="A873" s="12" t="n">
        <v>42509</v>
      </c>
      <c r="B873" s="13" t="n">
        <v>39403.6585603503</v>
      </c>
      <c r="C873" s="13" t="n">
        <v>34229.6319157985</v>
      </c>
      <c r="D873" s="13" t="n">
        <v>937</v>
      </c>
      <c r="E873" s="14" t="n">
        <v>42.0529973963183</v>
      </c>
      <c r="F873" s="14" t="n">
        <v>36.5310906251852</v>
      </c>
      <c r="G873" s="13" t="n">
        <v>5174.02664455174</v>
      </c>
      <c r="H873" s="15" t="n">
        <v>0.131308280337148</v>
      </c>
      <c r="I873" s="15" t="n">
        <v>0.131308280337148</v>
      </c>
      <c r="J873" s="16" t="n">
        <v>2016</v>
      </c>
      <c r="K873" s="16" t="n">
        <v>5</v>
      </c>
      <c r="L873" s="16" t="n">
        <v>20</v>
      </c>
      <c r="M873" s="16" t="s">
        <v>35</v>
      </c>
      <c r="N873" s="17" t="b">
        <f aca="false">FALSE()</f>
        <v>0</v>
      </c>
      <c r="O873" s="14" t="n">
        <v>39.8055725058312</v>
      </c>
      <c r="P873" s="13" t="n">
        <v>3164.42857142857</v>
      </c>
      <c r="Q873" s="15" t="n">
        <v>0.0564600569469971</v>
      </c>
      <c r="R873" s="15" t="n">
        <v>-0.703895986637172</v>
      </c>
      <c r="S873" s="17" t="b">
        <f aca="false">FALSE()</f>
        <v>0</v>
      </c>
    </row>
    <row r="874" customFormat="false" ht="15" hidden="false" customHeight="true" outlineLevel="0" collapsed="false">
      <c r="A874" s="12" t="n">
        <v>42510</v>
      </c>
      <c r="B874" s="13" t="n">
        <v>96830.9024237384</v>
      </c>
      <c r="C874" s="13" t="n">
        <v>83926.0034988347</v>
      </c>
      <c r="D874" s="13" t="n">
        <v>2302</v>
      </c>
      <c r="E874" s="14" t="n">
        <v>42.0638151276014</v>
      </c>
      <c r="F874" s="14" t="n">
        <v>36.4578642479734</v>
      </c>
      <c r="G874" s="13" t="n">
        <v>12904.8989249037</v>
      </c>
      <c r="H874" s="15" t="n">
        <v>0.133272525628554</v>
      </c>
      <c r="I874" s="15" t="n">
        <v>0.133272525628554</v>
      </c>
      <c r="J874" s="16" t="n">
        <v>2016</v>
      </c>
      <c r="K874" s="16" t="n">
        <v>5</v>
      </c>
      <c r="L874" s="16" t="n">
        <v>20</v>
      </c>
      <c r="M874" s="16" t="s">
        <v>36</v>
      </c>
      <c r="N874" s="17" t="b">
        <f aca="false">FALSE()</f>
        <v>0</v>
      </c>
      <c r="O874" s="14" t="n">
        <v>40.3701806449292</v>
      </c>
      <c r="P874" s="13" t="n">
        <v>2733.64285714286</v>
      </c>
      <c r="Q874" s="15" t="n">
        <v>0.0419526109523356</v>
      </c>
      <c r="R874" s="15" t="n">
        <v>-0.157900237777952</v>
      </c>
      <c r="S874" s="17" t="b">
        <f aca="false">FALSE()</f>
        <v>0</v>
      </c>
    </row>
    <row r="875" customFormat="false" ht="15" hidden="false" customHeight="true" outlineLevel="0" collapsed="false">
      <c r="A875" s="12" t="n">
        <v>42511</v>
      </c>
      <c r="B875" s="13" t="n">
        <v>99380.3945973283</v>
      </c>
      <c r="C875" s="13" t="n">
        <v>86179.5133871843</v>
      </c>
      <c r="D875" s="13" t="n">
        <v>2363</v>
      </c>
      <c r="E875" s="14" t="n">
        <v>42.0568745650987</v>
      </c>
      <c r="F875" s="14" t="n">
        <v>36.4703823051986</v>
      </c>
      <c r="G875" s="13" t="n">
        <v>13200.881210144</v>
      </c>
      <c r="H875" s="15" t="n">
        <v>0.132831845391957</v>
      </c>
      <c r="I875" s="15" t="n">
        <v>0.132831845391957</v>
      </c>
      <c r="J875" s="16" t="n">
        <v>2016</v>
      </c>
      <c r="K875" s="16" t="n">
        <v>5</v>
      </c>
      <c r="L875" s="16" t="n">
        <v>20</v>
      </c>
      <c r="M875" s="16" t="s">
        <v>37</v>
      </c>
      <c r="N875" s="17" t="b">
        <f aca="false">TRUE()</f>
        <v>1</v>
      </c>
      <c r="O875" s="14" t="n">
        <v>40.933493893577</v>
      </c>
      <c r="P875" s="13" t="n">
        <v>2185.71428571429</v>
      </c>
      <c r="Q875" s="15" t="n">
        <v>0.0274440455643094</v>
      </c>
      <c r="R875" s="15" t="n">
        <v>0.0811111111111111</v>
      </c>
      <c r="S875" s="17" t="b">
        <f aca="false">FALSE()</f>
        <v>0</v>
      </c>
    </row>
    <row r="876" customFormat="false" ht="15" hidden="false" customHeight="true" outlineLevel="0" collapsed="false">
      <c r="A876" s="12" t="n">
        <v>42512</v>
      </c>
      <c r="B876" s="13" t="n">
        <v>61656.1813340698</v>
      </c>
      <c r="C876" s="13" t="n">
        <v>53463.7345578351</v>
      </c>
      <c r="D876" s="13" t="n">
        <v>1466</v>
      </c>
      <c r="E876" s="14" t="n">
        <v>42.057422465259</v>
      </c>
      <c r="F876" s="14" t="n">
        <v>36.4691231635983</v>
      </c>
      <c r="G876" s="13" t="n">
        <v>8192.44677623471</v>
      </c>
      <c r="H876" s="15" t="n">
        <v>0.132873080994845</v>
      </c>
      <c r="I876" s="15" t="n">
        <v>0.132873080994845</v>
      </c>
      <c r="J876" s="16" t="n">
        <v>2016</v>
      </c>
      <c r="K876" s="16" t="n">
        <v>5</v>
      </c>
      <c r="L876" s="16" t="n">
        <v>20</v>
      </c>
      <c r="M876" s="16" t="s">
        <v>38</v>
      </c>
      <c r="N876" s="17" t="b">
        <f aca="false">TRUE()</f>
        <v>1</v>
      </c>
      <c r="O876" s="14" t="n">
        <v>41.4973833609567</v>
      </c>
      <c r="P876" s="13" t="n">
        <v>1542.85714285714</v>
      </c>
      <c r="Q876" s="15" t="n">
        <v>0.0134957691050296</v>
      </c>
      <c r="R876" s="15" t="n">
        <v>-0.0498148148148148</v>
      </c>
      <c r="S876" s="17" t="b">
        <f aca="false">FALSE()</f>
        <v>0</v>
      </c>
    </row>
    <row r="877" customFormat="false" ht="15" hidden="false" customHeight="true" outlineLevel="0" collapsed="false">
      <c r="A877" s="12" t="n">
        <v>42513</v>
      </c>
      <c r="B877" s="13" t="n">
        <v>69163.5573655795</v>
      </c>
      <c r="C877" s="13" t="n">
        <v>59948.4387075355</v>
      </c>
      <c r="D877" s="13" t="n">
        <v>1644</v>
      </c>
      <c r="E877" s="14" t="n">
        <v>42.0702903683574</v>
      </c>
      <c r="F877" s="14" t="n">
        <v>36.4649870483793</v>
      </c>
      <c r="G877" s="13" t="n">
        <v>9215.11865804398</v>
      </c>
      <c r="H877" s="15" t="n">
        <v>0.133236620686461</v>
      </c>
      <c r="I877" s="15" t="n">
        <v>0.133236620686461</v>
      </c>
      <c r="J877" s="16" t="n">
        <v>2016</v>
      </c>
      <c r="K877" s="16" t="n">
        <v>5</v>
      </c>
      <c r="L877" s="16" t="n">
        <v>21</v>
      </c>
      <c r="M877" s="16" t="s">
        <v>32</v>
      </c>
      <c r="N877" s="17" t="b">
        <f aca="false">FALSE()</f>
        <v>0</v>
      </c>
      <c r="O877" s="14" t="n">
        <v>42.0612895792087</v>
      </c>
      <c r="P877" s="13" t="n">
        <v>1356.57142857143</v>
      </c>
      <c r="Q877" s="15" t="n">
        <v>0.000213992229880579</v>
      </c>
      <c r="R877" s="15" t="n">
        <v>0.211878685762426</v>
      </c>
      <c r="S877" s="17" t="b">
        <f aca="false">FALSE()</f>
        <v>0</v>
      </c>
    </row>
    <row r="878" customFormat="false" ht="15" hidden="false" customHeight="true" outlineLevel="0" collapsed="false">
      <c r="A878" s="12" t="n">
        <v>42514</v>
      </c>
      <c r="B878" s="13" t="n">
        <v>113112.86502111</v>
      </c>
      <c r="C878" s="13" t="n">
        <v>117414.698929685</v>
      </c>
      <c r="D878" s="13" t="n">
        <v>3224</v>
      </c>
      <c r="E878" s="14" t="n">
        <v>35.0846355524534</v>
      </c>
      <c r="F878" s="14" t="n">
        <v>36.4189512809196</v>
      </c>
      <c r="G878" s="13" t="n">
        <v>-4301.83390857514</v>
      </c>
      <c r="H878" s="15" t="n">
        <v>-0.0380313407124142</v>
      </c>
      <c r="I878" s="15" t="n">
        <v>-0.0380313407124141</v>
      </c>
      <c r="J878" s="16" t="n">
        <v>2016</v>
      </c>
      <c r="K878" s="16" t="n">
        <v>5</v>
      </c>
      <c r="L878" s="16" t="n">
        <v>21</v>
      </c>
      <c r="M878" s="16" t="s">
        <v>33</v>
      </c>
      <c r="N878" s="17" t="b">
        <f aca="false">FALSE()</f>
        <v>0</v>
      </c>
      <c r="O878" s="14" t="n">
        <v>42.0625872108185</v>
      </c>
      <c r="P878" s="13" t="n">
        <v>1361.21428571429</v>
      </c>
      <c r="Q878" s="15" t="n">
        <v>-0.165894494872403</v>
      </c>
      <c r="R878" s="15" t="n">
        <v>1.36847352678806</v>
      </c>
      <c r="S878" s="17" t="b">
        <f aca="false">TRUE()</f>
        <v>1</v>
      </c>
    </row>
    <row r="879" customFormat="false" ht="15" hidden="false" customHeight="true" outlineLevel="0" collapsed="false">
      <c r="A879" s="12" t="n">
        <v>42515</v>
      </c>
      <c r="B879" s="13" t="n">
        <v>253686.302453586</v>
      </c>
      <c r="C879" s="13" t="n">
        <v>268974.570693965</v>
      </c>
      <c r="D879" s="13" t="n">
        <v>7392</v>
      </c>
      <c r="E879" s="14" t="n">
        <v>34.3190344228336</v>
      </c>
      <c r="F879" s="14" t="n">
        <v>36.3872525289455</v>
      </c>
      <c r="G879" s="13" t="n">
        <v>-15288.2682403792</v>
      </c>
      <c r="H879" s="15" t="n">
        <v>-0.0602644608420523</v>
      </c>
      <c r="I879" s="15" t="n">
        <v>-0.0602644608420523</v>
      </c>
      <c r="J879" s="16" t="n">
        <v>2016</v>
      </c>
      <c r="K879" s="16" t="n">
        <v>5</v>
      </c>
      <c r="L879" s="16" t="n">
        <v>21</v>
      </c>
      <c r="M879" s="16" t="s">
        <v>34</v>
      </c>
      <c r="N879" s="17" t="b">
        <f aca="false">FALSE()</f>
        <v>0</v>
      </c>
      <c r="O879" s="14" t="n">
        <v>41.5650102467776</v>
      </c>
      <c r="P879" s="13" t="n">
        <v>1518.92857142857</v>
      </c>
      <c r="Q879" s="15" t="n">
        <v>-0.174328739026493</v>
      </c>
      <c r="R879" s="15" t="n">
        <v>3.86658829061839</v>
      </c>
      <c r="S879" s="17" t="b">
        <f aca="false">TRUE()</f>
        <v>1</v>
      </c>
    </row>
    <row r="880" customFormat="false" ht="15" hidden="false" customHeight="true" outlineLevel="0" collapsed="false">
      <c r="A880" s="12" t="n">
        <v>42516</v>
      </c>
      <c r="B880" s="13" t="n">
        <v>210305.291944036</v>
      </c>
      <c r="C880" s="13" t="n">
        <v>223289.084573855</v>
      </c>
      <c r="D880" s="13" t="n">
        <v>6138</v>
      </c>
      <c r="E880" s="14" t="n">
        <v>34.2628367455256</v>
      </c>
      <c r="F880" s="14" t="n">
        <v>36.3781499794485</v>
      </c>
      <c r="G880" s="13" t="n">
        <v>-12983.7926298186</v>
      </c>
      <c r="H880" s="15" t="n">
        <v>-0.0617378312728036</v>
      </c>
      <c r="I880" s="15" t="n">
        <v>-0.0617378312728036</v>
      </c>
      <c r="J880" s="16" t="n">
        <v>2016</v>
      </c>
      <c r="K880" s="16" t="n">
        <v>5</v>
      </c>
      <c r="L880" s="16" t="n">
        <v>21</v>
      </c>
      <c r="M880" s="16" t="s">
        <v>35</v>
      </c>
      <c r="N880" s="17" t="b">
        <f aca="false">FALSE()</f>
        <v>0</v>
      </c>
      <c r="O880" s="14" t="n">
        <v>41.0103259369104</v>
      </c>
      <c r="P880" s="13" t="n">
        <v>1987.5</v>
      </c>
      <c r="Q880" s="15" t="n">
        <v>-0.164531469507583</v>
      </c>
      <c r="R880" s="15" t="n">
        <v>2.08830188679245</v>
      </c>
      <c r="S880" s="17" t="b">
        <f aca="false">TRUE()</f>
        <v>1</v>
      </c>
    </row>
    <row r="881" customFormat="false" ht="15" hidden="false" customHeight="true" outlineLevel="0" collapsed="false">
      <c r="A881" s="12" t="n">
        <v>42517</v>
      </c>
      <c r="B881" s="13" t="n">
        <v>364087.424299931</v>
      </c>
      <c r="C881" s="13" t="n">
        <v>386499.896429187</v>
      </c>
      <c r="D881" s="13" t="n">
        <v>10624</v>
      </c>
      <c r="E881" s="14" t="n">
        <v>34.2702771366651</v>
      </c>
      <c r="F881" s="14" t="n">
        <v>36.3798848295545</v>
      </c>
      <c r="G881" s="13" t="n">
        <v>-22412.472129256</v>
      </c>
      <c r="H881" s="15" t="n">
        <v>-0.0615579408499232</v>
      </c>
      <c r="I881" s="15" t="n">
        <v>-0.0615579408499233</v>
      </c>
      <c r="J881" s="16" t="n">
        <v>2016</v>
      </c>
      <c r="K881" s="16" t="n">
        <v>5</v>
      </c>
      <c r="L881" s="16" t="n">
        <v>21</v>
      </c>
      <c r="M881" s="16" t="s">
        <v>36</v>
      </c>
      <c r="N881" s="17" t="b">
        <f aca="false">FALSE()</f>
        <v>0</v>
      </c>
      <c r="O881" s="14" t="n">
        <v>40.4536521394623</v>
      </c>
      <c r="P881" s="13" t="n">
        <v>2379.71428571429</v>
      </c>
      <c r="Q881" s="15" t="n">
        <v>-0.152850847223391</v>
      </c>
      <c r="R881" s="15" t="n">
        <v>3.46440148877416</v>
      </c>
      <c r="S881" s="17" t="b">
        <f aca="false">TRUE()</f>
        <v>1</v>
      </c>
    </row>
    <row r="882" customFormat="false" ht="15" hidden="false" customHeight="true" outlineLevel="0" collapsed="false">
      <c r="A882" s="12" t="n">
        <v>42518</v>
      </c>
      <c r="B882" s="13" t="n">
        <v>397480.369474526</v>
      </c>
      <c r="C882" s="13" t="n">
        <v>421674.101869765</v>
      </c>
      <c r="D882" s="13" t="n">
        <v>11590</v>
      </c>
      <c r="E882" s="14" t="n">
        <v>34.295113845947</v>
      </c>
      <c r="F882" s="14" t="n">
        <v>36.3825799715069</v>
      </c>
      <c r="G882" s="13" t="n">
        <v>-24193.7323952397</v>
      </c>
      <c r="H882" s="15" t="n">
        <v>-0.0608677415370831</v>
      </c>
      <c r="I882" s="15" t="n">
        <v>-0.0608677415370831</v>
      </c>
      <c r="J882" s="16" t="n">
        <v>2016</v>
      </c>
      <c r="K882" s="16" t="n">
        <v>5</v>
      </c>
      <c r="L882" s="16" t="n">
        <v>21</v>
      </c>
      <c r="M882" s="16" t="s">
        <v>37</v>
      </c>
      <c r="N882" s="17" t="b">
        <f aca="false">TRUE()</f>
        <v>1</v>
      </c>
      <c r="O882" s="14" t="n">
        <v>39.8968591904837</v>
      </c>
      <c r="P882" s="13" t="n">
        <v>3003</v>
      </c>
      <c r="Q882" s="15" t="n">
        <v>-0.140405672481429</v>
      </c>
      <c r="R882" s="15" t="n">
        <v>2.85947385947386</v>
      </c>
      <c r="S882" s="17" t="b">
        <f aca="false">TRUE()</f>
        <v>1</v>
      </c>
    </row>
    <row r="883" customFormat="false" ht="15" hidden="false" customHeight="true" outlineLevel="0" collapsed="false">
      <c r="A883" s="12" t="n">
        <v>42519</v>
      </c>
      <c r="B883" s="13" t="n">
        <v>204028.176757352</v>
      </c>
      <c r="C883" s="13" t="n">
        <v>216777.315725664</v>
      </c>
      <c r="D883" s="13" t="n">
        <v>5959</v>
      </c>
      <c r="E883" s="14" t="n">
        <v>34.2386603049761</v>
      </c>
      <c r="F883" s="14" t="n">
        <v>36.3781365540634</v>
      </c>
      <c r="G883" s="13" t="n">
        <v>-12749.1389683113</v>
      </c>
      <c r="H883" s="15" t="n">
        <v>-0.062487148446529</v>
      </c>
      <c r="I883" s="15" t="n">
        <v>-0.0624871484465291</v>
      </c>
      <c r="J883" s="16" t="n">
        <v>2016</v>
      </c>
      <c r="K883" s="16" t="n">
        <v>5</v>
      </c>
      <c r="L883" s="16" t="n">
        <v>21</v>
      </c>
      <c r="M883" s="16" t="s">
        <v>38</v>
      </c>
      <c r="N883" s="17" t="b">
        <f aca="false">TRUE()</f>
        <v>1</v>
      </c>
      <c r="O883" s="14" t="n">
        <v>39.3420500537406</v>
      </c>
      <c r="P883" s="13" t="n">
        <v>3690.78571428571</v>
      </c>
      <c r="Q883" s="15" t="n">
        <v>-0.129718449897586</v>
      </c>
      <c r="R883" s="15" t="n">
        <v>0.614561359369859</v>
      </c>
      <c r="S883" s="17" t="b">
        <f aca="false">TRUE()</f>
        <v>1</v>
      </c>
    </row>
    <row r="884" customFormat="false" ht="15" hidden="false" customHeight="true" outlineLevel="0" collapsed="false">
      <c r="A884" s="12" t="n">
        <v>42520</v>
      </c>
      <c r="B884" s="13" t="n">
        <v>172797.935134466</v>
      </c>
      <c r="C884" s="13" t="n">
        <v>183715.807199508</v>
      </c>
      <c r="D884" s="13" t="n">
        <v>5048</v>
      </c>
      <c r="E884" s="14" t="n">
        <v>34.2309697176043</v>
      </c>
      <c r="F884" s="14" t="n">
        <v>36.3937811409484</v>
      </c>
      <c r="G884" s="13" t="n">
        <v>-10917.8720650411</v>
      </c>
      <c r="H884" s="15" t="n">
        <v>-0.06318288500696</v>
      </c>
      <c r="I884" s="15" t="n">
        <v>-0.0631828850069601</v>
      </c>
      <c r="J884" s="16" t="n">
        <v>2016</v>
      </c>
      <c r="K884" s="16" t="n">
        <v>5</v>
      </c>
      <c r="L884" s="16" t="n">
        <v>22</v>
      </c>
      <c r="M884" s="16" t="s">
        <v>32</v>
      </c>
      <c r="N884" s="17" t="b">
        <f aca="false">FALSE()</f>
        <v>0</v>
      </c>
      <c r="O884" s="14" t="n">
        <v>38.7824610526237</v>
      </c>
      <c r="P884" s="13" t="n">
        <v>4029</v>
      </c>
      <c r="Q884" s="15" t="n">
        <v>-0.117359528288921</v>
      </c>
      <c r="R884" s="15" t="n">
        <v>0.252916356415984</v>
      </c>
      <c r="S884" s="17" t="b">
        <f aca="false">TRUE()</f>
        <v>1</v>
      </c>
    </row>
    <row r="885" customFormat="false" ht="15" hidden="false" customHeight="true" outlineLevel="0" collapsed="false">
      <c r="A885" s="12" t="n">
        <v>42521</v>
      </c>
      <c r="B885" s="13" t="n">
        <v>258970.654110185</v>
      </c>
      <c r="C885" s="13" t="n">
        <v>274386.015434771</v>
      </c>
      <c r="D885" s="13" t="n">
        <v>7542</v>
      </c>
      <c r="E885" s="14" t="n">
        <v>34.3371326054342</v>
      </c>
      <c r="F885" s="14" t="n">
        <v>36.3810680767397</v>
      </c>
      <c r="G885" s="13" t="n">
        <v>-15415.3613245856</v>
      </c>
      <c r="H885" s="15" t="n">
        <v>-0.0595255141071962</v>
      </c>
      <c r="I885" s="15" t="n">
        <v>-0.0595255141071961</v>
      </c>
      <c r="J885" s="16" t="n">
        <v>2016</v>
      </c>
      <c r="K885" s="16" t="n">
        <v>5</v>
      </c>
      <c r="L885" s="16" t="n">
        <v>22</v>
      </c>
      <c r="M885" s="16" t="s">
        <v>33</v>
      </c>
      <c r="N885" s="17" t="b">
        <f aca="false">FALSE()</f>
        <v>0</v>
      </c>
      <c r="O885" s="14" t="n">
        <v>38.2223548753797</v>
      </c>
      <c r="P885" s="13" t="n">
        <v>4316.78571428572</v>
      </c>
      <c r="Q885" s="15" t="n">
        <v>-0.10164790428567</v>
      </c>
      <c r="R885" s="15" t="n">
        <v>0.747133283693224</v>
      </c>
      <c r="S885" s="17" t="b">
        <f aca="false">TRUE()</f>
        <v>1</v>
      </c>
    </row>
    <row r="886" customFormat="false" ht="15" hidden="false" customHeight="true" outlineLevel="0" collapsed="false">
      <c r="A886" s="12" t="n">
        <v>42522</v>
      </c>
      <c r="B886" s="13" t="n">
        <v>368789.572621971</v>
      </c>
      <c r="C886" s="13" t="n">
        <v>391923.659614292</v>
      </c>
      <c r="D886" s="13" t="n">
        <v>10761</v>
      </c>
      <c r="E886" s="14" t="n">
        <v>34.2709388181369</v>
      </c>
      <c r="F886" s="14" t="n">
        <v>36.4207471066157</v>
      </c>
      <c r="G886" s="13" t="n">
        <v>-23134.0869923212</v>
      </c>
      <c r="H886" s="15" t="n">
        <v>-0.0627297752152959</v>
      </c>
      <c r="I886" s="15" t="n">
        <v>-0.0627297752152958</v>
      </c>
      <c r="J886" s="16" t="n">
        <v>2016</v>
      </c>
      <c r="K886" s="16" t="n">
        <v>6</v>
      </c>
      <c r="L886" s="16" t="n">
        <v>22</v>
      </c>
      <c r="M886" s="16" t="s">
        <v>34</v>
      </c>
      <c r="N886" s="17" t="b">
        <f aca="false">FALSE()</f>
        <v>0</v>
      </c>
      <c r="O886" s="14" t="n">
        <v>37.6715787018462</v>
      </c>
      <c r="P886" s="13" t="n">
        <v>4789.07142857143</v>
      </c>
      <c r="Q886" s="15" t="n">
        <v>-0.090270702765709</v>
      </c>
      <c r="R886" s="15" t="n">
        <v>1.24699091681955</v>
      </c>
      <c r="S886" s="17" t="b">
        <f aca="false">TRUE()</f>
        <v>1</v>
      </c>
    </row>
    <row r="887" customFormat="false" ht="15" hidden="false" customHeight="true" outlineLevel="0" collapsed="false">
      <c r="A887" s="12" t="n">
        <v>42523</v>
      </c>
      <c r="B887" s="13" t="n">
        <v>278071.386569246</v>
      </c>
      <c r="C887" s="13" t="n">
        <v>295548.241640903</v>
      </c>
      <c r="D887" s="13" t="n">
        <v>8120</v>
      </c>
      <c r="E887" s="14" t="n">
        <v>34.245244651385</v>
      </c>
      <c r="F887" s="14" t="n">
        <v>36.3975667045447</v>
      </c>
      <c r="G887" s="13" t="n">
        <v>-17476.8550716574</v>
      </c>
      <c r="H887" s="15" t="n">
        <v>-0.0628502460727122</v>
      </c>
      <c r="I887" s="15" t="n">
        <v>-0.062850246072712</v>
      </c>
      <c r="J887" s="16" t="n">
        <v>2016</v>
      </c>
      <c r="K887" s="16" t="n">
        <v>6</v>
      </c>
      <c r="L887" s="16" t="n">
        <v>22</v>
      </c>
      <c r="M887" s="16" t="s">
        <v>35</v>
      </c>
      <c r="N887" s="17" t="b">
        <f aca="false">FALSE()</f>
        <v>0</v>
      </c>
      <c r="O887" s="14" t="n">
        <v>37.1150713623008</v>
      </c>
      <c r="P887" s="13" t="n">
        <v>5499.28571428572</v>
      </c>
      <c r="Q887" s="15" t="n">
        <v>-0.0773224085413132</v>
      </c>
      <c r="R887" s="15" t="n">
        <v>0.47655539680478</v>
      </c>
      <c r="S887" s="17" t="b">
        <f aca="false">TRUE()</f>
        <v>1</v>
      </c>
    </row>
    <row r="888" customFormat="false" ht="15" hidden="false" customHeight="true" outlineLevel="0" collapsed="false">
      <c r="A888" s="12" t="n">
        <v>42524</v>
      </c>
      <c r="B888" s="13" t="n">
        <v>373959.362039227</v>
      </c>
      <c r="C888" s="13" t="n">
        <v>396324.17866627</v>
      </c>
      <c r="D888" s="13" t="n">
        <v>10896</v>
      </c>
      <c r="E888" s="14" t="n">
        <v>34.3207931386956</v>
      </c>
      <c r="F888" s="14" t="n">
        <v>36.3733644150395</v>
      </c>
      <c r="G888" s="13" t="n">
        <v>-22364.8166270435</v>
      </c>
      <c r="H888" s="15" t="n">
        <v>-0.0598054732607485</v>
      </c>
      <c r="I888" s="15" t="n">
        <v>-0.0598054732607486</v>
      </c>
      <c r="J888" s="16" t="n">
        <v>2016</v>
      </c>
      <c r="K888" s="16" t="n">
        <v>6</v>
      </c>
      <c r="L888" s="16" t="n">
        <v>22</v>
      </c>
      <c r="M888" s="16" t="s">
        <v>36</v>
      </c>
      <c r="N888" s="17" t="b">
        <f aca="false">FALSE()</f>
        <v>0</v>
      </c>
      <c r="O888" s="14" t="n">
        <v>36.5573747376627</v>
      </c>
      <c r="P888" s="13" t="n">
        <v>6012.35714285714</v>
      </c>
      <c r="Q888" s="15" t="n">
        <v>-0.0611800386383578</v>
      </c>
      <c r="R888" s="15" t="n">
        <v>0.812267591745572</v>
      </c>
      <c r="S888" s="17" t="b">
        <f aca="false">TRUE()</f>
        <v>1</v>
      </c>
    </row>
    <row r="889" customFormat="false" ht="15" hidden="false" customHeight="true" outlineLevel="0" collapsed="false">
      <c r="A889" s="12" t="n">
        <v>42525</v>
      </c>
      <c r="B889" s="13" t="n">
        <v>402057.252888536</v>
      </c>
      <c r="C889" s="13" t="n">
        <v>426466.132176591</v>
      </c>
      <c r="D889" s="13" t="n">
        <v>11726</v>
      </c>
      <c r="E889" s="14" t="n">
        <v>34.2876729394965</v>
      </c>
      <c r="F889" s="14" t="n">
        <v>36.3692761535555</v>
      </c>
      <c r="G889" s="13" t="n">
        <v>-24408.8792880558</v>
      </c>
      <c r="H889" s="15" t="n">
        <v>-0.060709958874496</v>
      </c>
      <c r="I889" s="15" t="n">
        <v>-0.0607099588744961</v>
      </c>
      <c r="J889" s="16" t="n">
        <v>2016</v>
      </c>
      <c r="K889" s="16" t="n">
        <v>6</v>
      </c>
      <c r="L889" s="16" t="n">
        <v>22</v>
      </c>
      <c r="M889" s="16" t="s">
        <v>37</v>
      </c>
      <c r="N889" s="17" t="b">
        <f aca="false">TRUE()</f>
        <v>1</v>
      </c>
      <c r="O889" s="14" t="n">
        <v>36.0043017384551</v>
      </c>
      <c r="P889" s="13" t="n">
        <v>6626.21428571429</v>
      </c>
      <c r="Q889" s="15" t="n">
        <v>-0.0476784360776864</v>
      </c>
      <c r="R889" s="15" t="n">
        <v>0.769637910032663</v>
      </c>
      <c r="S889" s="17" t="b">
        <f aca="false">FALSE()</f>
        <v>0</v>
      </c>
    </row>
    <row r="890" customFormat="false" ht="15" hidden="false" customHeight="true" outlineLevel="0" collapsed="false">
      <c r="A890" s="12" t="n">
        <v>42526</v>
      </c>
      <c r="B890" s="13" t="n">
        <v>205719.453235816</v>
      </c>
      <c r="C890" s="13" t="n">
        <v>218408.182073276</v>
      </c>
      <c r="D890" s="13" t="n">
        <v>6007</v>
      </c>
      <c r="E890" s="14" t="n">
        <v>34.2466211479634</v>
      </c>
      <c r="F890" s="14" t="n">
        <v>36.3589449098178</v>
      </c>
      <c r="G890" s="13" t="n">
        <v>-12688.7288374595</v>
      </c>
      <c r="H890" s="15" t="n">
        <v>-0.0616797713481883</v>
      </c>
      <c r="I890" s="15" t="n">
        <v>-0.0616797713481883</v>
      </c>
      <c r="J890" s="16" t="n">
        <v>2016</v>
      </c>
      <c r="K890" s="16" t="n">
        <v>6</v>
      </c>
      <c r="L890" s="16" t="n">
        <v>22</v>
      </c>
      <c r="M890" s="16" t="s">
        <v>38</v>
      </c>
      <c r="N890" s="17" t="b">
        <f aca="false">TRUE()</f>
        <v>1</v>
      </c>
      <c r="O890" s="14" t="n">
        <v>35.4493587651978</v>
      </c>
      <c r="P890" s="13" t="n">
        <v>7295</v>
      </c>
      <c r="Q890" s="15" t="n">
        <v>-0.0339283321089346</v>
      </c>
      <c r="R890" s="15" t="n">
        <v>-0.176559287183002</v>
      </c>
      <c r="S890" s="17" t="b">
        <f aca="false">FALSE()</f>
        <v>0</v>
      </c>
    </row>
    <row r="891" customFormat="false" ht="15" hidden="false" customHeight="true" outlineLevel="0" collapsed="false">
      <c r="A891" s="12" t="n">
        <v>42527</v>
      </c>
      <c r="B891" s="13" t="n">
        <v>177626.950124486</v>
      </c>
      <c r="C891" s="13" t="n">
        <v>188629.754225902</v>
      </c>
      <c r="D891" s="13" t="n">
        <v>5185</v>
      </c>
      <c r="E891" s="14" t="n">
        <v>34.2578495900649</v>
      </c>
      <c r="F891" s="14" t="n">
        <v>36.3798947398075</v>
      </c>
      <c r="G891" s="13" t="n">
        <v>-11002.8041014156</v>
      </c>
      <c r="H891" s="15" t="n">
        <v>-0.061943326132124</v>
      </c>
      <c r="I891" s="15" t="n">
        <v>-0.0619433261321242</v>
      </c>
      <c r="J891" s="16" t="n">
        <v>2016</v>
      </c>
      <c r="K891" s="16" t="n">
        <v>6</v>
      </c>
      <c r="L891" s="16" t="n">
        <v>23</v>
      </c>
      <c r="M891" s="16" t="s">
        <v>32</v>
      </c>
      <c r="N891" s="17" t="b">
        <f aca="false">FALSE()</f>
        <v>0</v>
      </c>
      <c r="O891" s="14" t="n">
        <v>34.891444385391</v>
      </c>
      <c r="P891" s="13" t="n">
        <v>7619.35714285714</v>
      </c>
      <c r="Q891" s="15" t="n">
        <v>-0.0181590302862728</v>
      </c>
      <c r="R891" s="15" t="n">
        <v>-0.319496395458935</v>
      </c>
      <c r="S891" s="17" t="b">
        <f aca="false">FALSE()</f>
        <v>0</v>
      </c>
    </row>
    <row r="892" customFormat="false" ht="15" hidden="false" customHeight="true" outlineLevel="0" collapsed="false">
      <c r="A892" s="12" t="n">
        <v>42528</v>
      </c>
      <c r="B892" s="13" t="n">
        <v>70441.9074122394</v>
      </c>
      <c r="C892" s="13" t="n">
        <v>60910.7484001802</v>
      </c>
      <c r="D892" s="13" t="n">
        <v>1675</v>
      </c>
      <c r="E892" s="14" t="n">
        <v>42.0548700968593</v>
      </c>
      <c r="F892" s="14" t="n">
        <v>36.3646259105554</v>
      </c>
      <c r="G892" s="13" t="n">
        <v>9531.15901205915</v>
      </c>
      <c r="H892" s="15" t="n">
        <v>0.135305237495643</v>
      </c>
      <c r="I892" s="15" t="n">
        <v>0.135305237495643</v>
      </c>
      <c r="J892" s="16" t="n">
        <v>2016</v>
      </c>
      <c r="K892" s="16" t="n">
        <v>6</v>
      </c>
      <c r="L892" s="16" t="n">
        <v>23</v>
      </c>
      <c r="M892" s="16" t="s">
        <v>33</v>
      </c>
      <c r="N892" s="17" t="b">
        <f aca="false">FALSE()</f>
        <v>0</v>
      </c>
      <c r="O892" s="14" t="n">
        <v>34.3334129012272</v>
      </c>
      <c r="P892" s="13" t="n">
        <v>7872.28571428572</v>
      </c>
      <c r="Q892" s="15" t="n">
        <v>0.224896290323532</v>
      </c>
      <c r="R892" s="15" t="n">
        <v>-0.78722825100715</v>
      </c>
      <c r="S892" s="17" t="b">
        <f aca="false">FALSE()</f>
        <v>0</v>
      </c>
    </row>
    <row r="893" customFormat="false" ht="15" hidden="false" customHeight="true" outlineLevel="0" collapsed="false">
      <c r="A893" s="12" t="n">
        <v>42529</v>
      </c>
      <c r="B893" s="13" t="n">
        <v>162923.8495807</v>
      </c>
      <c r="C893" s="13" t="n">
        <v>173292.681134454</v>
      </c>
      <c r="D893" s="13" t="n">
        <v>4765</v>
      </c>
      <c r="E893" s="14" t="n">
        <v>34.1917837525079</v>
      </c>
      <c r="F893" s="14" t="n">
        <v>36.3678239526661</v>
      </c>
      <c r="G893" s="13" t="n">
        <v>-10368.831553754</v>
      </c>
      <c r="H893" s="15" t="n">
        <v>-0.0636421959120112</v>
      </c>
      <c r="I893" s="15" t="n">
        <v>-0.0636421959120113</v>
      </c>
      <c r="J893" s="16" t="n">
        <v>2016</v>
      </c>
      <c r="K893" s="16" t="n">
        <v>6</v>
      </c>
      <c r="L893" s="16" t="n">
        <v>23</v>
      </c>
      <c r="M893" s="16" t="s">
        <v>34</v>
      </c>
      <c r="N893" s="17" t="b">
        <f aca="false">FALSE()</f>
        <v>0</v>
      </c>
      <c r="O893" s="14" t="n">
        <v>34.8312867972563</v>
      </c>
      <c r="P893" s="13" t="n">
        <v>7761.64285714286</v>
      </c>
      <c r="Q893" s="15" t="n">
        <v>-0.0183600177757062</v>
      </c>
      <c r="R893" s="15" t="n">
        <v>-0.386083579507284</v>
      </c>
      <c r="S893" s="17" t="b">
        <f aca="false">FALSE()</f>
        <v>0</v>
      </c>
    </row>
    <row r="894" customFormat="false" ht="15" hidden="false" customHeight="true" outlineLevel="0" collapsed="false">
      <c r="A894" s="12" t="n">
        <v>42530</v>
      </c>
      <c r="B894" s="13" t="n">
        <v>138752.527609768</v>
      </c>
      <c r="C894" s="13" t="n">
        <v>143791.478082016</v>
      </c>
      <c r="D894" s="13" t="n">
        <v>3953</v>
      </c>
      <c r="E894" s="14" t="n">
        <v>35.1005635238471</v>
      </c>
      <c r="F894" s="14" t="n">
        <v>36.3752790493337</v>
      </c>
      <c r="G894" s="13" t="n">
        <v>-5038.95047224866</v>
      </c>
      <c r="H894" s="15" t="n">
        <v>-0.0363160985897164</v>
      </c>
      <c r="I894" s="15" t="n">
        <v>-0.0363160985897164</v>
      </c>
      <c r="J894" s="16" t="n">
        <v>2016</v>
      </c>
      <c r="K894" s="16" t="n">
        <v>6</v>
      </c>
      <c r="L894" s="16" t="n">
        <v>23</v>
      </c>
      <c r="M894" s="16" t="s">
        <v>35</v>
      </c>
      <c r="N894" s="17" t="b">
        <f aca="false">FALSE()</f>
        <v>0</v>
      </c>
      <c r="O894" s="14" t="n">
        <v>34.8221974636616</v>
      </c>
      <c r="P894" s="13" t="n">
        <v>7574</v>
      </c>
      <c r="Q894" s="15" t="n">
        <v>0.00799392572729031</v>
      </c>
      <c r="R894" s="15" t="n">
        <v>-0.478082915236335</v>
      </c>
      <c r="S894" s="17" t="b">
        <f aca="false">FALSE()</f>
        <v>0</v>
      </c>
    </row>
    <row r="895" customFormat="false" ht="15" hidden="false" customHeight="true" outlineLevel="0" collapsed="false">
      <c r="A895" s="12" t="n">
        <v>42531</v>
      </c>
      <c r="B895" s="13" t="n">
        <v>252458.262230489</v>
      </c>
      <c r="C895" s="13" t="n">
        <v>261502.381778564</v>
      </c>
      <c r="D895" s="13" t="n">
        <v>7190</v>
      </c>
      <c r="E895" s="14" t="n">
        <v>35.1124147747551</v>
      </c>
      <c r="F895" s="14" t="n">
        <v>36.3702895380479</v>
      </c>
      <c r="G895" s="13" t="n">
        <v>-9044.11954807519</v>
      </c>
      <c r="H895" s="15" t="n">
        <v>-0.0358242169147869</v>
      </c>
      <c r="I895" s="15" t="n">
        <v>-0.035824216914787</v>
      </c>
      <c r="J895" s="16" t="n">
        <v>2016</v>
      </c>
      <c r="K895" s="16" t="n">
        <v>6</v>
      </c>
      <c r="L895" s="16" t="n">
        <v>23</v>
      </c>
      <c r="M895" s="16" t="s">
        <v>36</v>
      </c>
      <c r="N895" s="17" t="b">
        <f aca="false">FALSE()</f>
        <v>0</v>
      </c>
      <c r="O895" s="14" t="n">
        <v>34.8820350906845</v>
      </c>
      <c r="P895" s="13" t="n">
        <v>7417.92857142857</v>
      </c>
      <c r="Q895" s="15" t="n">
        <v>0.00660453679011596</v>
      </c>
      <c r="R895" s="15" t="n">
        <v>-0.0307267142348172</v>
      </c>
      <c r="S895" s="17" t="b">
        <f aca="false">FALSE()</f>
        <v>0</v>
      </c>
    </row>
    <row r="896" customFormat="false" ht="15" hidden="false" customHeight="true" outlineLevel="0" collapsed="false">
      <c r="A896" s="12" t="n">
        <v>42532</v>
      </c>
      <c r="B896" s="13" t="n">
        <v>293917.852481117</v>
      </c>
      <c r="C896" s="13" t="n">
        <v>311853.520534736</v>
      </c>
      <c r="D896" s="13" t="n">
        <v>8577</v>
      </c>
      <c r="E896" s="14" t="n">
        <v>34.2681418306071</v>
      </c>
      <c r="F896" s="14" t="n">
        <v>36.3592771988732</v>
      </c>
      <c r="G896" s="13" t="n">
        <v>-17935.6680536188</v>
      </c>
      <c r="H896" s="15" t="n">
        <v>-0.0610227242143144</v>
      </c>
      <c r="I896" s="15" t="n">
        <v>-0.0610227242143143</v>
      </c>
      <c r="J896" s="16" t="n">
        <v>2016</v>
      </c>
      <c r="K896" s="16" t="n">
        <v>6</v>
      </c>
      <c r="L896" s="16" t="n">
        <v>23</v>
      </c>
      <c r="M896" s="16" t="s">
        <v>37</v>
      </c>
      <c r="N896" s="17" t="b">
        <f aca="false">TRUE()</f>
        <v>1</v>
      </c>
      <c r="O896" s="14" t="n">
        <v>34.9421877791195</v>
      </c>
      <c r="P896" s="13" t="n">
        <v>7172.64285714286</v>
      </c>
      <c r="Q896" s="15" t="n">
        <v>-0.0192903189912798</v>
      </c>
      <c r="R896" s="15" t="n">
        <v>0.195793540934304</v>
      </c>
      <c r="S896" s="17" t="b">
        <f aca="false">FALSE()</f>
        <v>0</v>
      </c>
    </row>
    <row r="897" customFormat="false" ht="15" hidden="false" customHeight="true" outlineLevel="0" collapsed="false">
      <c r="A897" s="12" t="n">
        <v>42533</v>
      </c>
      <c r="B897" s="13" t="n">
        <v>138350.121828475</v>
      </c>
      <c r="C897" s="13" t="n">
        <v>143346.674606024</v>
      </c>
      <c r="D897" s="13" t="n">
        <v>3943</v>
      </c>
      <c r="E897" s="14" t="n">
        <v>35.0875277272318</v>
      </c>
      <c r="F897" s="14" t="n">
        <v>36.3547234608228</v>
      </c>
      <c r="G897" s="13" t="n">
        <v>-4996.55277754911</v>
      </c>
      <c r="H897" s="15" t="n">
        <v>-0.0361152755885808</v>
      </c>
      <c r="I897" s="15" t="n">
        <v>-0.0361152755885807</v>
      </c>
      <c r="J897" s="16" t="n">
        <v>2016</v>
      </c>
      <c r="K897" s="16" t="n">
        <v>6</v>
      </c>
      <c r="L897" s="16" t="n">
        <v>23</v>
      </c>
      <c r="M897" s="16" t="s">
        <v>38</v>
      </c>
      <c r="N897" s="17" t="b">
        <f aca="false">TRUE()</f>
        <v>1</v>
      </c>
      <c r="O897" s="14" t="n">
        <v>34.9402612065952</v>
      </c>
      <c r="P897" s="13" t="n">
        <v>6957.42857142857</v>
      </c>
      <c r="Q897" s="15" t="n">
        <v>0.00421480880654709</v>
      </c>
      <c r="R897" s="15" t="n">
        <v>-0.433267627612829</v>
      </c>
      <c r="S897" s="17" t="b">
        <f aca="false">FALSE()</f>
        <v>0</v>
      </c>
    </row>
    <row r="898" customFormat="false" ht="15" hidden="false" customHeight="true" outlineLevel="0" collapsed="false">
      <c r="A898" s="12" t="n">
        <v>42534</v>
      </c>
      <c r="B898" s="13" t="n">
        <v>130067.275564196</v>
      </c>
      <c r="C898" s="13" t="n">
        <v>134950.56648943</v>
      </c>
      <c r="D898" s="13" t="n">
        <v>3707</v>
      </c>
      <c r="E898" s="14" t="n">
        <v>35.0869370283778</v>
      </c>
      <c r="F898" s="14" t="n">
        <v>36.4042531668276</v>
      </c>
      <c r="G898" s="13" t="n">
        <v>-4883.2909252337</v>
      </c>
      <c r="H898" s="15" t="n">
        <v>-0.0375443469854451</v>
      </c>
      <c r="I898" s="15" t="n">
        <v>-0.0375443469854451</v>
      </c>
      <c r="J898" s="16" t="n">
        <v>2016</v>
      </c>
      <c r="K898" s="16" t="n">
        <v>6</v>
      </c>
      <c r="L898" s="16" t="n">
        <v>24</v>
      </c>
      <c r="M898" s="16" t="s">
        <v>32</v>
      </c>
      <c r="N898" s="17" t="b">
        <f aca="false">FALSE()</f>
        <v>0</v>
      </c>
      <c r="O898" s="14" t="n">
        <v>35.0008945938992</v>
      </c>
      <c r="P898" s="13" t="n">
        <v>6813.42857142857</v>
      </c>
      <c r="Q898" s="15" t="n">
        <v>0.00245829243728952</v>
      </c>
      <c r="R898" s="15" t="n">
        <v>-0.455927370319118</v>
      </c>
      <c r="S898" s="17" t="b">
        <f aca="false">FALSE()</f>
        <v>0</v>
      </c>
    </row>
    <row r="899" customFormat="false" ht="15" hidden="false" customHeight="true" outlineLevel="0" collapsed="false">
      <c r="A899" s="12" t="n">
        <v>42535</v>
      </c>
      <c r="B899" s="13" t="n">
        <v>107168.661076499</v>
      </c>
      <c r="C899" s="13" t="n">
        <v>111173.158478465</v>
      </c>
      <c r="D899" s="13" t="n">
        <v>3054</v>
      </c>
      <c r="E899" s="14" t="n">
        <v>35.0912446222984</v>
      </c>
      <c r="F899" s="14" t="n">
        <v>36.4024749438328</v>
      </c>
      <c r="G899" s="13" t="n">
        <v>-4004.49740196581</v>
      </c>
      <c r="H899" s="15" t="n">
        <v>-0.0373663099057224</v>
      </c>
      <c r="I899" s="15" t="n">
        <v>-0.0373663099057224</v>
      </c>
      <c r="J899" s="16" t="n">
        <v>2016</v>
      </c>
      <c r="K899" s="16" t="n">
        <v>6</v>
      </c>
      <c r="L899" s="16" t="n">
        <v>24</v>
      </c>
      <c r="M899" s="16" t="s">
        <v>33</v>
      </c>
      <c r="N899" s="17" t="b">
        <f aca="false">FALSE()</f>
        <v>0</v>
      </c>
      <c r="O899" s="14" t="n">
        <v>35.0620351160973</v>
      </c>
      <c r="P899" s="13" t="n">
        <v>6717.64285714286</v>
      </c>
      <c r="Q899" s="15" t="n">
        <v>0.000833080741160675</v>
      </c>
      <c r="R899" s="15" t="n">
        <v>-0.54537624804619</v>
      </c>
      <c r="S899" s="17" t="b">
        <f aca="false">FALSE()</f>
        <v>0</v>
      </c>
    </row>
    <row r="900" customFormat="false" ht="15" hidden="false" customHeight="true" outlineLevel="0" collapsed="false">
      <c r="A900" s="12" t="n">
        <v>42536</v>
      </c>
      <c r="B900" s="13" t="n">
        <v>224030.554448086</v>
      </c>
      <c r="C900" s="13" t="n">
        <v>237934.734150633</v>
      </c>
      <c r="D900" s="13" t="n">
        <v>6541</v>
      </c>
      <c r="E900" s="14" t="n">
        <v>34.2501994264006</v>
      </c>
      <c r="F900" s="14" t="n">
        <v>36.3758957576262</v>
      </c>
      <c r="G900" s="13" t="n">
        <v>-13904.1797025468</v>
      </c>
      <c r="H900" s="15" t="n">
        <v>-0.0620637650824041</v>
      </c>
      <c r="I900" s="15" t="n">
        <v>-0.0620637650824041</v>
      </c>
      <c r="J900" s="16" t="n">
        <v>2016</v>
      </c>
      <c r="K900" s="16" t="n">
        <v>6</v>
      </c>
      <c r="L900" s="16" t="n">
        <v>24</v>
      </c>
      <c r="M900" s="16" t="s">
        <v>34</v>
      </c>
      <c r="N900" s="17" t="b">
        <f aca="false">FALSE()</f>
        <v>0</v>
      </c>
      <c r="O900" s="14" t="n">
        <v>35.115900260159</v>
      </c>
      <c r="P900" s="13" t="n">
        <v>6397.07142857143</v>
      </c>
      <c r="Q900" s="15" t="n">
        <v>-0.0246526737843779</v>
      </c>
      <c r="R900" s="15" t="n">
        <v>0.0224991346486674</v>
      </c>
      <c r="S900" s="17" t="b">
        <f aca="false">FALSE()</f>
        <v>0</v>
      </c>
    </row>
    <row r="901" customFormat="false" ht="15" hidden="false" customHeight="true" outlineLevel="0" collapsed="false">
      <c r="A901" s="12" t="n">
        <v>42537</v>
      </c>
      <c r="B901" s="13" t="n">
        <v>201918.222072744</v>
      </c>
      <c r="C901" s="13" t="n">
        <v>209095.569741377</v>
      </c>
      <c r="D901" s="13" t="n">
        <v>5749</v>
      </c>
      <c r="E901" s="14" t="n">
        <v>35.1223207640884</v>
      </c>
      <c r="F901" s="14" t="n">
        <v>36.3707722632418</v>
      </c>
      <c r="G901" s="13" t="n">
        <v>-7177.34766863292</v>
      </c>
      <c r="H901" s="15" t="n">
        <v>-0.0355458145132002</v>
      </c>
      <c r="I901" s="15" t="n">
        <v>-0.0355458145132002</v>
      </c>
      <c r="J901" s="16" t="n">
        <v>2016</v>
      </c>
      <c r="K901" s="16" t="n">
        <v>6</v>
      </c>
      <c r="L901" s="16" t="n">
        <v>24</v>
      </c>
      <c r="M901" s="16" t="s">
        <v>35</v>
      </c>
      <c r="N901" s="17" t="b">
        <f aca="false">FALSE()</f>
        <v>0</v>
      </c>
      <c r="O901" s="14" t="n">
        <v>35.114418875035</v>
      </c>
      <c r="P901" s="13" t="n">
        <v>6095.64285714286</v>
      </c>
      <c r="Q901" s="15" t="n">
        <v>0.000225032602175688</v>
      </c>
      <c r="R901" s="15" t="n">
        <v>-0.0568673174047036</v>
      </c>
      <c r="S901" s="17" t="b">
        <f aca="false">FALSE()</f>
        <v>0</v>
      </c>
    </row>
    <row r="902" customFormat="false" ht="15" hidden="false" customHeight="true" outlineLevel="0" collapsed="false">
      <c r="A902" s="12" t="n">
        <v>42538</v>
      </c>
      <c r="B902" s="13" t="n">
        <v>329344.268303161</v>
      </c>
      <c r="C902" s="13" t="n">
        <v>341253.329634991</v>
      </c>
      <c r="D902" s="13" t="n">
        <v>9385</v>
      </c>
      <c r="E902" s="14" t="n">
        <v>35.0926231543059</v>
      </c>
      <c r="F902" s="14" t="n">
        <v>36.3615694869463</v>
      </c>
      <c r="G902" s="13" t="n">
        <v>-11909.0613318301</v>
      </c>
      <c r="H902" s="15" t="n">
        <v>-0.0361599167739814</v>
      </c>
      <c r="I902" s="15" t="n">
        <v>-0.0361599167739814</v>
      </c>
      <c r="J902" s="16" t="n">
        <v>2016</v>
      </c>
      <c r="K902" s="16" t="n">
        <v>6</v>
      </c>
      <c r="L902" s="16" t="n">
        <v>24</v>
      </c>
      <c r="M902" s="16" t="s">
        <v>36</v>
      </c>
      <c r="N902" s="17" t="b">
        <f aca="false">FALSE()</f>
        <v>0</v>
      </c>
      <c r="O902" s="14" t="n">
        <v>35.1770671687996</v>
      </c>
      <c r="P902" s="13" t="n">
        <v>5926.28571428572</v>
      </c>
      <c r="Q902" s="15" t="n">
        <v>-0.00240054163948335</v>
      </c>
      <c r="R902" s="15" t="n">
        <v>0.58362260148491</v>
      </c>
      <c r="S902" s="17" t="b">
        <f aca="false">FALSE()</f>
        <v>0</v>
      </c>
    </row>
    <row r="903" customFormat="false" ht="15" hidden="false" customHeight="true" outlineLevel="0" collapsed="false">
      <c r="A903" s="12" t="n">
        <v>42539</v>
      </c>
      <c r="B903" s="13" t="n">
        <v>308642.977224082</v>
      </c>
      <c r="C903" s="13" t="n">
        <v>327672.041484041</v>
      </c>
      <c r="D903" s="13" t="n">
        <v>9012</v>
      </c>
      <c r="E903" s="14" t="n">
        <v>34.248000135828</v>
      </c>
      <c r="F903" s="14" t="n">
        <v>36.3595252423481</v>
      </c>
      <c r="G903" s="13" t="n">
        <v>-19029.0642599596</v>
      </c>
      <c r="H903" s="15" t="n">
        <v>-0.0616539680607864</v>
      </c>
      <c r="I903" s="15" t="n">
        <v>-0.0616539680607864</v>
      </c>
      <c r="J903" s="16" t="n">
        <v>2016</v>
      </c>
      <c r="K903" s="16" t="n">
        <v>6</v>
      </c>
      <c r="L903" s="16" t="n">
        <v>24</v>
      </c>
      <c r="M903" s="16" t="s">
        <v>37</v>
      </c>
      <c r="N903" s="17" t="b">
        <f aca="false">TRUE()</f>
        <v>1</v>
      </c>
      <c r="O903" s="14" t="n">
        <v>35.2321978842003</v>
      </c>
      <c r="P903" s="13" t="n">
        <v>5818.35714285714</v>
      </c>
      <c r="Q903" s="15" t="n">
        <v>-0.0279346111646828</v>
      </c>
      <c r="R903" s="15" t="n">
        <v>0.548890825834489</v>
      </c>
      <c r="S903" s="17" t="b">
        <f aca="false">FALSE()</f>
        <v>0</v>
      </c>
    </row>
    <row r="904" customFormat="false" ht="15" hidden="false" customHeight="true" outlineLevel="0" collapsed="false">
      <c r="A904" s="12" t="n">
        <v>42540</v>
      </c>
      <c r="B904" s="13" t="n">
        <v>134472.406628276</v>
      </c>
      <c r="C904" s="13" t="n">
        <v>139385.876176807</v>
      </c>
      <c r="D904" s="13" t="n">
        <v>3831</v>
      </c>
      <c r="E904" s="14" t="n">
        <v>35.1011241525128</v>
      </c>
      <c r="F904" s="14" t="n">
        <v>36.3836795032126</v>
      </c>
      <c r="G904" s="13" t="n">
        <v>-4913.46954853105</v>
      </c>
      <c r="H904" s="15" t="n">
        <v>-0.0365388682461333</v>
      </c>
      <c r="I904" s="15" t="n">
        <v>-0.0365388682461333</v>
      </c>
      <c r="J904" s="16" t="n">
        <v>2016</v>
      </c>
      <c r="K904" s="16" t="n">
        <v>6</v>
      </c>
      <c r="L904" s="16" t="n">
        <v>24</v>
      </c>
      <c r="M904" s="16" t="s">
        <v>38</v>
      </c>
      <c r="N904" s="17" t="b">
        <f aca="false">TRUE()</f>
        <v>1</v>
      </c>
      <c r="O904" s="14" t="n">
        <v>35.2293641125097</v>
      </c>
      <c r="P904" s="13" t="n">
        <v>5624.5</v>
      </c>
      <c r="Q904" s="15" t="n">
        <v>-0.00364014404538728</v>
      </c>
      <c r="R904" s="15" t="n">
        <v>-0.318872788692328</v>
      </c>
      <c r="S904" s="17" t="b">
        <f aca="false">FALSE()</f>
        <v>0</v>
      </c>
    </row>
    <row r="905" customFormat="false" ht="15" hidden="false" customHeight="true" outlineLevel="0" collapsed="false">
      <c r="A905" s="12" t="n">
        <v>42541</v>
      </c>
      <c r="B905" s="13" t="n">
        <v>143809.720583966</v>
      </c>
      <c r="C905" s="13" t="n">
        <v>148953.910853215</v>
      </c>
      <c r="D905" s="13" t="n">
        <v>4097</v>
      </c>
      <c r="E905" s="14" t="n">
        <v>35.1012254293303</v>
      </c>
      <c r="F905" s="14" t="n">
        <v>36.3568247139895</v>
      </c>
      <c r="G905" s="13" t="n">
        <v>-5144.19026924853</v>
      </c>
      <c r="H905" s="15" t="n">
        <v>-0.035770810542984</v>
      </c>
      <c r="I905" s="15" t="n">
        <v>-0.035770810542984</v>
      </c>
      <c r="J905" s="16" t="n">
        <v>2016</v>
      </c>
      <c r="K905" s="16" t="n">
        <v>6</v>
      </c>
      <c r="L905" s="16" t="n">
        <v>25</v>
      </c>
      <c r="M905" s="16" t="s">
        <v>32</v>
      </c>
      <c r="N905" s="17" t="b">
        <f aca="false">FALSE()</f>
        <v>0</v>
      </c>
      <c r="O905" s="14" t="n">
        <v>35.2904000414061</v>
      </c>
      <c r="P905" s="13" t="n">
        <v>5469.07142857143</v>
      </c>
      <c r="Q905" s="15" t="n">
        <v>-0.00536051197645199</v>
      </c>
      <c r="R905" s="15" t="n">
        <v>-0.250878315723484</v>
      </c>
      <c r="S905" s="17" t="b">
        <f aca="false">FALSE()</f>
        <v>0</v>
      </c>
    </row>
    <row r="906" customFormat="false" ht="15" hidden="false" customHeight="true" outlineLevel="0" collapsed="false">
      <c r="A906" s="12" t="n">
        <v>42542</v>
      </c>
      <c r="B906" s="13" t="n">
        <v>123252.151055848</v>
      </c>
      <c r="C906" s="13" t="n">
        <v>127533.009276503</v>
      </c>
      <c r="D906" s="13" t="n">
        <v>3509</v>
      </c>
      <c r="E906" s="14" t="n">
        <v>35.1245799532196</v>
      </c>
      <c r="F906" s="14" t="n">
        <v>36.3445452483623</v>
      </c>
      <c r="G906" s="13" t="n">
        <v>-4280.85822065563</v>
      </c>
      <c r="H906" s="15" t="n">
        <v>-0.0347325234000655</v>
      </c>
      <c r="I906" s="15" t="n">
        <v>-0.0347325234000653</v>
      </c>
      <c r="J906" s="16" t="n">
        <v>2016</v>
      </c>
      <c r="K906" s="16" t="n">
        <v>6</v>
      </c>
      <c r="L906" s="16" t="n">
        <v>25</v>
      </c>
      <c r="M906" s="16" t="s">
        <v>33</v>
      </c>
      <c r="N906" s="17" t="b">
        <f aca="false">FALSE()</f>
        <v>0</v>
      </c>
      <c r="O906" s="14" t="n">
        <v>35.3506411727822</v>
      </c>
      <c r="P906" s="13" t="n">
        <v>5391.35714285714</v>
      </c>
      <c r="Q906" s="15" t="n">
        <v>-0.00639482657351707</v>
      </c>
      <c r="R906" s="15" t="n">
        <v>-0.349143470369242</v>
      </c>
      <c r="S906" s="17" t="b">
        <f aca="false">FALSE()</f>
        <v>0</v>
      </c>
    </row>
    <row r="907" customFormat="false" ht="15" hidden="false" customHeight="true" outlineLevel="0" collapsed="false">
      <c r="A907" s="12" t="n">
        <v>42543</v>
      </c>
      <c r="B907" s="13" t="n">
        <v>40067.1512118602</v>
      </c>
      <c r="C907" s="13" t="n">
        <v>34559.0845226275</v>
      </c>
      <c r="D907" s="13" t="n">
        <v>953</v>
      </c>
      <c r="E907" s="14" t="n">
        <v>42.043180704995</v>
      </c>
      <c r="F907" s="14" t="n">
        <v>36.2634674948872</v>
      </c>
      <c r="G907" s="13" t="n">
        <v>5508.06668923271</v>
      </c>
      <c r="H907" s="15" t="n">
        <v>0.137470883819718</v>
      </c>
      <c r="I907" s="15" t="n">
        <v>0.137470883819718</v>
      </c>
      <c r="J907" s="16" t="n">
        <v>2016</v>
      </c>
      <c r="K907" s="16" t="n">
        <v>6</v>
      </c>
      <c r="L907" s="16" t="n">
        <v>25</v>
      </c>
      <c r="M907" s="16" t="s">
        <v>34</v>
      </c>
      <c r="N907" s="17" t="b">
        <f aca="false">FALSE()</f>
        <v>0</v>
      </c>
      <c r="O907" s="14" t="n">
        <v>34.8556204482365</v>
      </c>
      <c r="P907" s="13" t="n">
        <v>5522.35714285714</v>
      </c>
      <c r="Q907" s="15" t="n">
        <v>0.206209505506656</v>
      </c>
      <c r="R907" s="15" t="n">
        <v>-0.827428763597325</v>
      </c>
      <c r="S907" s="17" t="b">
        <f aca="false">FALSE()</f>
        <v>0</v>
      </c>
    </row>
    <row r="908" customFormat="false" ht="15" hidden="false" customHeight="true" outlineLevel="0" collapsed="false">
      <c r="A908" s="12" t="n">
        <v>42544</v>
      </c>
      <c r="B908" s="13" t="n">
        <v>143752.736760649</v>
      </c>
      <c r="C908" s="13" t="n">
        <v>155659.533743735</v>
      </c>
      <c r="D908" s="13" t="n">
        <v>4305</v>
      </c>
      <c r="E908" s="14" t="n">
        <v>33.3920410593842</v>
      </c>
      <c r="F908" s="14" t="n">
        <v>36.1578475595202</v>
      </c>
      <c r="G908" s="13" t="n">
        <v>-11906.7969830858</v>
      </c>
      <c r="H908" s="15" t="n">
        <v>-0.082828315143042</v>
      </c>
      <c r="I908" s="15" t="n">
        <v>-0.0828283151430419</v>
      </c>
      <c r="J908" s="16" t="n">
        <v>2016</v>
      </c>
      <c r="K908" s="16" t="n">
        <v>6</v>
      </c>
      <c r="L908" s="16" t="n">
        <v>25</v>
      </c>
      <c r="M908" s="16" t="s">
        <v>35</v>
      </c>
      <c r="N908" s="17" t="b">
        <f aca="false">FALSE()</f>
        <v>0</v>
      </c>
      <c r="O908" s="14" t="n">
        <v>35.4164345162713</v>
      </c>
      <c r="P908" s="13" t="n">
        <v>5250.07142857143</v>
      </c>
      <c r="Q908" s="15" t="n">
        <v>-0.0571597193375596</v>
      </c>
      <c r="R908" s="15" t="n">
        <v>-0.180011156310799</v>
      </c>
      <c r="S908" s="17" t="b">
        <f aca="false">FALSE()</f>
        <v>0</v>
      </c>
    </row>
    <row r="909" customFormat="false" ht="15" hidden="false" customHeight="true" outlineLevel="0" collapsed="false">
      <c r="A909" s="12" t="n">
        <v>42545</v>
      </c>
      <c r="B909" s="13" t="n">
        <v>389904.008554663</v>
      </c>
      <c r="C909" s="13" t="n">
        <v>422372.5815807</v>
      </c>
      <c r="D909" s="13" t="n">
        <v>11667</v>
      </c>
      <c r="E909" s="14" t="n">
        <v>33.4193887507211</v>
      </c>
      <c r="F909" s="14" t="n">
        <v>36.2023297832091</v>
      </c>
      <c r="G909" s="13" t="n">
        <v>-32468.5730260377</v>
      </c>
      <c r="H909" s="15" t="n">
        <v>-0.0832732475523799</v>
      </c>
      <c r="I909" s="15" t="n">
        <v>-0.0832732475523798</v>
      </c>
      <c r="J909" s="16" t="n">
        <v>2016</v>
      </c>
      <c r="K909" s="16" t="n">
        <v>6</v>
      </c>
      <c r="L909" s="16" t="n">
        <v>25</v>
      </c>
      <c r="M909" s="16" t="s">
        <v>36</v>
      </c>
      <c r="N909" s="17" t="b">
        <f aca="false">FALSE()</f>
        <v>0</v>
      </c>
      <c r="O909" s="14" t="n">
        <v>35.2943971973811</v>
      </c>
      <c r="P909" s="13" t="n">
        <v>5275.21428571429</v>
      </c>
      <c r="Q909" s="15" t="n">
        <v>-0.0531248185419959</v>
      </c>
      <c r="R909" s="15" t="n">
        <v>1.21166371034352</v>
      </c>
      <c r="S909" s="17" t="b">
        <f aca="false">TRUE()</f>
        <v>1</v>
      </c>
    </row>
    <row r="910" customFormat="false" ht="15" hidden="false" customHeight="true" outlineLevel="0" collapsed="false">
      <c r="A910" s="12" t="n">
        <v>42546</v>
      </c>
      <c r="B910" s="13" t="n">
        <v>461280.785582774</v>
      </c>
      <c r="C910" s="13" t="n">
        <v>498910.329020544</v>
      </c>
      <c r="D910" s="13" t="n">
        <v>13793</v>
      </c>
      <c r="E910" s="14" t="n">
        <v>33.4431077780595</v>
      </c>
      <c r="F910" s="14" t="n">
        <v>36.1712701385155</v>
      </c>
      <c r="G910" s="13" t="n">
        <v>-37629.5434377694</v>
      </c>
      <c r="H910" s="15" t="n">
        <v>-0.0815762212818574</v>
      </c>
      <c r="I910" s="15" t="n">
        <v>-0.0815762212818573</v>
      </c>
      <c r="J910" s="16" t="n">
        <v>2016</v>
      </c>
      <c r="K910" s="16" t="n">
        <v>6</v>
      </c>
      <c r="L910" s="16" t="n">
        <v>25</v>
      </c>
      <c r="M910" s="16" t="s">
        <v>37</v>
      </c>
      <c r="N910" s="17" t="b">
        <f aca="false">TRUE()</f>
        <v>1</v>
      </c>
      <c r="O910" s="14" t="n">
        <v>35.1734667670929</v>
      </c>
      <c r="P910" s="13" t="n">
        <v>5595</v>
      </c>
      <c r="Q910" s="15" t="n">
        <v>-0.0491950082854016</v>
      </c>
      <c r="R910" s="15" t="n">
        <v>1.46523681858803</v>
      </c>
      <c r="S910" s="17" t="b">
        <f aca="false">FALSE()</f>
        <v>0</v>
      </c>
    </row>
    <row r="911" customFormat="false" ht="15" hidden="false" customHeight="true" outlineLevel="0" collapsed="false">
      <c r="A911" s="12" t="n">
        <v>42547</v>
      </c>
      <c r="B911" s="13" t="n">
        <v>221578.696823561</v>
      </c>
      <c r="C911" s="13" t="n">
        <v>240449.622291522</v>
      </c>
      <c r="D911" s="13" t="n">
        <v>6641</v>
      </c>
      <c r="E911" s="14" t="n">
        <v>33.3652607775277</v>
      </c>
      <c r="F911" s="14" t="n">
        <v>36.2068396764828</v>
      </c>
      <c r="G911" s="13" t="n">
        <v>-18870.9254679608</v>
      </c>
      <c r="H911" s="15" t="n">
        <v>-0.0851657931853772</v>
      </c>
      <c r="I911" s="15" t="n">
        <v>-0.0851657931853774</v>
      </c>
      <c r="J911" s="16" t="n">
        <v>2016</v>
      </c>
      <c r="K911" s="16" t="n">
        <v>6</v>
      </c>
      <c r="L911" s="16" t="n">
        <v>25</v>
      </c>
      <c r="M911" s="16" t="s">
        <v>38</v>
      </c>
      <c r="N911" s="17" t="b">
        <f aca="false">TRUE()</f>
        <v>1</v>
      </c>
      <c r="O911" s="14" t="n">
        <v>35.1145357633395</v>
      </c>
      <c r="P911" s="13" t="n">
        <v>5967.57142857143</v>
      </c>
      <c r="Q911" s="15" t="n">
        <v>-0.0498162640566112</v>
      </c>
      <c r="R911" s="15" t="n">
        <v>0.112848011873698</v>
      </c>
      <c r="S911" s="17" t="b">
        <f aca="false">FALSE()</f>
        <v>0</v>
      </c>
    </row>
    <row r="912" customFormat="false" ht="15" hidden="false" customHeight="true" outlineLevel="0" collapsed="false">
      <c r="A912" s="12" t="n">
        <v>42548</v>
      </c>
      <c r="B912" s="13" t="n">
        <v>253702.222976619</v>
      </c>
      <c r="C912" s="13" t="n">
        <v>274426.080277893</v>
      </c>
      <c r="D912" s="13" t="n">
        <v>7593</v>
      </c>
      <c r="E912" s="14" t="n">
        <v>33.4126462500486</v>
      </c>
      <c r="F912" s="14" t="n">
        <v>36.1419834423671</v>
      </c>
      <c r="G912" s="13" t="n">
        <v>-20723.8573012745</v>
      </c>
      <c r="H912" s="15" t="n">
        <v>-0.0816857537081352</v>
      </c>
      <c r="I912" s="15" t="n">
        <v>-0.0816857537081353</v>
      </c>
      <c r="J912" s="16" t="n">
        <v>2016</v>
      </c>
      <c r="K912" s="16" t="n">
        <v>6</v>
      </c>
      <c r="L912" s="16" t="n">
        <v>26</v>
      </c>
      <c r="M912" s="16" t="s">
        <v>32</v>
      </c>
      <c r="N912" s="17" t="b">
        <f aca="false">FALSE()</f>
        <v>0</v>
      </c>
      <c r="O912" s="14" t="n">
        <v>34.9915166955035</v>
      </c>
      <c r="P912" s="13" t="n">
        <v>6160.28571428572</v>
      </c>
      <c r="Q912" s="15" t="n">
        <v>-0.0451215207158433</v>
      </c>
      <c r="R912" s="15" t="n">
        <v>0.232572700709615</v>
      </c>
      <c r="S912" s="17" t="b">
        <f aca="false">FALSE()</f>
        <v>0</v>
      </c>
    </row>
    <row r="913" customFormat="false" ht="15" hidden="false" customHeight="true" outlineLevel="0" collapsed="false">
      <c r="A913" s="12" t="n">
        <v>42549</v>
      </c>
      <c r="B913" s="13" t="n">
        <v>200616.076183339</v>
      </c>
      <c r="C913" s="13" t="n">
        <v>217104.579715706</v>
      </c>
      <c r="D913" s="13" t="n">
        <v>6007</v>
      </c>
      <c r="E913" s="14" t="n">
        <v>33.3970494728382</v>
      </c>
      <c r="F913" s="14" t="n">
        <v>36.1419310330791</v>
      </c>
      <c r="G913" s="13" t="n">
        <v>-16488.5035323672</v>
      </c>
      <c r="H913" s="15" t="n">
        <v>-0.0821893431775562</v>
      </c>
      <c r="I913" s="15" t="n">
        <v>-0.0821893431775562</v>
      </c>
      <c r="J913" s="16" t="n">
        <v>2016</v>
      </c>
      <c r="K913" s="16" t="n">
        <v>6</v>
      </c>
      <c r="L913" s="16" t="n">
        <v>26</v>
      </c>
      <c r="M913" s="16" t="s">
        <v>33</v>
      </c>
      <c r="N913" s="17" t="b">
        <f aca="false">FALSE()</f>
        <v>0</v>
      </c>
      <c r="O913" s="14" t="n">
        <v>34.8719244970514</v>
      </c>
      <c r="P913" s="13" t="n">
        <v>6437.85714285714</v>
      </c>
      <c r="Q913" s="15" t="n">
        <v>-0.0422940530379376</v>
      </c>
      <c r="R913" s="15" t="n">
        <v>-0.0669255519804727</v>
      </c>
      <c r="S913" s="17" t="b">
        <f aca="false">FALSE()</f>
        <v>0</v>
      </c>
    </row>
    <row r="914" customFormat="false" ht="15" hidden="false" customHeight="true" outlineLevel="0" collapsed="false">
      <c r="A914" s="12" t="n">
        <v>42550</v>
      </c>
      <c r="B914" s="13" t="n">
        <v>211700.81315721</v>
      </c>
      <c r="C914" s="13" t="n">
        <v>229023.810739696</v>
      </c>
      <c r="D914" s="13" t="n">
        <v>6345</v>
      </c>
      <c r="E914" s="14" t="n">
        <v>33.3649823730828</v>
      </c>
      <c r="F914" s="14" t="n">
        <v>36.0951632371467</v>
      </c>
      <c r="G914" s="13" t="n">
        <v>-17322.9975824856</v>
      </c>
      <c r="H914" s="15" t="n">
        <v>-0.0818277328468337</v>
      </c>
      <c r="I914" s="15" t="n">
        <v>-0.0818277328468337</v>
      </c>
      <c r="J914" s="16" t="n">
        <v>2016</v>
      </c>
      <c r="K914" s="16" t="n">
        <v>6</v>
      </c>
      <c r="L914" s="16" t="n">
        <v>26</v>
      </c>
      <c r="M914" s="16" t="s">
        <v>34</v>
      </c>
      <c r="N914" s="17" t="b">
        <f aca="false">FALSE()</f>
        <v>0</v>
      </c>
      <c r="O914" s="14" t="n">
        <v>34.7509105578043</v>
      </c>
      <c r="P914" s="13" t="n">
        <v>6648.78571428572</v>
      </c>
      <c r="Q914" s="15" t="n">
        <v>-0.0398817804332395</v>
      </c>
      <c r="R914" s="15" t="n">
        <v>-0.0456904053371723</v>
      </c>
      <c r="S914" s="17" t="b">
        <f aca="false">FALSE()</f>
        <v>0</v>
      </c>
    </row>
    <row r="915" customFormat="false" ht="15" hidden="false" customHeight="true" outlineLevel="0" collapsed="false">
      <c r="A915" s="12" t="n">
        <v>42551</v>
      </c>
      <c r="B915" s="13" t="n">
        <v>282757.711444598</v>
      </c>
      <c r="C915" s="13" t="n">
        <v>305894.180094824</v>
      </c>
      <c r="D915" s="13" t="n">
        <v>8482</v>
      </c>
      <c r="E915" s="14" t="n">
        <v>33.3362074327514</v>
      </c>
      <c r="F915" s="14" t="n">
        <v>36.0639212561688</v>
      </c>
      <c r="G915" s="13" t="n">
        <v>-23136.4686502261</v>
      </c>
      <c r="H915" s="15" t="n">
        <v>-0.0818243595621948</v>
      </c>
      <c r="I915" s="15" t="n">
        <v>-0.0818243595621949</v>
      </c>
      <c r="J915" s="16" t="n">
        <v>2016</v>
      </c>
      <c r="K915" s="16" t="n">
        <v>6</v>
      </c>
      <c r="L915" s="16" t="n">
        <v>26</v>
      </c>
      <c r="M915" s="16" t="s">
        <v>35</v>
      </c>
      <c r="N915" s="17" t="b">
        <f aca="false">FALSE()</f>
        <v>0</v>
      </c>
      <c r="O915" s="14" t="n">
        <v>34.6876807682816</v>
      </c>
      <c r="P915" s="13" t="n">
        <v>6634.78571428572</v>
      </c>
      <c r="Q915" s="15" t="n">
        <v>-0.0389611904167983</v>
      </c>
      <c r="R915" s="15" t="n">
        <v>0.278413556256527</v>
      </c>
      <c r="S915" s="17" t="b">
        <f aca="false">FALSE()</f>
        <v>0</v>
      </c>
    </row>
    <row r="916" customFormat="false" ht="15" hidden="false" customHeight="true" outlineLevel="0" collapsed="false">
      <c r="A916" s="12" t="n">
        <v>42552</v>
      </c>
      <c r="B916" s="13" t="n">
        <v>479010.156707742</v>
      </c>
      <c r="C916" s="13" t="n">
        <v>517742.192597536</v>
      </c>
      <c r="D916" s="13" t="n">
        <v>14344</v>
      </c>
      <c r="E916" s="14" t="n">
        <v>33.3944615663512</v>
      </c>
      <c r="F916" s="14" t="n">
        <v>36.094687158222</v>
      </c>
      <c r="G916" s="13" t="n">
        <v>-38732.0358897944</v>
      </c>
      <c r="H916" s="15" t="n">
        <v>-0.0808584856655262</v>
      </c>
      <c r="I916" s="15" t="n">
        <v>-0.0808584856655262</v>
      </c>
      <c r="J916" s="16" t="n">
        <v>2016</v>
      </c>
      <c r="K916" s="16" t="n">
        <v>7</v>
      </c>
      <c r="L916" s="16" t="n">
        <v>26</v>
      </c>
      <c r="M916" s="16" t="s">
        <v>36</v>
      </c>
      <c r="N916" s="17" t="b">
        <f aca="false">FALSE()</f>
        <v>0</v>
      </c>
      <c r="O916" s="14" t="n">
        <v>34.5601012446146</v>
      </c>
      <c r="P916" s="13" t="n">
        <v>6830</v>
      </c>
      <c r="Q916" s="15" t="n">
        <v>-0.0337279011427968</v>
      </c>
      <c r="R916" s="15" t="n">
        <v>1.10014641288433</v>
      </c>
      <c r="S916" s="17" t="b">
        <f aca="false">FALSE()</f>
        <v>0</v>
      </c>
    </row>
    <row r="917" customFormat="false" ht="15" hidden="false" customHeight="true" outlineLevel="0" collapsed="false">
      <c r="A917" s="12" t="n">
        <v>42553</v>
      </c>
      <c r="B917" s="13" t="n">
        <v>454543.285758789</v>
      </c>
      <c r="C917" s="13" t="n">
        <v>490487.024649263</v>
      </c>
      <c r="D917" s="13" t="n">
        <v>13609</v>
      </c>
      <c r="E917" s="14" t="n">
        <v>33.4001973516636</v>
      </c>
      <c r="F917" s="14" t="n">
        <v>36.0413714930754</v>
      </c>
      <c r="G917" s="13" t="n">
        <v>-35943.7388904732</v>
      </c>
      <c r="H917" s="15" t="n">
        <v>-0.079076602859661</v>
      </c>
      <c r="I917" s="15" t="n">
        <v>-0.0790766028596611</v>
      </c>
      <c r="J917" s="16" t="n">
        <v>2016</v>
      </c>
      <c r="K917" s="16" t="n">
        <v>7</v>
      </c>
      <c r="L917" s="16" t="n">
        <v>26</v>
      </c>
      <c r="M917" s="16" t="s">
        <v>37</v>
      </c>
      <c r="N917" s="17" t="b">
        <f aca="false">TRUE()</f>
        <v>1</v>
      </c>
      <c r="O917" s="14" t="n">
        <v>34.4388039883322</v>
      </c>
      <c r="P917" s="13" t="n">
        <v>7184.21428571429</v>
      </c>
      <c r="Q917" s="15" t="n">
        <v>-0.030158034437563</v>
      </c>
      <c r="R917" s="15" t="n">
        <v>0.894292049036081</v>
      </c>
      <c r="S917" s="17" t="b">
        <f aca="false">FALSE()</f>
        <v>0</v>
      </c>
    </row>
    <row r="918" customFormat="false" ht="15" hidden="false" customHeight="true" outlineLevel="0" collapsed="false">
      <c r="A918" s="12" t="n">
        <v>42554</v>
      </c>
      <c r="B918" s="13" t="n">
        <v>242185.180702578</v>
      </c>
      <c r="C918" s="13" t="n">
        <v>261534.912039247</v>
      </c>
      <c r="D918" s="13" t="n">
        <v>7259</v>
      </c>
      <c r="E918" s="14" t="n">
        <v>33.3634358317368</v>
      </c>
      <c r="F918" s="14" t="n">
        <v>36.0290552471755</v>
      </c>
      <c r="G918" s="13" t="n">
        <v>-19349.7313366695</v>
      </c>
      <c r="H918" s="15" t="n">
        <v>-0.0798964299984666</v>
      </c>
      <c r="I918" s="15" t="n">
        <v>-0.0798964299984667</v>
      </c>
      <c r="J918" s="16" t="n">
        <v>2016</v>
      </c>
      <c r="K918" s="16" t="n">
        <v>7</v>
      </c>
      <c r="L918" s="16" t="n">
        <v>26</v>
      </c>
      <c r="M918" s="16" t="s">
        <v>38</v>
      </c>
      <c r="N918" s="17" t="b">
        <f aca="false">TRUE()</f>
        <v>1</v>
      </c>
      <c r="O918" s="14" t="n">
        <v>34.3782466466061</v>
      </c>
      <c r="P918" s="13" t="n">
        <v>7512.57142857143</v>
      </c>
      <c r="Q918" s="15" t="n">
        <v>-0.029518981154017</v>
      </c>
      <c r="R918" s="15" t="n">
        <v>-0.0337529474404807</v>
      </c>
      <c r="S918" s="17" t="b">
        <f aca="false">FALSE()</f>
        <v>0</v>
      </c>
    </row>
    <row r="919" customFormat="false" ht="15" hidden="false" customHeight="true" outlineLevel="0" collapsed="false">
      <c r="A919" s="12" t="n">
        <v>42555</v>
      </c>
      <c r="B919" s="13" t="n">
        <v>281531.685555979</v>
      </c>
      <c r="C919" s="13" t="n">
        <v>304052.476995267</v>
      </c>
      <c r="D919" s="13" t="n">
        <v>8431</v>
      </c>
      <c r="E919" s="14" t="n">
        <v>33.3924428366717</v>
      </c>
      <c r="F919" s="14" t="n">
        <v>36.063631478504</v>
      </c>
      <c r="G919" s="13" t="n">
        <v>-22520.7914392882</v>
      </c>
      <c r="H919" s="15" t="n">
        <v>-0.0799938074281526</v>
      </c>
      <c r="I919" s="15" t="n">
        <v>-0.0799938074281527</v>
      </c>
      <c r="J919" s="16" t="n">
        <v>2016</v>
      </c>
      <c r="K919" s="16" t="n">
        <v>7</v>
      </c>
      <c r="L919" s="16" t="n">
        <v>27</v>
      </c>
      <c r="M919" s="16" t="s">
        <v>32</v>
      </c>
      <c r="N919" s="17" t="b">
        <f aca="false">FALSE()</f>
        <v>0</v>
      </c>
      <c r="O919" s="14" t="n">
        <v>34.254126052265</v>
      </c>
      <c r="P919" s="13" t="n">
        <v>7757.42857142857</v>
      </c>
      <c r="Q919" s="15" t="n">
        <v>-0.0251556035695834</v>
      </c>
      <c r="R919" s="15" t="n">
        <v>0.0868292143935767</v>
      </c>
      <c r="S919" s="17" t="b">
        <f aca="false">FALSE()</f>
        <v>0</v>
      </c>
    </row>
    <row r="920" customFormat="false" ht="15" hidden="false" customHeight="true" outlineLevel="0" collapsed="false">
      <c r="A920" s="12" t="n">
        <v>42556</v>
      </c>
      <c r="B920" s="13" t="n">
        <v>219363.220135639</v>
      </c>
      <c r="C920" s="13" t="n">
        <v>237026.350540846</v>
      </c>
      <c r="D920" s="13" t="n">
        <v>6577</v>
      </c>
      <c r="E920" s="14" t="n">
        <v>33.3530819728811</v>
      </c>
      <c r="F920" s="14" t="n">
        <v>36.0386727293365</v>
      </c>
      <c r="G920" s="13" t="n">
        <v>-17663.1304052073</v>
      </c>
      <c r="H920" s="15" t="n">
        <v>-0.0805200178693842</v>
      </c>
      <c r="I920" s="15" t="n">
        <v>-0.0805200178693841</v>
      </c>
      <c r="J920" s="16" t="n">
        <v>2016</v>
      </c>
      <c r="K920" s="16" t="n">
        <v>7</v>
      </c>
      <c r="L920" s="16" t="n">
        <v>27</v>
      </c>
      <c r="M920" s="16" t="s">
        <v>33</v>
      </c>
      <c r="N920" s="17" t="b">
        <f aca="false">FALSE()</f>
        <v>0</v>
      </c>
      <c r="O920" s="14" t="n">
        <v>34.1320701527894</v>
      </c>
      <c r="P920" s="13" t="n">
        <v>8067</v>
      </c>
      <c r="Q920" s="15" t="n">
        <v>-0.0228227639408101</v>
      </c>
      <c r="R920" s="15" t="n">
        <v>-0.184703111441676</v>
      </c>
      <c r="S920" s="17" t="b">
        <f aca="false">FALSE()</f>
        <v>0</v>
      </c>
    </row>
    <row r="921" customFormat="false" ht="15" hidden="false" customHeight="true" outlineLevel="0" collapsed="false">
      <c r="A921" s="12" t="n">
        <v>42557</v>
      </c>
      <c r="B921" s="13" t="n">
        <v>204005.582234554</v>
      </c>
      <c r="C921" s="13" t="n">
        <v>219722.894950048</v>
      </c>
      <c r="D921" s="13" t="n">
        <v>6098</v>
      </c>
      <c r="E921" s="14" t="n">
        <v>33.45450676198</v>
      </c>
      <c r="F921" s="14" t="n">
        <v>36.0319604706539</v>
      </c>
      <c r="G921" s="13" t="n">
        <v>-15717.3127154938</v>
      </c>
      <c r="H921" s="15" t="n">
        <v>-0.0770435423547523</v>
      </c>
      <c r="I921" s="15" t="n">
        <v>-0.0770435423547522</v>
      </c>
      <c r="J921" s="16" t="n">
        <v>2016</v>
      </c>
      <c r="K921" s="16" t="n">
        <v>7</v>
      </c>
      <c r="L921" s="16" t="n">
        <v>27</v>
      </c>
      <c r="M921" s="16" t="s">
        <v>34</v>
      </c>
      <c r="N921" s="17" t="b">
        <f aca="false">FALSE()</f>
        <v>0</v>
      </c>
      <c r="O921" s="14" t="n">
        <v>34.0055345827652</v>
      </c>
      <c r="P921" s="13" t="n">
        <v>8286.14285714286</v>
      </c>
      <c r="Q921" s="15" t="n">
        <v>-0.0162040628840601</v>
      </c>
      <c r="R921" s="15" t="n">
        <v>-0.264072547971657</v>
      </c>
      <c r="S921" s="17" t="b">
        <f aca="false">FALSE()</f>
        <v>0</v>
      </c>
    </row>
    <row r="922" customFormat="false" ht="15" hidden="false" customHeight="true" outlineLevel="0" collapsed="false">
      <c r="A922" s="12" t="n">
        <v>42558</v>
      </c>
      <c r="B922" s="13" t="n">
        <v>69579.0684554698</v>
      </c>
      <c r="C922" s="13" t="n">
        <v>59598.9178001924</v>
      </c>
      <c r="D922" s="13" t="n">
        <v>1654</v>
      </c>
      <c r="E922" s="14" t="n">
        <v>42.0671514241051</v>
      </c>
      <c r="F922" s="14" t="n">
        <v>36.0332030230909</v>
      </c>
      <c r="G922" s="13" t="n">
        <v>9980.15065527737</v>
      </c>
      <c r="H922" s="15" t="n">
        <v>0.143436106243139</v>
      </c>
      <c r="I922" s="15" t="n">
        <v>0.143436106243139</v>
      </c>
      <c r="J922" s="16" t="n">
        <v>2016</v>
      </c>
      <c r="K922" s="16" t="n">
        <v>7</v>
      </c>
      <c r="L922" s="16" t="n">
        <v>27</v>
      </c>
      <c r="M922" s="16" t="s">
        <v>35</v>
      </c>
      <c r="N922" s="17" t="b">
        <f aca="false">FALSE()</f>
        <v>0</v>
      </c>
      <c r="O922" s="14" t="n">
        <v>33.3920578725498</v>
      </c>
      <c r="P922" s="13" t="n">
        <v>8653.64285714286</v>
      </c>
      <c r="Q922" s="15" t="n">
        <v>0.25979511609216</v>
      </c>
      <c r="R922" s="15" t="n">
        <v>-0.808866620993636</v>
      </c>
      <c r="S922" s="17" t="b">
        <f aca="false">FALSE()</f>
        <v>0</v>
      </c>
    </row>
    <row r="923" customFormat="false" ht="15" hidden="false" customHeight="true" outlineLevel="0" collapsed="false">
      <c r="A923" s="12" t="n">
        <v>42559</v>
      </c>
      <c r="B923" s="13" t="n">
        <v>87184.7400287089</v>
      </c>
      <c r="C923" s="13" t="n">
        <v>74654.5204192968</v>
      </c>
      <c r="D923" s="13" t="n">
        <v>2073</v>
      </c>
      <c r="E923" s="14" t="n">
        <v>42.0572793192035</v>
      </c>
      <c r="F923" s="14" t="n">
        <v>36.0127932558113</v>
      </c>
      <c r="G923" s="13" t="n">
        <v>12530.2196094121</v>
      </c>
      <c r="H923" s="15" t="n">
        <v>0.143720330017455</v>
      </c>
      <c r="I923" s="15" t="n">
        <v>0.143720330017456</v>
      </c>
      <c r="J923" s="16" t="n">
        <v>2016</v>
      </c>
      <c r="K923" s="16" t="n">
        <v>7</v>
      </c>
      <c r="L923" s="16" t="n">
        <v>27</v>
      </c>
      <c r="M923" s="16" t="s">
        <v>36</v>
      </c>
      <c r="N923" s="17" t="b">
        <f aca="false">FALSE()</f>
        <v>0</v>
      </c>
      <c r="O923" s="14" t="n">
        <v>34.011708612887</v>
      </c>
      <c r="P923" s="13" t="n">
        <v>8464.28571428571</v>
      </c>
      <c r="Q923" s="15" t="n">
        <v>0.236552970563438</v>
      </c>
      <c r="R923" s="15" t="n">
        <v>-0.755088607594937</v>
      </c>
      <c r="S923" s="17" t="b">
        <f aca="false">FALSE()</f>
        <v>0</v>
      </c>
    </row>
    <row r="924" customFormat="false" ht="15" hidden="false" customHeight="true" outlineLevel="0" collapsed="false">
      <c r="A924" s="12" t="n">
        <v>42560</v>
      </c>
      <c r="B924" s="13" t="n">
        <v>78700.4360483392</v>
      </c>
      <c r="C924" s="13" t="n">
        <v>67367.3832404026</v>
      </c>
      <c r="D924" s="13" t="n">
        <v>1871</v>
      </c>
      <c r="E924" s="14" t="n">
        <v>42.063300934441</v>
      </c>
      <c r="F924" s="14" t="n">
        <v>36.0060840408352</v>
      </c>
      <c r="G924" s="13" t="n">
        <v>11333.0528079366</v>
      </c>
      <c r="H924" s="15" t="n">
        <v>0.144002414433582</v>
      </c>
      <c r="I924" s="15" t="n">
        <v>0.144002414433582</v>
      </c>
      <c r="J924" s="16" t="n">
        <v>2016</v>
      </c>
      <c r="K924" s="16" t="n">
        <v>7</v>
      </c>
      <c r="L924" s="16" t="n">
        <v>27</v>
      </c>
      <c r="M924" s="16" t="s">
        <v>37</v>
      </c>
      <c r="N924" s="17" t="b">
        <f aca="false">TRUE()</f>
        <v>1</v>
      </c>
      <c r="O924" s="14" t="n">
        <v>34.6287007963501</v>
      </c>
      <c r="P924" s="13" t="n">
        <v>7779</v>
      </c>
      <c r="Q924" s="15" t="n">
        <v>0.214694746470955</v>
      </c>
      <c r="R924" s="15" t="n">
        <v>-0.759480653040237</v>
      </c>
      <c r="S924" s="17" t="b">
        <f aca="false">FALSE()</f>
        <v>0</v>
      </c>
    </row>
    <row r="925" customFormat="false" ht="15" hidden="false" customHeight="true" outlineLevel="0" collapsed="false">
      <c r="A925" s="12" t="n">
        <v>42561</v>
      </c>
      <c r="B925" s="13" t="n">
        <v>39809.5590906004</v>
      </c>
      <c r="C925" s="13" t="n">
        <v>34091.5696624407</v>
      </c>
      <c r="D925" s="13" t="n">
        <v>946</v>
      </c>
      <c r="E925" s="14" t="n">
        <v>42.0819863537002</v>
      </c>
      <c r="F925" s="14" t="n">
        <v>36.037600066005</v>
      </c>
      <c r="G925" s="13" t="n">
        <v>5717.98942815967</v>
      </c>
      <c r="H925" s="15" t="n">
        <v>0.143633578436436</v>
      </c>
      <c r="I925" s="15" t="n">
        <v>0.143633578436436</v>
      </c>
      <c r="J925" s="16" t="n">
        <v>2016</v>
      </c>
      <c r="K925" s="16" t="n">
        <v>7</v>
      </c>
      <c r="L925" s="16" t="n">
        <v>27</v>
      </c>
      <c r="M925" s="16" t="s">
        <v>38</v>
      </c>
      <c r="N925" s="17" t="b">
        <f aca="false">TRUE()</f>
        <v>1</v>
      </c>
      <c r="O925" s="14" t="n">
        <v>35.2444288789488</v>
      </c>
      <c r="P925" s="13" t="n">
        <v>6927.42857142857</v>
      </c>
      <c r="Q925" s="15" t="n">
        <v>0.194003923236658</v>
      </c>
      <c r="R925" s="15" t="n">
        <v>-0.863441392394622</v>
      </c>
      <c r="S925" s="17" t="b">
        <f aca="false">FALSE()</f>
        <v>0</v>
      </c>
    </row>
    <row r="926" customFormat="false" ht="15" hidden="false" customHeight="true" outlineLevel="0" collapsed="false">
      <c r="A926" s="12" t="n">
        <v>42562</v>
      </c>
      <c r="B926" s="13" t="n">
        <v>45839.2387701903</v>
      </c>
      <c r="C926" s="13" t="n">
        <v>39231.1953722078</v>
      </c>
      <c r="D926" s="13" t="n">
        <v>1090</v>
      </c>
      <c r="E926" s="14" t="n">
        <v>42.0543474955874</v>
      </c>
      <c r="F926" s="14" t="n">
        <v>35.9919223598236</v>
      </c>
      <c r="G926" s="13" t="n">
        <v>6608.0433979825</v>
      </c>
      <c r="H926" s="15" t="n">
        <v>0.144156918292452</v>
      </c>
      <c r="I926" s="15" t="n">
        <v>0.144156918292452</v>
      </c>
      <c r="J926" s="16" t="n">
        <v>2016</v>
      </c>
      <c r="K926" s="16" t="n">
        <v>7</v>
      </c>
      <c r="L926" s="16" t="n">
        <v>28</v>
      </c>
      <c r="M926" s="16" t="s">
        <v>32</v>
      </c>
      <c r="N926" s="17" t="b">
        <f aca="false">FALSE()</f>
        <v>0</v>
      </c>
      <c r="O926" s="14" t="n">
        <v>35.8670521343897</v>
      </c>
      <c r="P926" s="13" t="n">
        <v>6520.64285714286</v>
      </c>
      <c r="Q926" s="15" t="n">
        <v>0.172506381009921</v>
      </c>
      <c r="R926" s="15" t="n">
        <v>-0.832838567625891</v>
      </c>
      <c r="S926" s="17" t="b">
        <f aca="false">FALSE()</f>
        <v>0</v>
      </c>
    </row>
    <row r="927" customFormat="false" ht="15" hidden="false" customHeight="true" outlineLevel="0" collapsed="false">
      <c r="A927" s="12" t="n">
        <v>42563</v>
      </c>
      <c r="B927" s="13" t="n">
        <v>36851.7637468504</v>
      </c>
      <c r="C927" s="13" t="n">
        <v>31574.325469601</v>
      </c>
      <c r="D927" s="13" t="n">
        <v>876</v>
      </c>
      <c r="E927" s="14" t="n">
        <v>42.0682234553086</v>
      </c>
      <c r="F927" s="14" t="n">
        <v>36.0437505360742</v>
      </c>
      <c r="G927" s="13" t="n">
        <v>5277.43827724939</v>
      </c>
      <c r="H927" s="15" t="n">
        <v>0.143207210203079</v>
      </c>
      <c r="I927" s="15" t="n">
        <v>0.143207210203079</v>
      </c>
      <c r="J927" s="16" t="n">
        <v>2016</v>
      </c>
      <c r="K927" s="16" t="n">
        <v>7</v>
      </c>
      <c r="L927" s="16" t="n">
        <v>28</v>
      </c>
      <c r="M927" s="16" t="s">
        <v>33</v>
      </c>
      <c r="N927" s="17" t="b">
        <f aca="false">FALSE()</f>
        <v>0</v>
      </c>
      <c r="O927" s="14" t="n">
        <v>36.484316509071</v>
      </c>
      <c r="P927" s="13" t="n">
        <v>6056.14285714286</v>
      </c>
      <c r="Q927" s="15" t="n">
        <v>0.153049514984044</v>
      </c>
      <c r="R927" s="15" t="n">
        <v>-0.855353478168566</v>
      </c>
      <c r="S927" s="17" t="b">
        <f aca="false">FALSE()</f>
        <v>0</v>
      </c>
    </row>
    <row r="928" customFormat="false" ht="15" hidden="false" customHeight="true" outlineLevel="0" collapsed="false">
      <c r="A928" s="12" t="n">
        <v>42564</v>
      </c>
      <c r="B928" s="13" t="n">
        <v>33225.6704717701</v>
      </c>
      <c r="C928" s="13" t="n">
        <v>28489.0813981488</v>
      </c>
      <c r="D928" s="13" t="n">
        <v>790</v>
      </c>
      <c r="E928" s="14" t="n">
        <v>42.0578107237596</v>
      </c>
      <c r="F928" s="14" t="n">
        <v>36.0621283520871</v>
      </c>
      <c r="G928" s="13" t="n">
        <v>4736.58907362133</v>
      </c>
      <c r="H928" s="15" t="n">
        <v>0.142558118658455</v>
      </c>
      <c r="I928" s="15" t="n">
        <v>0.142558118658455</v>
      </c>
      <c r="J928" s="16" t="n">
        <v>2016</v>
      </c>
      <c r="K928" s="16" t="n">
        <v>7</v>
      </c>
      <c r="L928" s="16" t="n">
        <v>28</v>
      </c>
      <c r="M928" s="16" t="s">
        <v>34</v>
      </c>
      <c r="N928" s="17" t="b">
        <f aca="false">FALSE()</f>
        <v>0</v>
      </c>
      <c r="O928" s="14" t="n">
        <v>37.1036860792475</v>
      </c>
      <c r="P928" s="13" t="n">
        <v>5689.64285714286</v>
      </c>
      <c r="Q928" s="15" t="n">
        <v>0.133521090975462</v>
      </c>
      <c r="R928" s="15" t="n">
        <v>-0.861151214613019</v>
      </c>
      <c r="S928" s="17" t="b">
        <f aca="false">FALSE()</f>
        <v>0</v>
      </c>
    </row>
    <row r="929" customFormat="false" ht="15" hidden="false" customHeight="true" outlineLevel="0" collapsed="false">
      <c r="A929" s="12" t="n">
        <v>42565</v>
      </c>
      <c r="B929" s="13" t="n">
        <v>30423.3914567401</v>
      </c>
      <c r="C929" s="13" t="n">
        <v>26053.7967186715</v>
      </c>
      <c r="D929" s="13" t="n">
        <v>723</v>
      </c>
      <c r="E929" s="14" t="n">
        <v>42.0793796082159</v>
      </c>
      <c r="F929" s="14" t="n">
        <v>36.0356801088126</v>
      </c>
      <c r="G929" s="13" t="n">
        <v>4369.59473806859</v>
      </c>
      <c r="H929" s="15" t="n">
        <v>0.143626155035406</v>
      </c>
      <c r="I929" s="15" t="n">
        <v>0.143626155035406</v>
      </c>
      <c r="J929" s="16" t="n">
        <v>2016</v>
      </c>
      <c r="K929" s="16" t="n">
        <v>7</v>
      </c>
      <c r="L929" s="16" t="n">
        <v>28</v>
      </c>
      <c r="M929" s="16" t="s">
        <v>35</v>
      </c>
      <c r="N929" s="17" t="b">
        <f aca="false">FALSE()</f>
        <v>0</v>
      </c>
      <c r="O929" s="14" t="n">
        <v>37.7246023900101</v>
      </c>
      <c r="P929" s="13" t="n">
        <v>5292.85714285714</v>
      </c>
      <c r="Q929" s="15" t="n">
        <v>0.115436000443017</v>
      </c>
      <c r="R929" s="15" t="n">
        <v>-0.863400809716599</v>
      </c>
      <c r="S929" s="17" t="b">
        <f aca="false">FALSE()</f>
        <v>0</v>
      </c>
    </row>
    <row r="930" customFormat="false" ht="15" hidden="false" customHeight="true" outlineLevel="0" collapsed="false">
      <c r="A930" s="12" t="n">
        <v>42566</v>
      </c>
      <c r="B930" s="13" t="n">
        <v>80345.6376594392</v>
      </c>
      <c r="C930" s="13" t="n">
        <v>68788.0945363847</v>
      </c>
      <c r="D930" s="13" t="n">
        <v>1910</v>
      </c>
      <c r="E930" s="14" t="n">
        <v>42.0657788792875</v>
      </c>
      <c r="F930" s="14" t="n">
        <v>36.0147091813533</v>
      </c>
      <c r="G930" s="13" t="n">
        <v>11557.5431230544</v>
      </c>
      <c r="H930" s="15" t="n">
        <v>0.143847798831884</v>
      </c>
      <c r="I930" s="15" t="n">
        <v>0.143847798831884</v>
      </c>
      <c r="J930" s="16" t="n">
        <v>2016</v>
      </c>
      <c r="K930" s="16" t="n">
        <v>7</v>
      </c>
      <c r="L930" s="16" t="n">
        <v>28</v>
      </c>
      <c r="M930" s="16" t="s">
        <v>36</v>
      </c>
      <c r="N930" s="17" t="b">
        <f aca="false">FALSE()</f>
        <v>0</v>
      </c>
      <c r="O930" s="14" t="n">
        <v>38.3491146882576</v>
      </c>
      <c r="P930" s="13" t="n">
        <v>4738.64285714286</v>
      </c>
      <c r="Q930" s="15" t="n">
        <v>0.0969165578199906</v>
      </c>
      <c r="R930" s="15" t="n">
        <v>-0.596931007973953</v>
      </c>
      <c r="S930" s="17" t="b">
        <f aca="false">FALSE()</f>
        <v>0</v>
      </c>
    </row>
    <row r="931" customFormat="false" ht="15" hidden="false" customHeight="true" outlineLevel="0" collapsed="false">
      <c r="A931" s="12" t="n">
        <v>42567</v>
      </c>
      <c r="B931" s="13" t="n">
        <v>95297.3386266387</v>
      </c>
      <c r="C931" s="13" t="n">
        <v>81655.8577308587</v>
      </c>
      <c r="D931" s="13" t="n">
        <v>2266</v>
      </c>
      <c r="E931" s="14" t="n">
        <v>42.0553127213763</v>
      </c>
      <c r="F931" s="14" t="n">
        <v>36.0352417170603</v>
      </c>
      <c r="G931" s="13" t="n">
        <v>13641.48089578</v>
      </c>
      <c r="H931" s="15" t="n">
        <v>0.143146504323959</v>
      </c>
      <c r="I931" s="15" t="n">
        <v>0.14314650432396</v>
      </c>
      <c r="J931" s="16" t="n">
        <v>2016</v>
      </c>
      <c r="K931" s="16" t="n">
        <v>7</v>
      </c>
      <c r="L931" s="16" t="n">
        <v>28</v>
      </c>
      <c r="M931" s="16" t="s">
        <v>37</v>
      </c>
      <c r="N931" s="17" t="b">
        <f aca="false">TRUE()</f>
        <v>1</v>
      </c>
      <c r="O931" s="14" t="n">
        <v>38.9684944963244</v>
      </c>
      <c r="P931" s="13" t="n">
        <v>3850.5</v>
      </c>
      <c r="Q931" s="15" t="n">
        <v>0.0792131763094676</v>
      </c>
      <c r="R931" s="15" t="n">
        <v>-0.411504999350734</v>
      </c>
      <c r="S931" s="17" t="b">
        <f aca="false">FALSE()</f>
        <v>0</v>
      </c>
    </row>
    <row r="932" customFormat="false" ht="15" hidden="false" customHeight="true" outlineLevel="0" collapsed="false">
      <c r="A932" s="12" t="n">
        <v>42568</v>
      </c>
      <c r="B932" s="13" t="n">
        <v>45324.0545276703</v>
      </c>
      <c r="C932" s="13" t="n">
        <v>38809.8089000325</v>
      </c>
      <c r="D932" s="13" t="n">
        <v>1078</v>
      </c>
      <c r="E932" s="14" t="n">
        <v>42.0445774839242</v>
      </c>
      <c r="F932" s="14" t="n">
        <v>36.0016780148725</v>
      </c>
      <c r="G932" s="13" t="n">
        <v>6514.24562763771</v>
      </c>
      <c r="H932" s="15" t="n">
        <v>0.143726012500951</v>
      </c>
      <c r="I932" s="15" t="n">
        <v>0.143726012500951</v>
      </c>
      <c r="J932" s="16" t="n">
        <v>2016</v>
      </c>
      <c r="K932" s="16" t="n">
        <v>7</v>
      </c>
      <c r="L932" s="16" t="n">
        <v>28</v>
      </c>
      <c r="M932" s="16" t="s">
        <v>38</v>
      </c>
      <c r="N932" s="17" t="b">
        <f aca="false">TRUE()</f>
        <v>1</v>
      </c>
      <c r="O932" s="14" t="n">
        <v>39.5867170227325</v>
      </c>
      <c r="P932" s="13" t="n">
        <v>3040.28571428571</v>
      </c>
      <c r="Q932" s="15" t="n">
        <v>0.0620880094648986</v>
      </c>
      <c r="R932" s="15" t="n">
        <v>-0.645428061272437</v>
      </c>
      <c r="S932" s="17" t="b">
        <f aca="false">FALSE()</f>
        <v>0</v>
      </c>
    </row>
    <row r="933" customFormat="false" ht="15" hidden="false" customHeight="true" outlineLevel="0" collapsed="false">
      <c r="A933" s="12" t="n">
        <v>42569</v>
      </c>
      <c r="B933" s="13" t="n">
        <v>51604.1184087902</v>
      </c>
      <c r="C933" s="13" t="n">
        <v>44222.784476634</v>
      </c>
      <c r="D933" s="13" t="n">
        <v>1227</v>
      </c>
      <c r="E933" s="14" t="n">
        <v>42.057146217433</v>
      </c>
      <c r="F933" s="14" t="n">
        <v>36.041389141511</v>
      </c>
      <c r="G933" s="13" t="n">
        <v>7381.33393215627</v>
      </c>
      <c r="H933" s="15" t="n">
        <v>0.143037690784364</v>
      </c>
      <c r="I933" s="15" t="n">
        <v>0.143037690784364</v>
      </c>
      <c r="J933" s="16" t="n">
        <v>2016</v>
      </c>
      <c r="K933" s="16" t="n">
        <v>7</v>
      </c>
      <c r="L933" s="16" t="n">
        <v>29</v>
      </c>
      <c r="M933" s="16" t="s">
        <v>32</v>
      </c>
      <c r="N933" s="17" t="b">
        <f aca="false">FALSE()</f>
        <v>0</v>
      </c>
      <c r="O933" s="14" t="n">
        <v>40.2067985693173</v>
      </c>
      <c r="P933" s="13" t="n">
        <v>2598.78571428571</v>
      </c>
      <c r="Q933" s="15" t="n">
        <v>0.0460207654913293</v>
      </c>
      <c r="R933" s="15" t="n">
        <v>-0.527856416458236</v>
      </c>
      <c r="S933" s="17" t="b">
        <f aca="false">FALSE()</f>
        <v>0</v>
      </c>
    </row>
    <row r="934" customFormat="false" ht="15" hidden="false" customHeight="true" outlineLevel="0" collapsed="false">
      <c r="A934" s="12" t="n">
        <v>42570</v>
      </c>
      <c r="B934" s="13" t="n">
        <v>37870.1190323404</v>
      </c>
      <c r="C934" s="13" t="n">
        <v>32436.7959651713</v>
      </c>
      <c r="D934" s="13" t="n">
        <v>900</v>
      </c>
      <c r="E934" s="14" t="n">
        <v>42.0779100359337</v>
      </c>
      <c r="F934" s="14" t="n">
        <v>36.0408844057459</v>
      </c>
      <c r="G934" s="13" t="n">
        <v>5433.32306716909</v>
      </c>
      <c r="H934" s="15" t="n">
        <v>0.143472563752153</v>
      </c>
      <c r="I934" s="15" t="n">
        <v>0.143472563752154</v>
      </c>
      <c r="J934" s="16" t="n">
        <v>2016</v>
      </c>
      <c r="K934" s="16" t="n">
        <v>7</v>
      </c>
      <c r="L934" s="16" t="n">
        <v>29</v>
      </c>
      <c r="M934" s="16" t="s">
        <v>33</v>
      </c>
      <c r="N934" s="17" t="b">
        <f aca="false">FALSE()</f>
        <v>0</v>
      </c>
      <c r="O934" s="14" t="n">
        <v>40.8257059536574</v>
      </c>
      <c r="P934" s="13" t="n">
        <v>2084.21428571429</v>
      </c>
      <c r="Q934" s="15" t="n">
        <v>0.0306719517281041</v>
      </c>
      <c r="R934" s="15" t="n">
        <v>-0.568182597073238</v>
      </c>
      <c r="S934" s="17" t="b">
        <f aca="false">FALSE()</f>
        <v>0</v>
      </c>
    </row>
    <row r="935" customFormat="false" ht="15" hidden="false" customHeight="true" outlineLevel="0" collapsed="false">
      <c r="A935" s="12" t="n">
        <v>42571</v>
      </c>
      <c r="B935" s="13" t="n">
        <v>42723.5244578102</v>
      </c>
      <c r="C935" s="13" t="n">
        <v>36607.3906563765</v>
      </c>
      <c r="D935" s="13" t="n">
        <v>1016</v>
      </c>
      <c r="E935" s="14" t="n">
        <v>42.0507130490258</v>
      </c>
      <c r="F935" s="14" t="n">
        <v>36.0308963153312</v>
      </c>
      <c r="G935" s="13" t="n">
        <v>6116.13380143372</v>
      </c>
      <c r="H935" s="15" t="n">
        <v>0.143156115490271</v>
      </c>
      <c r="I935" s="15" t="n">
        <v>0.143156115490271</v>
      </c>
      <c r="J935" s="16" t="n">
        <v>2016</v>
      </c>
      <c r="K935" s="16" t="n">
        <v>7</v>
      </c>
      <c r="L935" s="16" t="n">
        <v>29</v>
      </c>
      <c r="M935" s="16" t="s">
        <v>34</v>
      </c>
      <c r="N935" s="17" t="b">
        <f aca="false">FALSE()</f>
        <v>0</v>
      </c>
      <c r="O935" s="14" t="n">
        <v>41.4489079581612</v>
      </c>
      <c r="P935" s="13" t="n">
        <v>1678.71428571429</v>
      </c>
      <c r="Q935" s="15" t="n">
        <v>0.0145192025679456</v>
      </c>
      <c r="R935" s="15" t="n">
        <v>-0.394774912773381</v>
      </c>
      <c r="S935" s="17" t="b">
        <f aca="false">FALSE()</f>
        <v>0</v>
      </c>
    </row>
    <row r="936" customFormat="false" ht="15" hidden="false" customHeight="true" outlineLevel="0" collapsed="false">
      <c r="A936" s="12" t="n">
        <v>42572</v>
      </c>
      <c r="B936" s="13" t="n">
        <v>35169.9158098501</v>
      </c>
      <c r="C936" s="13" t="n">
        <v>30133.3186396659</v>
      </c>
      <c r="D936" s="13" t="n">
        <v>836</v>
      </c>
      <c r="E936" s="14" t="n">
        <v>42.0692772845097</v>
      </c>
      <c r="F936" s="14" t="n">
        <v>36.0446395211314</v>
      </c>
      <c r="G936" s="13" t="n">
        <v>5036.59717018426</v>
      </c>
      <c r="H936" s="15" t="n">
        <v>0.143207541280882</v>
      </c>
      <c r="I936" s="15" t="n">
        <v>0.143207541280882</v>
      </c>
      <c r="J936" s="16" t="n">
        <v>2016</v>
      </c>
      <c r="K936" s="16" t="n">
        <v>7</v>
      </c>
      <c r="L936" s="16" t="n">
        <v>29</v>
      </c>
      <c r="M936" s="16" t="s">
        <v>35</v>
      </c>
      <c r="N936" s="17" t="b">
        <f aca="false">FALSE()</f>
        <v>0</v>
      </c>
      <c r="O936" s="14" t="n">
        <v>42.0629226929501</v>
      </c>
      <c r="P936" s="13" t="n">
        <v>1315.71428571429</v>
      </c>
      <c r="Q936" s="15" t="n">
        <v>0.000151073466910026</v>
      </c>
      <c r="R936" s="15" t="n">
        <v>-0.364603691639522</v>
      </c>
      <c r="S936" s="17" t="b">
        <f aca="false">FALSE()</f>
        <v>0</v>
      </c>
    </row>
    <row r="937" customFormat="false" ht="15" hidden="false" customHeight="true" outlineLevel="0" collapsed="false">
      <c r="A937" s="12" t="n">
        <v>42573</v>
      </c>
      <c r="B937" s="13" t="n">
        <v>61148.2050112796</v>
      </c>
      <c r="C937" s="13" t="n">
        <v>52384.4474829927</v>
      </c>
      <c r="D937" s="13" t="n">
        <v>1454</v>
      </c>
      <c r="E937" s="14" t="n">
        <v>42.0551616308663</v>
      </c>
      <c r="F937" s="14" t="n">
        <v>36.0278180763361</v>
      </c>
      <c r="G937" s="13" t="n">
        <v>8763.75752828692</v>
      </c>
      <c r="H937" s="15" t="n">
        <v>0.143319947440327</v>
      </c>
      <c r="I937" s="15" t="n">
        <v>0.143319947440327</v>
      </c>
      <c r="J937" s="16" t="n">
        <v>2016</v>
      </c>
      <c r="K937" s="16" t="n">
        <v>7</v>
      </c>
      <c r="L937" s="16" t="n">
        <v>29</v>
      </c>
      <c r="M937" s="16" t="s">
        <v>36</v>
      </c>
      <c r="N937" s="17" t="b">
        <f aca="false">FALSE()</f>
        <v>0</v>
      </c>
      <c r="O937" s="14" t="n">
        <v>42.0630745401219</v>
      </c>
      <c r="P937" s="13" t="n">
        <v>1257.28571428571</v>
      </c>
      <c r="Q937" s="15" t="n">
        <v>-0.000188120087322938</v>
      </c>
      <c r="R937" s="15" t="n">
        <v>0.156459493239405</v>
      </c>
      <c r="S937" s="17" t="b">
        <f aca="false">FALSE()</f>
        <v>0</v>
      </c>
    </row>
    <row r="938" customFormat="false" ht="15" hidden="false" customHeight="true" outlineLevel="0" collapsed="false">
      <c r="A938" s="12" t="n">
        <v>42574</v>
      </c>
      <c r="B938" s="13" t="n">
        <v>77171.7018001495</v>
      </c>
      <c r="C938" s="13" t="n">
        <v>66113.8320375562</v>
      </c>
      <c r="D938" s="13" t="n">
        <v>1835</v>
      </c>
      <c r="E938" s="14" t="n">
        <v>42.0554233243322</v>
      </c>
      <c r="F938" s="14" t="n">
        <v>36.0293362602486</v>
      </c>
      <c r="G938" s="13" t="n">
        <v>11057.8697625934</v>
      </c>
      <c r="H938" s="15" t="n">
        <v>0.143289178606295</v>
      </c>
      <c r="I938" s="15" t="n">
        <v>0.143289178606295</v>
      </c>
      <c r="J938" s="16" t="n">
        <v>2016</v>
      </c>
      <c r="K938" s="16" t="n">
        <v>7</v>
      </c>
      <c r="L938" s="16" t="n">
        <v>29</v>
      </c>
      <c r="M938" s="16" t="s">
        <v>37</v>
      </c>
      <c r="N938" s="17" t="b">
        <f aca="false">TRUE()</f>
        <v>1</v>
      </c>
      <c r="O938" s="14" t="n">
        <v>42.0629232766693</v>
      </c>
      <c r="P938" s="13" t="n">
        <v>1213.07142857143</v>
      </c>
      <c r="Q938" s="15" t="n">
        <v>-0.000178303164707643</v>
      </c>
      <c r="R938" s="15" t="n">
        <v>0.512689159747983</v>
      </c>
      <c r="S938" s="17" t="b">
        <f aca="false">FALSE()</f>
        <v>0</v>
      </c>
    </row>
    <row r="939" customFormat="false" ht="15" hidden="false" customHeight="true" outlineLevel="0" collapsed="false">
      <c r="A939" s="12" t="n">
        <v>42575</v>
      </c>
      <c r="B939" s="13" t="n">
        <v>40881.3549122703</v>
      </c>
      <c r="C939" s="13" t="n">
        <v>35019.1126389984</v>
      </c>
      <c r="D939" s="13" t="n">
        <v>972</v>
      </c>
      <c r="E939" s="14" t="n">
        <v>42.0590071113891</v>
      </c>
      <c r="F939" s="14" t="n">
        <v>36.027893661521</v>
      </c>
      <c r="G939" s="13" t="n">
        <v>5862.24227327184</v>
      </c>
      <c r="H939" s="15" t="n">
        <v>0.143396477094558</v>
      </c>
      <c r="I939" s="15" t="n">
        <v>0.143396477094558</v>
      </c>
      <c r="J939" s="16" t="n">
        <v>2016</v>
      </c>
      <c r="K939" s="16" t="n">
        <v>7</v>
      </c>
      <c r="L939" s="16" t="n">
        <v>29</v>
      </c>
      <c r="M939" s="16" t="s">
        <v>38</v>
      </c>
      <c r="N939" s="17" t="b">
        <f aca="false">TRUE()</f>
        <v>1</v>
      </c>
      <c r="O939" s="14" t="n">
        <v>42.0623605902329</v>
      </c>
      <c r="P939" s="13" t="n">
        <v>1210.5</v>
      </c>
      <c r="Q939" s="15" t="n">
        <v>-7.97263585945282E-005</v>
      </c>
      <c r="R939" s="15" t="n">
        <v>-0.197026022304833</v>
      </c>
      <c r="S939" s="17" t="b">
        <f aca="false">FALSE()</f>
        <v>0</v>
      </c>
    </row>
    <row r="940" customFormat="false" ht="15" hidden="false" customHeight="true" outlineLevel="0" collapsed="false">
      <c r="A940" s="12" t="n">
        <v>42576</v>
      </c>
      <c r="B940" s="13" t="n">
        <v>43085.5950115203</v>
      </c>
      <c r="C940" s="13" t="n">
        <v>36887.3661718906</v>
      </c>
      <c r="D940" s="13" t="n">
        <v>1024</v>
      </c>
      <c r="E940" s="14" t="n">
        <v>42.0757763784377</v>
      </c>
      <c r="F940" s="14" t="n">
        <v>36.022818527237</v>
      </c>
      <c r="G940" s="13" t="n">
        <v>6198.22883962961</v>
      </c>
      <c r="H940" s="15" t="n">
        <v>0.14385849465401</v>
      </c>
      <c r="I940" s="15" t="n">
        <v>0.14385849465401</v>
      </c>
      <c r="J940" s="16" t="n">
        <v>2016</v>
      </c>
      <c r="K940" s="16" t="n">
        <v>7</v>
      </c>
      <c r="L940" s="16" t="n">
        <v>30</v>
      </c>
      <c r="M940" s="16" t="s">
        <v>32</v>
      </c>
      <c r="N940" s="17" t="b">
        <f aca="false">FALSE()</f>
        <v>0</v>
      </c>
      <c r="O940" s="14" t="n">
        <v>42.0607192157821</v>
      </c>
      <c r="P940" s="13" t="n">
        <v>1212.35714285714</v>
      </c>
      <c r="Q940" s="15" t="n">
        <v>0.000357986333481128</v>
      </c>
      <c r="R940" s="15" t="n">
        <v>-0.155364402285984</v>
      </c>
      <c r="S940" s="17" t="b">
        <f aca="false">FALSE()</f>
        <v>0</v>
      </c>
    </row>
    <row r="941" customFormat="false" ht="15" hidden="false" customHeight="true" outlineLevel="0" collapsed="false">
      <c r="A941" s="12" t="n">
        <v>42577</v>
      </c>
      <c r="B941" s="13" t="n">
        <v>43894.9934321102</v>
      </c>
      <c r="C941" s="13" t="n">
        <v>37604.6584195829</v>
      </c>
      <c r="D941" s="13" t="n">
        <v>1044</v>
      </c>
      <c r="E941" s="14" t="n">
        <v>42.045012866006</v>
      </c>
      <c r="F941" s="14" t="n">
        <v>36.0197877582211</v>
      </c>
      <c r="G941" s="13" t="n">
        <v>6290.33501252739</v>
      </c>
      <c r="H941" s="15" t="n">
        <v>0.143304156594904</v>
      </c>
      <c r="I941" s="15" t="n">
        <v>0.143304156594903</v>
      </c>
      <c r="J941" s="16" t="n">
        <v>2016</v>
      </c>
      <c r="K941" s="16" t="n">
        <v>7</v>
      </c>
      <c r="L941" s="16" t="n">
        <v>30</v>
      </c>
      <c r="M941" s="16" t="s">
        <v>33</v>
      </c>
      <c r="N941" s="17" t="b">
        <f aca="false">FALSE()</f>
        <v>0</v>
      </c>
      <c r="O941" s="14" t="n">
        <v>42.0622498502714</v>
      </c>
      <c r="P941" s="13" t="n">
        <v>1207.64285714286</v>
      </c>
      <c r="Q941" s="15" t="n">
        <v>-0.000409797011020475</v>
      </c>
      <c r="R941" s="15" t="n">
        <v>-0.135506003430532</v>
      </c>
      <c r="S941" s="17" t="b">
        <f aca="false">FALSE()</f>
        <v>0</v>
      </c>
    </row>
    <row r="942" customFormat="false" ht="15" hidden="false" customHeight="true" outlineLevel="0" collapsed="false">
      <c r="A942" s="12" t="n">
        <v>42578</v>
      </c>
      <c r="B942" s="13" t="n">
        <v>67780.7288864695</v>
      </c>
      <c r="C942" s="13" t="n">
        <v>58196.1459861954</v>
      </c>
      <c r="D942" s="13" t="n">
        <v>1611</v>
      </c>
      <c r="E942" s="14" t="n">
        <v>42.0736988742828</v>
      </c>
      <c r="F942" s="14" t="n">
        <v>36.1242371112324</v>
      </c>
      <c r="G942" s="13" t="n">
        <v>9584.58290027417</v>
      </c>
      <c r="H942" s="15" t="n">
        <v>0.141405721917332</v>
      </c>
      <c r="I942" s="15" t="n">
        <v>0.141405721917332</v>
      </c>
      <c r="J942" s="16" t="n">
        <v>2016</v>
      </c>
      <c r="K942" s="16" t="n">
        <v>7</v>
      </c>
      <c r="L942" s="16" t="n">
        <v>30</v>
      </c>
      <c r="M942" s="16" t="s">
        <v>34</v>
      </c>
      <c r="N942" s="17" t="b">
        <f aca="false">FALSE()</f>
        <v>0</v>
      </c>
      <c r="O942" s="14" t="n">
        <v>42.0605919510355</v>
      </c>
      <c r="P942" s="13" t="n">
        <v>1219.64285714286</v>
      </c>
      <c r="Q942" s="15" t="n">
        <v>0.00031162003764731</v>
      </c>
      <c r="R942" s="15" t="n">
        <v>0.320878477306003</v>
      </c>
      <c r="S942" s="17" t="b">
        <f aca="false">FALSE()</f>
        <v>0</v>
      </c>
    </row>
    <row r="943" customFormat="false" ht="15" hidden="false" customHeight="true" outlineLevel="0" collapsed="false">
      <c r="A943" s="12" t="n">
        <v>42579</v>
      </c>
      <c r="B943" s="13" t="n">
        <v>51907.9431465002</v>
      </c>
      <c r="C943" s="13" t="n">
        <v>44544.6307431013</v>
      </c>
      <c r="D943" s="13" t="n">
        <v>1234</v>
      </c>
      <c r="E943" s="14" t="n">
        <v>42.0647837491898</v>
      </c>
      <c r="F943" s="14" t="n">
        <v>36.0977558696121</v>
      </c>
      <c r="G943" s="13" t="n">
        <v>7363.31240339892</v>
      </c>
      <c r="H943" s="15" t="n">
        <v>0.141853287898875</v>
      </c>
      <c r="I943" s="15" t="n">
        <v>0.141853287898875</v>
      </c>
      <c r="J943" s="16" t="n">
        <v>2016</v>
      </c>
      <c r="K943" s="16" t="n">
        <v>7</v>
      </c>
      <c r="L943" s="16" t="n">
        <v>30</v>
      </c>
      <c r="M943" s="16" t="s">
        <v>35</v>
      </c>
      <c r="N943" s="17" t="b">
        <f aca="false">FALSE()</f>
        <v>0</v>
      </c>
      <c r="O943" s="14" t="n">
        <v>42.06172681893</v>
      </c>
      <c r="P943" s="13" t="n">
        <v>1278.28571428571</v>
      </c>
      <c r="Q943" s="15" t="n">
        <v>7.26772410691111E-005</v>
      </c>
      <c r="R943" s="15" t="n">
        <v>-0.0346446133214126</v>
      </c>
      <c r="S943" s="17" t="b">
        <f aca="false">FALSE()</f>
        <v>0</v>
      </c>
    </row>
    <row r="944" customFormat="false" ht="15" hidden="false" customHeight="true" outlineLevel="0" collapsed="false">
      <c r="A944" s="12" t="n">
        <v>42580</v>
      </c>
      <c r="B944" s="13" t="n">
        <v>93508.6338863692</v>
      </c>
      <c r="C944" s="13" t="n">
        <v>80346.6941338582</v>
      </c>
      <c r="D944" s="13" t="n">
        <v>2223</v>
      </c>
      <c r="E944" s="14" t="n">
        <v>42.064162791889</v>
      </c>
      <c r="F944" s="14" t="n">
        <v>36.143362183472</v>
      </c>
      <c r="G944" s="13" t="n">
        <v>13161.9397525109</v>
      </c>
      <c r="H944" s="15" t="n">
        <v>0.140756411525648</v>
      </c>
      <c r="I944" s="15" t="n">
        <v>0.140756411525648</v>
      </c>
      <c r="J944" s="16" t="n">
        <v>2016</v>
      </c>
      <c r="K944" s="16" t="n">
        <v>7</v>
      </c>
      <c r="L944" s="16" t="n">
        <v>30</v>
      </c>
      <c r="M944" s="16" t="s">
        <v>36</v>
      </c>
      <c r="N944" s="17" t="b">
        <f aca="false">FALSE()</f>
        <v>0</v>
      </c>
      <c r="O944" s="14" t="n">
        <v>42.060684257571</v>
      </c>
      <c r="P944" s="13" t="n">
        <v>1314.78571428571</v>
      </c>
      <c r="Q944" s="15" t="n">
        <v>8.27027514972078E-005</v>
      </c>
      <c r="R944" s="15" t="n">
        <v>0.690769815830934</v>
      </c>
      <c r="S944" s="17" t="b">
        <f aca="false">FALSE()</f>
        <v>0</v>
      </c>
    </row>
    <row r="945" customFormat="false" ht="15" hidden="false" customHeight="true" outlineLevel="0" collapsed="false">
      <c r="A945" s="12" t="n">
        <v>42581</v>
      </c>
      <c r="B945" s="13" t="n">
        <v>95343.5955121789</v>
      </c>
      <c r="C945" s="13" t="n">
        <v>81874.2888635077</v>
      </c>
      <c r="D945" s="13" t="n">
        <v>2267</v>
      </c>
      <c r="E945" s="14" t="n">
        <v>42.0571660838901</v>
      </c>
      <c r="F945" s="14" t="n">
        <v>36.115698660568</v>
      </c>
      <c r="G945" s="13" t="n">
        <v>13469.3066486712</v>
      </c>
      <c r="H945" s="15" t="n">
        <v>0.141271226203659</v>
      </c>
      <c r="I945" s="15" t="n">
        <v>0.141271226203659</v>
      </c>
      <c r="J945" s="16" t="n">
        <v>2016</v>
      </c>
      <c r="K945" s="16" t="n">
        <v>7</v>
      </c>
      <c r="L945" s="16" t="n">
        <v>30</v>
      </c>
      <c r="M945" s="16" t="s">
        <v>37</v>
      </c>
      <c r="N945" s="17" t="b">
        <f aca="false">TRUE()</f>
        <v>1</v>
      </c>
      <c r="O945" s="14" t="n">
        <v>42.0605688227568</v>
      </c>
      <c r="P945" s="13" t="n">
        <v>1337.14285714286</v>
      </c>
      <c r="Q945" s="15" t="n">
        <v>-8.09009236424998E-005</v>
      </c>
      <c r="R945" s="15" t="n">
        <v>0.695405982905983</v>
      </c>
      <c r="S945" s="17" t="b">
        <f aca="false">FALSE()</f>
        <v>0</v>
      </c>
    </row>
    <row r="946" customFormat="false" ht="15" hidden="false" customHeight="true" outlineLevel="0" collapsed="false">
      <c r="A946" s="12" t="n">
        <v>42582</v>
      </c>
      <c r="B946" s="13" t="n">
        <v>59514.9923306399</v>
      </c>
      <c r="C946" s="13" t="n">
        <v>51145.4033412456</v>
      </c>
      <c r="D946" s="13" t="n">
        <v>1415</v>
      </c>
      <c r="E946" s="14" t="n">
        <v>42.0600652513356</v>
      </c>
      <c r="F946" s="14" t="n">
        <v>36.145161371905</v>
      </c>
      <c r="G946" s="13" t="n">
        <v>8369.58898939424</v>
      </c>
      <c r="H946" s="15" t="n">
        <v>0.140629926370424</v>
      </c>
      <c r="I946" s="15" t="n">
        <v>0.140629926370424</v>
      </c>
      <c r="J946" s="16" t="n">
        <v>2016</v>
      </c>
      <c r="K946" s="16" t="n">
        <v>7</v>
      </c>
      <c r="L946" s="16" t="n">
        <v>30</v>
      </c>
      <c r="M946" s="16" t="s">
        <v>38</v>
      </c>
      <c r="N946" s="17" t="b">
        <f aca="false">TRUE()</f>
        <v>1</v>
      </c>
      <c r="O946" s="14" t="n">
        <v>42.0607012057935</v>
      </c>
      <c r="P946" s="13" t="n">
        <v>1337.21428571429</v>
      </c>
      <c r="Q946" s="15" t="n">
        <v>-1.51199204886118E-005</v>
      </c>
      <c r="R946" s="15" t="n">
        <v>0.0581699695529085</v>
      </c>
      <c r="S946" s="17" t="b">
        <f aca="false">FALSE()</f>
        <v>0</v>
      </c>
    </row>
    <row r="947" customFormat="false" ht="15" hidden="false" customHeight="true" outlineLevel="0" collapsed="false">
      <c r="A947" s="12" t="n">
        <v>42583</v>
      </c>
      <c r="B947" s="13" t="n">
        <v>65133.9662001598</v>
      </c>
      <c r="C947" s="13" t="n">
        <v>55946.0565590771</v>
      </c>
      <c r="D947" s="13" t="n">
        <v>1548</v>
      </c>
      <c r="E947" s="14" t="n">
        <v>42.0762055556588</v>
      </c>
      <c r="F947" s="14" t="n">
        <v>36.1408634102565</v>
      </c>
      <c r="G947" s="13" t="n">
        <v>9187.90964108264</v>
      </c>
      <c r="H947" s="15" t="n">
        <v>0.141061725196463</v>
      </c>
      <c r="I947" s="15" t="n">
        <v>0.141061725196463</v>
      </c>
      <c r="J947" s="16" t="n">
        <v>2016</v>
      </c>
      <c r="K947" s="16" t="n">
        <v>8</v>
      </c>
      <c r="L947" s="16" t="n">
        <v>31</v>
      </c>
      <c r="M947" s="16" t="s">
        <v>32</v>
      </c>
      <c r="N947" s="17" t="b">
        <f aca="false">FALSE()</f>
        <v>0</v>
      </c>
      <c r="O947" s="14" t="n">
        <v>42.0618074748944</v>
      </c>
      <c r="P947" s="13" t="n">
        <v>1361.28571428571</v>
      </c>
      <c r="Q947" s="15" t="n">
        <v>0.000342307704513228</v>
      </c>
      <c r="R947" s="15" t="n">
        <v>0.137160247665023</v>
      </c>
      <c r="S947" s="17" t="b">
        <f aca="false">FALSE()</f>
        <v>0</v>
      </c>
    </row>
    <row r="948" customFormat="false" ht="15" hidden="false" customHeight="true" outlineLevel="0" collapsed="false">
      <c r="A948" s="12" t="n">
        <v>42584</v>
      </c>
      <c r="B948" s="13" t="n">
        <v>70641.2537174999</v>
      </c>
      <c r="C948" s="13" t="n">
        <v>60629.5529998909</v>
      </c>
      <c r="D948" s="13" t="n">
        <v>1679</v>
      </c>
      <c r="E948" s="14" t="n">
        <v>42.0734090038713</v>
      </c>
      <c r="F948" s="14" t="n">
        <v>36.1105139963615</v>
      </c>
      <c r="G948" s="13" t="n">
        <v>10011.700717609</v>
      </c>
      <c r="H948" s="15" t="n">
        <v>0.141725977254687</v>
      </c>
      <c r="I948" s="15" t="n">
        <v>0.141725977254687</v>
      </c>
      <c r="J948" s="16" t="n">
        <v>2016</v>
      </c>
      <c r="K948" s="16" t="n">
        <v>8</v>
      </c>
      <c r="L948" s="16" t="n">
        <v>31</v>
      </c>
      <c r="M948" s="16" t="s">
        <v>33</v>
      </c>
      <c r="N948" s="17" t="b">
        <f aca="false">FALSE()</f>
        <v>0</v>
      </c>
      <c r="O948" s="14" t="n">
        <v>42.0631688561962</v>
      </c>
      <c r="P948" s="13" t="n">
        <v>1384.21428571429</v>
      </c>
      <c r="Q948" s="15" t="n">
        <v>0.00024344689079672</v>
      </c>
      <c r="R948" s="15" t="n">
        <v>0.212962485164353</v>
      </c>
      <c r="S948" s="17" t="b">
        <f aca="false">FALSE()</f>
        <v>0</v>
      </c>
    </row>
    <row r="949" customFormat="false" ht="15" hidden="false" customHeight="true" outlineLevel="0" collapsed="false">
      <c r="A949" s="12" t="n">
        <v>42585</v>
      </c>
      <c r="B949" s="13" t="n">
        <v>48442.1714799603</v>
      </c>
      <c r="C949" s="13" t="n">
        <v>41610.7839399488</v>
      </c>
      <c r="D949" s="13" t="n">
        <v>1152</v>
      </c>
      <c r="E949" s="14" t="n">
        <v>42.0504960763544</v>
      </c>
      <c r="F949" s="14" t="n">
        <v>36.1204721700945</v>
      </c>
      <c r="G949" s="13" t="n">
        <v>6831.38754001143</v>
      </c>
      <c r="H949" s="15" t="n">
        <v>0.14102149699952</v>
      </c>
      <c r="I949" s="15" t="n">
        <v>0.14102149699952</v>
      </c>
      <c r="J949" s="16" t="n">
        <v>2016</v>
      </c>
      <c r="K949" s="16" t="n">
        <v>8</v>
      </c>
      <c r="L949" s="16" t="n">
        <v>31</v>
      </c>
      <c r="M949" s="16" t="s">
        <v>34</v>
      </c>
      <c r="N949" s="17" t="b">
        <f aca="false">FALSE()</f>
        <v>0</v>
      </c>
      <c r="O949" s="14" t="n">
        <v>42.062847353906</v>
      </c>
      <c r="P949" s="13" t="n">
        <v>1439.85714285714</v>
      </c>
      <c r="Q949" s="15" t="n">
        <v>-0.000293638646183647</v>
      </c>
      <c r="R949" s="15" t="n">
        <v>-0.199920627046334</v>
      </c>
      <c r="S949" s="17" t="b">
        <f aca="false">FALSE()</f>
        <v>0</v>
      </c>
    </row>
    <row r="950" customFormat="false" ht="15" hidden="false" customHeight="true" outlineLevel="0" collapsed="false">
      <c r="A950" s="12" t="n">
        <v>42586</v>
      </c>
      <c r="B950" s="13" t="n">
        <v>46291.3719168903</v>
      </c>
      <c r="C950" s="13" t="n">
        <v>39783.3606680546</v>
      </c>
      <c r="D950" s="13" t="n">
        <v>1101</v>
      </c>
      <c r="E950" s="14" t="n">
        <v>42.0448427946324</v>
      </c>
      <c r="F950" s="14" t="n">
        <v>36.1338425686236</v>
      </c>
      <c r="G950" s="13" t="n">
        <v>6508.01124883568</v>
      </c>
      <c r="H950" s="15" t="n">
        <v>0.140587996841397</v>
      </c>
      <c r="I950" s="15" t="n">
        <v>0.140587996841397</v>
      </c>
      <c r="J950" s="16" t="n">
        <v>2016</v>
      </c>
      <c r="K950" s="16" t="n">
        <v>8</v>
      </c>
      <c r="L950" s="16" t="n">
        <v>31</v>
      </c>
      <c r="M950" s="16" t="s">
        <v>35</v>
      </c>
      <c r="N950" s="17" t="b">
        <f aca="false">FALSE()</f>
        <v>0</v>
      </c>
      <c r="O950" s="14" t="n">
        <v>42.0628318558581</v>
      </c>
      <c r="P950" s="13" t="n">
        <v>1449.57142857143</v>
      </c>
      <c r="Q950" s="15" t="n">
        <v>-0.000427671186936167</v>
      </c>
      <c r="R950" s="15" t="n">
        <v>-0.240465162116882</v>
      </c>
      <c r="S950" s="17" t="b">
        <f aca="false">FALSE()</f>
        <v>0</v>
      </c>
    </row>
    <row r="951" customFormat="false" ht="15" hidden="false" customHeight="true" outlineLevel="0" collapsed="false">
      <c r="A951" s="12" t="n">
        <v>42587</v>
      </c>
      <c r="B951" s="13" t="n">
        <v>73453.1432921696</v>
      </c>
      <c r="C951" s="13" t="n">
        <v>63386.4925913612</v>
      </c>
      <c r="D951" s="13" t="n">
        <v>1746</v>
      </c>
      <c r="E951" s="14" t="n">
        <v>42.0693833288486</v>
      </c>
      <c r="F951" s="14" t="n">
        <v>36.3038330992905</v>
      </c>
      <c r="G951" s="13" t="n">
        <v>10066.6507008084</v>
      </c>
      <c r="H951" s="15" t="n">
        <v>0.137048603362922</v>
      </c>
      <c r="I951" s="15" t="n">
        <v>0.137048603362922</v>
      </c>
      <c r="J951" s="16" t="n">
        <v>2016</v>
      </c>
      <c r="K951" s="16" t="n">
        <v>8</v>
      </c>
      <c r="L951" s="16" t="n">
        <v>31</v>
      </c>
      <c r="M951" s="16" t="s">
        <v>36</v>
      </c>
      <c r="N951" s="17" t="b">
        <f aca="false">FALSE()</f>
        <v>0</v>
      </c>
      <c r="O951" s="14" t="n">
        <v>42.0610865351525</v>
      </c>
      <c r="P951" s="13" t="n">
        <v>1468.5</v>
      </c>
      <c r="Q951" s="15" t="n">
        <v>0.000197255810049516</v>
      </c>
      <c r="R951" s="15" t="n">
        <v>0.188968335035751</v>
      </c>
      <c r="S951" s="17" t="b">
        <f aca="false">FALSE()</f>
        <v>0</v>
      </c>
    </row>
    <row r="952" customFormat="false" ht="15" hidden="false" customHeight="true" outlineLevel="0" collapsed="false">
      <c r="A952" s="12" t="n">
        <v>42588</v>
      </c>
      <c r="B952" s="13" t="n">
        <v>71508.8979540895</v>
      </c>
      <c r="C952" s="13" t="n">
        <v>61500.5746485411</v>
      </c>
      <c r="D952" s="13" t="n">
        <v>1700</v>
      </c>
      <c r="E952" s="14" t="n">
        <v>42.0640576200527</v>
      </c>
      <c r="F952" s="14" t="n">
        <v>36.1768086167889</v>
      </c>
      <c r="G952" s="13" t="n">
        <v>10008.3233055484</v>
      </c>
      <c r="H952" s="15" t="n">
        <v>0.139959132246367</v>
      </c>
      <c r="I952" s="15" t="n">
        <v>0.139959132246367</v>
      </c>
      <c r="J952" s="16" t="n">
        <v>2016</v>
      </c>
      <c r="K952" s="16" t="n">
        <v>8</v>
      </c>
      <c r="L952" s="16" t="n">
        <v>31</v>
      </c>
      <c r="M952" s="16" t="s">
        <v>37</v>
      </c>
      <c r="N952" s="17" t="b">
        <f aca="false">TRUE()</f>
        <v>1</v>
      </c>
      <c r="O952" s="14" t="n">
        <v>42.0621023707227</v>
      </c>
      <c r="P952" s="13" t="n">
        <v>1489.35714285714</v>
      </c>
      <c r="Q952" s="15" t="n">
        <v>4.64848217221042E-005</v>
      </c>
      <c r="R952" s="15" t="n">
        <v>0.141432065608364</v>
      </c>
      <c r="S952" s="17" t="b">
        <f aca="false">FALSE()</f>
        <v>0</v>
      </c>
    </row>
    <row r="953" customFormat="false" ht="15" hidden="false" customHeight="true" outlineLevel="0" collapsed="false">
      <c r="A953" s="12" t="n">
        <v>42589</v>
      </c>
      <c r="B953" s="13" t="n">
        <v>30066.1261828501</v>
      </c>
      <c r="C953" s="13" t="n">
        <v>25872.4883540758</v>
      </c>
      <c r="D953" s="13" t="n">
        <v>715</v>
      </c>
      <c r="E953" s="14" t="n">
        <v>42.0505261298603</v>
      </c>
      <c r="F953" s="14" t="n">
        <v>36.1852983973088</v>
      </c>
      <c r="G953" s="13" t="n">
        <v>4193.63782877431</v>
      </c>
      <c r="H953" s="15" t="n">
        <v>0.139480483893079</v>
      </c>
      <c r="I953" s="15" t="n">
        <v>0.139480483893079</v>
      </c>
      <c r="J953" s="16" t="n">
        <v>2016</v>
      </c>
      <c r="K953" s="16" t="n">
        <v>8</v>
      </c>
      <c r="L953" s="16" t="n">
        <v>31</v>
      </c>
      <c r="M953" s="16" t="s">
        <v>38</v>
      </c>
      <c r="N953" s="17" t="b">
        <f aca="false">TRUE()</f>
        <v>1</v>
      </c>
      <c r="O953" s="14" t="n">
        <v>42.0627191061313</v>
      </c>
      <c r="P953" s="13" t="n">
        <v>1479.71428571429</v>
      </c>
      <c r="Q953" s="15" t="n">
        <v>-0.000289876083384175</v>
      </c>
      <c r="R953" s="15" t="n">
        <v>-0.516798609770226</v>
      </c>
      <c r="S953" s="17" t="b">
        <f aca="false">FALSE()</f>
        <v>0</v>
      </c>
    </row>
    <row r="954" customFormat="false" ht="15" hidden="false" customHeight="true" outlineLevel="0" collapsed="false">
      <c r="A954" s="12" t="n">
        <v>42590</v>
      </c>
      <c r="B954" s="13" t="n">
        <v>37726.6159031702</v>
      </c>
      <c r="C954" s="13" t="n">
        <v>32490.1360249405</v>
      </c>
      <c r="D954" s="13" t="n">
        <v>897</v>
      </c>
      <c r="E954" s="14" t="n">
        <v>42.0586576401006</v>
      </c>
      <c r="F954" s="14" t="n">
        <v>36.220887430257</v>
      </c>
      <c r="G954" s="13" t="n">
        <v>5236.4798782297</v>
      </c>
      <c r="H954" s="15" t="n">
        <v>0.138800678324018</v>
      </c>
      <c r="I954" s="15" t="n">
        <v>0.138800678324018</v>
      </c>
      <c r="J954" s="16" t="n">
        <v>2016</v>
      </c>
      <c r="K954" s="16" t="n">
        <v>8</v>
      </c>
      <c r="L954" s="16" t="n">
        <v>32</v>
      </c>
      <c r="M954" s="16" t="s">
        <v>32</v>
      </c>
      <c r="N954" s="17" t="b">
        <f aca="false">FALSE()</f>
        <v>0</v>
      </c>
      <c r="O954" s="14" t="n">
        <v>42.0621133217364</v>
      </c>
      <c r="P954" s="13" t="n">
        <v>1461.35714285714</v>
      </c>
      <c r="Q954" s="15" t="n">
        <v>-8.21566336751801E-005</v>
      </c>
      <c r="R954" s="15" t="n">
        <v>-0.386187008162667</v>
      </c>
      <c r="S954" s="17" t="b">
        <f aca="false">FALSE()</f>
        <v>0</v>
      </c>
    </row>
    <row r="955" customFormat="false" ht="15" hidden="false" customHeight="true" outlineLevel="0" collapsed="false">
      <c r="A955" s="12" t="n">
        <v>42591</v>
      </c>
      <c r="B955" s="13" t="n">
        <v>30831.6946269003</v>
      </c>
      <c r="C955" s="13" t="n">
        <v>26577.0794485226</v>
      </c>
      <c r="D955" s="13" t="n">
        <v>733</v>
      </c>
      <c r="E955" s="14" t="n">
        <v>42.0623391908598</v>
      </c>
      <c r="F955" s="14" t="n">
        <v>36.257952862923</v>
      </c>
      <c r="G955" s="13" t="n">
        <v>4254.61517837766</v>
      </c>
      <c r="H955" s="15" t="n">
        <v>0.137994853343727</v>
      </c>
      <c r="I955" s="15" t="n">
        <v>0.137994853343727</v>
      </c>
      <c r="J955" s="16" t="n">
        <v>2016</v>
      </c>
      <c r="K955" s="16" t="n">
        <v>8</v>
      </c>
      <c r="L955" s="16" t="n">
        <v>32</v>
      </c>
      <c r="M955" s="16" t="s">
        <v>33</v>
      </c>
      <c r="N955" s="17" t="b">
        <f aca="false">FALSE()</f>
        <v>0</v>
      </c>
      <c r="O955" s="14" t="n">
        <v>42.0608905547123</v>
      </c>
      <c r="P955" s="13" t="n">
        <v>1452.28571428571</v>
      </c>
      <c r="Q955" s="15" t="n">
        <v>3.44414045542742E-005</v>
      </c>
      <c r="R955" s="15" t="n">
        <v>-0.495278378910093</v>
      </c>
      <c r="S955" s="17" t="b">
        <f aca="false">FALSE()</f>
        <v>0</v>
      </c>
    </row>
    <row r="956" customFormat="false" ht="15" hidden="false" customHeight="true" outlineLevel="0" collapsed="false">
      <c r="A956" s="12" t="n">
        <v>42592</v>
      </c>
      <c r="B956" s="13" t="n">
        <v>146811.45511516</v>
      </c>
      <c r="C956" s="13" t="n">
        <v>155135.629111836</v>
      </c>
      <c r="D956" s="13" t="n">
        <v>4282</v>
      </c>
      <c r="E956" s="14" t="n">
        <v>34.285720484624</v>
      </c>
      <c r="F956" s="14" t="n">
        <v>36.2297125436328</v>
      </c>
      <c r="G956" s="13" t="n">
        <v>-8324.17399667559</v>
      </c>
      <c r="H956" s="15" t="n">
        <v>-0.0566997581363527</v>
      </c>
      <c r="I956" s="15" t="n">
        <v>-0.0566997581363527</v>
      </c>
      <c r="J956" s="16" t="n">
        <v>2016</v>
      </c>
      <c r="K956" s="16" t="n">
        <v>8</v>
      </c>
      <c r="L956" s="16" t="n">
        <v>32</v>
      </c>
      <c r="M956" s="16" t="s">
        <v>34</v>
      </c>
      <c r="N956" s="17" t="b">
        <f aca="false">FALSE()</f>
        <v>0</v>
      </c>
      <c r="O956" s="14" t="n">
        <v>42.0621281493447</v>
      </c>
      <c r="P956" s="13" t="n">
        <v>1430.07142857143</v>
      </c>
      <c r="Q956" s="15" t="n">
        <v>-0.184879082606328</v>
      </c>
      <c r="R956" s="15" t="n">
        <v>1.99425603116727</v>
      </c>
      <c r="S956" s="17" t="b">
        <f aca="false">TRUE()</f>
        <v>1</v>
      </c>
    </row>
    <row r="957" customFormat="false" ht="15" hidden="false" customHeight="true" outlineLevel="0" collapsed="false">
      <c r="A957" s="12" t="n">
        <v>42593</v>
      </c>
      <c r="B957" s="13" t="n">
        <v>99867.3296190874</v>
      </c>
      <c r="C957" s="13" t="n">
        <v>103826.701412471</v>
      </c>
      <c r="D957" s="13" t="n">
        <v>2867</v>
      </c>
      <c r="E957" s="14" t="n">
        <v>34.833390170592</v>
      </c>
      <c r="F957" s="14" t="n">
        <v>36.2144057943743</v>
      </c>
      <c r="G957" s="13" t="n">
        <v>-3959.37179338373</v>
      </c>
      <c r="H957" s="15" t="n">
        <v>-0.0396463168534246</v>
      </c>
      <c r="I957" s="15" t="n">
        <v>-0.0396463168534245</v>
      </c>
      <c r="J957" s="16" t="n">
        <v>2016</v>
      </c>
      <c r="K957" s="16" t="n">
        <v>8</v>
      </c>
      <c r="L957" s="16" t="n">
        <v>32</v>
      </c>
      <c r="M957" s="16" t="s">
        <v>35</v>
      </c>
      <c r="N957" s="17" t="b">
        <f aca="false">FALSE()</f>
        <v>0</v>
      </c>
      <c r="O957" s="14" t="n">
        <v>41.5058439786548</v>
      </c>
      <c r="P957" s="13" t="n">
        <v>1620.85714285714</v>
      </c>
      <c r="Q957" s="15" t="n">
        <v>-0.160759381534182</v>
      </c>
      <c r="R957" s="15" t="n">
        <v>0.768817204301075</v>
      </c>
      <c r="S957" s="17" t="b">
        <f aca="false">TRUE()</f>
        <v>1</v>
      </c>
    </row>
    <row r="958" customFormat="false" ht="15" hidden="false" customHeight="true" outlineLevel="0" collapsed="false">
      <c r="A958" s="12" t="n">
        <v>42594</v>
      </c>
      <c r="B958" s="13" t="n">
        <v>210664.862781478</v>
      </c>
      <c r="C958" s="13" t="n">
        <v>220379.276676556</v>
      </c>
      <c r="D958" s="13" t="n">
        <v>6082</v>
      </c>
      <c r="E958" s="14" t="n">
        <v>34.6374322231959</v>
      </c>
      <c r="F958" s="14" t="n">
        <v>36.2346722585591</v>
      </c>
      <c r="G958" s="13" t="n">
        <v>-9714.41389507894</v>
      </c>
      <c r="H958" s="15" t="n">
        <v>-0.0461131190404339</v>
      </c>
      <c r="I958" s="15" t="n">
        <v>-0.0461131190404337</v>
      </c>
      <c r="J958" s="16" t="n">
        <v>2016</v>
      </c>
      <c r="K958" s="16" t="n">
        <v>8</v>
      </c>
      <c r="L958" s="16" t="n">
        <v>32</v>
      </c>
      <c r="M958" s="16" t="s">
        <v>36</v>
      </c>
      <c r="N958" s="17" t="b">
        <f aca="false">FALSE()</f>
        <v>0</v>
      </c>
      <c r="O958" s="14" t="n">
        <v>40.9893158658978</v>
      </c>
      <c r="P958" s="13" t="n">
        <v>1737.5</v>
      </c>
      <c r="Q958" s="15" t="n">
        <v>-0.154964373240163</v>
      </c>
      <c r="R958" s="15" t="n">
        <v>2.50043165467626</v>
      </c>
      <c r="S958" s="17" t="b">
        <f aca="false">TRUE()</f>
        <v>1</v>
      </c>
    </row>
    <row r="959" customFormat="false" ht="15" hidden="false" customHeight="true" outlineLevel="0" collapsed="false">
      <c r="A959" s="12" t="n">
        <v>42595</v>
      </c>
      <c r="B959" s="13" t="n">
        <v>266271.039073093</v>
      </c>
      <c r="C959" s="13" t="n">
        <v>281658.418319123</v>
      </c>
      <c r="D959" s="13" t="n">
        <v>7771</v>
      </c>
      <c r="E959" s="14" t="n">
        <v>34.2647071256072</v>
      </c>
      <c r="F959" s="14" t="n">
        <v>36.2448099754372</v>
      </c>
      <c r="G959" s="13" t="n">
        <v>-15387.3792460293</v>
      </c>
      <c r="H959" s="15" t="n">
        <v>-0.0577884072544791</v>
      </c>
      <c r="I959" s="15" t="n">
        <v>-0.0577884072544791</v>
      </c>
      <c r="J959" s="16" t="n">
        <v>2016</v>
      </c>
      <c r="K959" s="16" t="n">
        <v>8</v>
      </c>
      <c r="L959" s="16" t="n">
        <v>32</v>
      </c>
      <c r="M959" s="16" t="s">
        <v>37</v>
      </c>
      <c r="N959" s="17" t="b">
        <f aca="false">TRUE()</f>
        <v>1</v>
      </c>
      <c r="O959" s="14" t="n">
        <v>40.4588351109912</v>
      </c>
      <c r="P959" s="13" t="n">
        <v>2013.14285714286</v>
      </c>
      <c r="Q959" s="15" t="n">
        <v>-0.153097042176117</v>
      </c>
      <c r="R959" s="15" t="n">
        <v>2.8601334090264</v>
      </c>
      <c r="S959" s="17" t="b">
        <f aca="false">TRUE()</f>
        <v>1</v>
      </c>
    </row>
    <row r="960" customFormat="false" ht="15" hidden="false" customHeight="true" outlineLevel="0" collapsed="false">
      <c r="A960" s="12" t="n">
        <v>42596</v>
      </c>
      <c r="B960" s="13" t="n">
        <v>123084.039069415</v>
      </c>
      <c r="C960" s="13" t="n">
        <v>129601.527226619</v>
      </c>
      <c r="D960" s="13" t="n">
        <v>3576</v>
      </c>
      <c r="E960" s="14" t="n">
        <v>34.4194740127</v>
      </c>
      <c r="F960" s="14" t="n">
        <v>36.24203781505</v>
      </c>
      <c r="G960" s="13" t="n">
        <v>-6517.48815720371</v>
      </c>
      <c r="H960" s="15" t="n">
        <v>-0.0529515297554387</v>
      </c>
      <c r="I960" s="15" t="n">
        <v>-0.0529515297554387</v>
      </c>
      <c r="J960" s="16" t="n">
        <v>2016</v>
      </c>
      <c r="K960" s="16" t="n">
        <v>8</v>
      </c>
      <c r="L960" s="16" t="n">
        <v>32</v>
      </c>
      <c r="M960" s="16" t="s">
        <v>38</v>
      </c>
      <c r="N960" s="17" t="b">
        <f aca="false">TRUE()</f>
        <v>1</v>
      </c>
      <c r="O960" s="14" t="n">
        <v>39.9022308996853</v>
      </c>
      <c r="P960" s="13" t="n">
        <v>2406.28571428571</v>
      </c>
      <c r="Q960" s="15" t="n">
        <v>-0.137404770694876</v>
      </c>
      <c r="R960" s="15" t="n">
        <v>0.486107812871052</v>
      </c>
      <c r="S960" s="17" t="b">
        <f aca="false">TRUE()</f>
        <v>1</v>
      </c>
    </row>
    <row r="961" customFormat="false" ht="15" hidden="false" customHeight="true" outlineLevel="0" collapsed="false">
      <c r="A961" s="12" t="n">
        <v>42597</v>
      </c>
      <c r="B961" s="13" t="n">
        <v>162727.524777145</v>
      </c>
      <c r="C961" s="13" t="n">
        <v>168580.170571439</v>
      </c>
      <c r="D961" s="13" t="n">
        <v>4649</v>
      </c>
      <c r="E961" s="14" t="n">
        <v>35.0026940798333</v>
      </c>
      <c r="F961" s="14" t="n">
        <v>36.2615983160764</v>
      </c>
      <c r="G961" s="13" t="n">
        <v>-5852.64579429422</v>
      </c>
      <c r="H961" s="15" t="n">
        <v>-0.0359659240334996</v>
      </c>
      <c r="I961" s="15" t="n">
        <v>-0.0359659240334996</v>
      </c>
      <c r="J961" s="16" t="n">
        <v>2016</v>
      </c>
      <c r="K961" s="16" t="n">
        <v>8</v>
      </c>
      <c r="L961" s="16" t="n">
        <v>33</v>
      </c>
      <c r="M961" s="16" t="s">
        <v>32</v>
      </c>
      <c r="N961" s="17" t="b">
        <f aca="false">FALSE()</f>
        <v>0</v>
      </c>
      <c r="O961" s="14" t="n">
        <v>39.3564743826399</v>
      </c>
      <c r="P961" s="13" t="n">
        <v>2560.64285714286</v>
      </c>
      <c r="Q961" s="15" t="n">
        <v>-0.110624245974812</v>
      </c>
      <c r="R961" s="15" t="n">
        <v>0.815559708778487</v>
      </c>
      <c r="S961" s="17" t="b">
        <f aca="false">TRUE()</f>
        <v>1</v>
      </c>
    </row>
    <row r="962" customFormat="false" ht="15" hidden="false" customHeight="true" outlineLevel="0" collapsed="false">
      <c r="A962" s="12" t="n">
        <v>42598</v>
      </c>
      <c r="B962" s="13" t="n">
        <v>114708.945994047</v>
      </c>
      <c r="C962" s="13" t="n">
        <v>119758.061703468</v>
      </c>
      <c r="D962" s="13" t="n">
        <v>3302</v>
      </c>
      <c r="E962" s="14" t="n">
        <v>34.7392325845084</v>
      </c>
      <c r="F962" s="14" t="n">
        <v>36.2683409156475</v>
      </c>
      <c r="G962" s="13" t="n">
        <v>-5049.11570942137</v>
      </c>
      <c r="H962" s="15" t="n">
        <v>-0.044016756196883</v>
      </c>
      <c r="I962" s="15" t="n">
        <v>-0.0440167561968831</v>
      </c>
      <c r="J962" s="16" t="n">
        <v>2016</v>
      </c>
      <c r="K962" s="16" t="n">
        <v>8</v>
      </c>
      <c r="L962" s="16" t="n">
        <v>33</v>
      </c>
      <c r="M962" s="16" t="s">
        <v>33</v>
      </c>
      <c r="N962" s="17" t="b">
        <f aca="false">FALSE()</f>
        <v>0</v>
      </c>
      <c r="O962" s="14" t="n">
        <v>38.851223562938</v>
      </c>
      <c r="P962" s="13" t="n">
        <v>2782.14285714286</v>
      </c>
      <c r="Q962" s="15" t="n">
        <v>-0.105839420263518</v>
      </c>
      <c r="R962" s="15" t="n">
        <v>0.186854942233633</v>
      </c>
      <c r="S962" s="17" t="b">
        <f aca="false">TRUE()</f>
        <v>1</v>
      </c>
    </row>
    <row r="963" customFormat="false" ht="15" hidden="false" customHeight="true" outlineLevel="0" collapsed="false">
      <c r="A963" s="12" t="n">
        <v>42599</v>
      </c>
      <c r="B963" s="13" t="n">
        <v>122318.907468986</v>
      </c>
      <c r="C963" s="13" t="n">
        <v>128298.343456949</v>
      </c>
      <c r="D963" s="13" t="n">
        <v>3536</v>
      </c>
      <c r="E963" s="14" t="n">
        <v>34.5924512072925</v>
      </c>
      <c r="F963" s="14" t="n">
        <v>36.2834681722141</v>
      </c>
      <c r="G963" s="13" t="n">
        <v>-5979.43598796275</v>
      </c>
      <c r="H963" s="15" t="n">
        <v>-0.0488839878616379</v>
      </c>
      <c r="I963" s="15" t="n">
        <v>-0.0488839878616381</v>
      </c>
      <c r="J963" s="16" t="n">
        <v>2016</v>
      </c>
      <c r="K963" s="16" t="n">
        <v>8</v>
      </c>
      <c r="L963" s="16" t="n">
        <v>33</v>
      </c>
      <c r="M963" s="16" t="s">
        <v>34</v>
      </c>
      <c r="N963" s="17" t="b">
        <f aca="false">FALSE()</f>
        <v>0</v>
      </c>
      <c r="O963" s="14" t="n">
        <v>38.3273538186978</v>
      </c>
      <c r="P963" s="13" t="n">
        <v>2898.07142857143</v>
      </c>
      <c r="Q963" s="15" t="n">
        <v>-0.0974474426038577</v>
      </c>
      <c r="R963" s="15" t="n">
        <v>0.220121755847485</v>
      </c>
      <c r="S963" s="17" t="b">
        <f aca="false">TRUE()</f>
        <v>1</v>
      </c>
    </row>
    <row r="964" customFormat="false" ht="15" hidden="false" customHeight="true" outlineLevel="0" collapsed="false">
      <c r="A964" s="12" t="n">
        <v>42600</v>
      </c>
      <c r="B964" s="13" t="n">
        <v>112010.344531497</v>
      </c>
      <c r="C964" s="13" t="n">
        <v>117374.19157936</v>
      </c>
      <c r="D964" s="13" t="n">
        <v>3236</v>
      </c>
      <c r="E964" s="14" t="n">
        <v>34.613827111093</v>
      </c>
      <c r="F964" s="14" t="n">
        <v>36.2713818230409</v>
      </c>
      <c r="G964" s="13" t="n">
        <v>-5363.84704786353</v>
      </c>
      <c r="H964" s="15" t="n">
        <v>-0.0478870685587012</v>
      </c>
      <c r="I964" s="15" t="n">
        <v>-0.0478870685587012</v>
      </c>
      <c r="J964" s="16" t="n">
        <v>2016</v>
      </c>
      <c r="K964" s="16" t="n">
        <v>8</v>
      </c>
      <c r="L964" s="16" t="n">
        <v>33</v>
      </c>
      <c r="M964" s="16" t="s">
        <v>35</v>
      </c>
      <c r="N964" s="17" t="b">
        <f aca="false">FALSE()</f>
        <v>0</v>
      </c>
      <c r="O964" s="14" t="n">
        <v>37.7946363280506</v>
      </c>
      <c r="P964" s="13" t="n">
        <v>3068.35714285714</v>
      </c>
      <c r="Q964" s="15" t="n">
        <v>-0.0841603340047708</v>
      </c>
      <c r="R964" s="15" t="n">
        <v>0.0546360313802175</v>
      </c>
      <c r="S964" s="17" t="b">
        <f aca="false">FALSE()</f>
        <v>0</v>
      </c>
    </row>
    <row r="965" customFormat="false" ht="15" hidden="false" customHeight="true" outlineLevel="0" collapsed="false">
      <c r="A965" s="12" t="n">
        <v>42601</v>
      </c>
      <c r="B965" s="13" t="n">
        <v>229861.47028058</v>
      </c>
      <c r="C965" s="13" t="n">
        <v>241090.133556305</v>
      </c>
      <c r="D965" s="13" t="n">
        <v>6646</v>
      </c>
      <c r="E965" s="14" t="n">
        <v>34.5864385014415</v>
      </c>
      <c r="F965" s="14" t="n">
        <v>36.2759755576745</v>
      </c>
      <c r="G965" s="13" t="n">
        <v>-11228.6632757252</v>
      </c>
      <c r="H965" s="15" t="n">
        <v>-0.0488496974374127</v>
      </c>
      <c r="I965" s="15" t="n">
        <v>-0.0488496974374126</v>
      </c>
      <c r="J965" s="16" t="n">
        <v>2016</v>
      </c>
      <c r="K965" s="16" t="n">
        <v>8</v>
      </c>
      <c r="L965" s="16" t="n">
        <v>33</v>
      </c>
      <c r="M965" s="16" t="s">
        <v>36</v>
      </c>
      <c r="N965" s="17" t="b">
        <f aca="false">FALSE()</f>
        <v>0</v>
      </c>
      <c r="O965" s="14" t="n">
        <v>37.263849493512</v>
      </c>
      <c r="P965" s="13" t="n">
        <v>3220.85714285714</v>
      </c>
      <c r="Q965" s="15" t="n">
        <v>-0.0718500914012318</v>
      </c>
      <c r="R965" s="15" t="n">
        <v>1.06342588485763</v>
      </c>
      <c r="S965" s="17" t="b">
        <f aca="false">TRUE()</f>
        <v>1</v>
      </c>
    </row>
    <row r="966" customFormat="false" ht="15" hidden="false" customHeight="true" outlineLevel="0" collapsed="false">
      <c r="A966" s="12" t="n">
        <v>42602</v>
      </c>
      <c r="B966" s="13" t="n">
        <v>249981.249694195</v>
      </c>
      <c r="C966" s="13" t="n">
        <v>262145.17733742</v>
      </c>
      <c r="D966" s="13" t="n">
        <v>7220</v>
      </c>
      <c r="E966" s="14" t="n">
        <v>34.6234417858995</v>
      </c>
      <c r="F966" s="14" t="n">
        <v>36.3081963071219</v>
      </c>
      <c r="G966" s="13" t="n">
        <v>-12163.927643225</v>
      </c>
      <c r="H966" s="15" t="n">
        <v>-0.0486593600844276</v>
      </c>
      <c r="I966" s="15" t="n">
        <v>-0.0486593600844278</v>
      </c>
      <c r="J966" s="16" t="n">
        <v>2016</v>
      </c>
      <c r="K966" s="16" t="n">
        <v>8</v>
      </c>
      <c r="L966" s="16" t="n">
        <v>33</v>
      </c>
      <c r="M966" s="16" t="s">
        <v>37</v>
      </c>
      <c r="N966" s="17" t="b">
        <f aca="false">TRUE()</f>
        <v>1</v>
      </c>
      <c r="O966" s="14" t="n">
        <v>36.7293534344115</v>
      </c>
      <c r="P966" s="13" t="n">
        <v>3570.85714285714</v>
      </c>
      <c r="Q966" s="15" t="n">
        <v>-0.0573359303008845</v>
      </c>
      <c r="R966" s="15" t="n">
        <v>1.02192350776124</v>
      </c>
      <c r="S966" s="17" t="b">
        <f aca="false">TRUE()</f>
        <v>1</v>
      </c>
    </row>
    <row r="967" customFormat="false" ht="15" hidden="false" customHeight="true" outlineLevel="0" collapsed="false">
      <c r="A967" s="12" t="n">
        <v>42603</v>
      </c>
      <c r="B967" s="13" t="n">
        <v>136480.2491167</v>
      </c>
      <c r="C967" s="13" t="n">
        <v>143734.227215171</v>
      </c>
      <c r="D967" s="13" t="n">
        <v>3958</v>
      </c>
      <c r="E967" s="14" t="n">
        <v>34.4821245873421</v>
      </c>
      <c r="F967" s="14" t="n">
        <v>36.3148628638633</v>
      </c>
      <c r="G967" s="13" t="n">
        <v>-7253.97809847072</v>
      </c>
      <c r="H967" s="15" t="n">
        <v>-0.0531503872935348</v>
      </c>
      <c r="I967" s="15" t="n">
        <v>-0.0531503872935349</v>
      </c>
      <c r="J967" s="16" t="n">
        <v>2016</v>
      </c>
      <c r="K967" s="16" t="n">
        <v>8</v>
      </c>
      <c r="L967" s="16" t="n">
        <v>33</v>
      </c>
      <c r="M967" s="16" t="s">
        <v>38</v>
      </c>
      <c r="N967" s="17" t="b">
        <f aca="false">TRUE()</f>
        <v>1</v>
      </c>
      <c r="O967" s="14" t="n">
        <v>36.1978808748292</v>
      </c>
      <c r="P967" s="13" t="n">
        <v>3965.14285714286</v>
      </c>
      <c r="Q967" s="15" t="n">
        <v>-0.0473993572557475</v>
      </c>
      <c r="R967" s="15" t="n">
        <v>-0.00180141230724893</v>
      </c>
      <c r="S967" s="17" t="b">
        <f aca="false">FALSE()</f>
        <v>0</v>
      </c>
    </row>
    <row r="968" customFormat="false" ht="15" hidden="false" customHeight="true" outlineLevel="0" collapsed="false">
      <c r="A968" s="12" t="n">
        <v>42604</v>
      </c>
      <c r="B968" s="13" t="n">
        <v>127369.802614331</v>
      </c>
      <c r="C968" s="13" t="n">
        <v>133350.161382229</v>
      </c>
      <c r="D968" s="13" t="n">
        <v>3672</v>
      </c>
      <c r="E968" s="14" t="n">
        <v>34.6867654178462</v>
      </c>
      <c r="F968" s="14" t="n">
        <v>36.3154034265329</v>
      </c>
      <c r="G968" s="13" t="n">
        <v>-5980.35876789743</v>
      </c>
      <c r="H968" s="15" t="n">
        <v>-0.0469527207010411</v>
      </c>
      <c r="I968" s="15" t="n">
        <v>-0.0469527207010409</v>
      </c>
      <c r="J968" s="16" t="n">
        <v>2016</v>
      </c>
      <c r="K968" s="16" t="n">
        <v>8</v>
      </c>
      <c r="L968" s="16" t="n">
        <v>34</v>
      </c>
      <c r="M968" s="16" t="s">
        <v>32</v>
      </c>
      <c r="N968" s="17" t="b">
        <f aca="false">FALSE()</f>
        <v>0</v>
      </c>
      <c r="O968" s="14" t="n">
        <v>35.6572807646493</v>
      </c>
      <c r="P968" s="13" t="n">
        <v>4196.78571428572</v>
      </c>
      <c r="Q968" s="15" t="n">
        <v>-0.0272178732082456</v>
      </c>
      <c r="R968" s="15" t="n">
        <v>-0.125044677048762</v>
      </c>
      <c r="S968" s="17" t="b">
        <f aca="false">FALSE()</f>
        <v>0</v>
      </c>
    </row>
    <row r="969" customFormat="false" ht="15" hidden="false" customHeight="true" outlineLevel="0" collapsed="false">
      <c r="A969" s="12" t="n">
        <v>42605</v>
      </c>
      <c r="B969" s="13" t="n">
        <v>43537.7281582203</v>
      </c>
      <c r="C969" s="13" t="n">
        <v>37649.3875279995</v>
      </c>
      <c r="D969" s="13" t="n">
        <v>1035</v>
      </c>
      <c r="E969" s="14" t="n">
        <v>42.0654378340292</v>
      </c>
      <c r="F969" s="14" t="n">
        <v>36.376219833816</v>
      </c>
      <c r="G969" s="13" t="n">
        <v>5888.34063022073</v>
      </c>
      <c r="H969" s="15" t="n">
        <v>0.135246850934021</v>
      </c>
      <c r="I969" s="15" t="n">
        <v>0.135246850934021</v>
      </c>
      <c r="J969" s="16" t="n">
        <v>2016</v>
      </c>
      <c r="K969" s="16" t="n">
        <v>8</v>
      </c>
      <c r="L969" s="16" t="n">
        <v>34</v>
      </c>
      <c r="M969" s="16" t="s">
        <v>33</v>
      </c>
      <c r="N969" s="17" t="b">
        <f aca="false">FALSE()</f>
        <v>0</v>
      </c>
      <c r="O969" s="14" t="n">
        <v>35.1307170344883</v>
      </c>
      <c r="P969" s="13" t="n">
        <v>4395</v>
      </c>
      <c r="Q969" s="15" t="n">
        <v>0.197397644708848</v>
      </c>
      <c r="R969" s="15" t="n">
        <v>-0.764505119453925</v>
      </c>
      <c r="S969" s="17" t="b">
        <f aca="false">FALSE()</f>
        <v>0</v>
      </c>
    </row>
    <row r="970" customFormat="false" ht="15" hidden="false" customHeight="true" outlineLevel="0" collapsed="false">
      <c r="A970" s="12" t="n">
        <v>42606</v>
      </c>
      <c r="B970" s="13" t="n">
        <v>120407.413267863</v>
      </c>
      <c r="C970" s="13" t="n">
        <v>127699.415911396</v>
      </c>
      <c r="D970" s="13" t="n">
        <v>3549</v>
      </c>
      <c r="E970" s="14" t="n">
        <v>33.9271381425369</v>
      </c>
      <c r="F970" s="14" t="n">
        <v>35.9818021728362</v>
      </c>
      <c r="G970" s="13" t="n">
        <v>-7292.00264353247</v>
      </c>
      <c r="H970" s="15" t="n">
        <v>-0.0605610771432352</v>
      </c>
      <c r="I970" s="15" t="n">
        <v>-0.0605610771432352</v>
      </c>
      <c r="J970" s="16" t="n">
        <v>2016</v>
      </c>
      <c r="K970" s="16" t="n">
        <v>8</v>
      </c>
      <c r="L970" s="16" t="n">
        <v>34</v>
      </c>
      <c r="M970" s="16" t="s">
        <v>34</v>
      </c>
      <c r="N970" s="17" t="b">
        <f aca="false">FALSE()</f>
        <v>0</v>
      </c>
      <c r="O970" s="14" t="n">
        <v>35.1309383661432</v>
      </c>
      <c r="P970" s="13" t="n">
        <v>4416.57142857143</v>
      </c>
      <c r="Q970" s="15" t="n">
        <v>-0.0342660993298854</v>
      </c>
      <c r="R970" s="15" t="n">
        <v>-0.196435502652348</v>
      </c>
      <c r="S970" s="17" t="b">
        <f aca="false">FALSE()</f>
        <v>0</v>
      </c>
    </row>
    <row r="971" customFormat="false" ht="15" hidden="false" customHeight="true" outlineLevel="0" collapsed="false">
      <c r="A971" s="12" t="n">
        <v>42607</v>
      </c>
      <c r="B971" s="13" t="n">
        <v>226375.543134796</v>
      </c>
      <c r="C971" s="13" t="n">
        <v>240429.685547203</v>
      </c>
      <c r="D971" s="13" t="n">
        <v>6647</v>
      </c>
      <c r="E971" s="14" t="n">
        <v>34.0567990273501</v>
      </c>
      <c r="F971" s="14" t="n">
        <v>36.1711577474354</v>
      </c>
      <c r="G971" s="13" t="n">
        <v>-14054.1424124073</v>
      </c>
      <c r="H971" s="15" t="n">
        <v>-0.0620833073122159</v>
      </c>
      <c r="I971" s="15" t="n">
        <v>-0.0620833073122158</v>
      </c>
      <c r="J971" s="16" t="n">
        <v>2016</v>
      </c>
      <c r="K971" s="16" t="n">
        <v>8</v>
      </c>
      <c r="L971" s="16" t="n">
        <v>34</v>
      </c>
      <c r="M971" s="16" t="s">
        <v>35</v>
      </c>
      <c r="N971" s="17" t="b">
        <f aca="false">FALSE()</f>
        <v>0</v>
      </c>
      <c r="O971" s="14" t="n">
        <v>35.1053253417084</v>
      </c>
      <c r="P971" s="13" t="n">
        <v>4364.21428571429</v>
      </c>
      <c r="Q971" s="15" t="n">
        <v>-0.0298680130194541</v>
      </c>
      <c r="R971" s="15" t="n">
        <v>0.523069117334163</v>
      </c>
      <c r="S971" s="17" t="b">
        <f aca="false">FALSE()</f>
        <v>0</v>
      </c>
    </row>
    <row r="972" customFormat="false" ht="15" hidden="false" customHeight="true" outlineLevel="0" collapsed="false">
      <c r="A972" s="12" t="n">
        <v>42608</v>
      </c>
      <c r="B972" s="13" t="n">
        <v>337900.178233596</v>
      </c>
      <c r="C972" s="13" t="n">
        <v>358772.25036411</v>
      </c>
      <c r="D972" s="13" t="n">
        <v>9908</v>
      </c>
      <c r="E972" s="14" t="n">
        <v>34.1037725306415</v>
      </c>
      <c r="F972" s="14" t="n">
        <v>36.2103603516461</v>
      </c>
      <c r="G972" s="13" t="n">
        <v>-20872.0721305139</v>
      </c>
      <c r="H972" s="15" t="n">
        <v>-0.0617699352501812</v>
      </c>
      <c r="I972" s="15" t="n">
        <v>-0.0617699352501812</v>
      </c>
      <c r="J972" s="16" t="n">
        <v>2016</v>
      </c>
      <c r="K972" s="16" t="n">
        <v>8</v>
      </c>
      <c r="L972" s="16" t="n">
        <v>34</v>
      </c>
      <c r="M972" s="16" t="s">
        <v>36</v>
      </c>
      <c r="N972" s="17" t="b">
        <f aca="false">FALSE()</f>
        <v>0</v>
      </c>
      <c r="O972" s="14" t="n">
        <v>35.0498545457626</v>
      </c>
      <c r="P972" s="13" t="n">
        <v>4634.21428571429</v>
      </c>
      <c r="Q972" s="15" t="n">
        <v>-0.0269924662279513</v>
      </c>
      <c r="R972" s="15" t="n">
        <v>1.13801075848888</v>
      </c>
      <c r="S972" s="17" t="b">
        <f aca="false">FALSE()</f>
        <v>0</v>
      </c>
    </row>
    <row r="973" customFormat="false" ht="15" hidden="false" customHeight="true" outlineLevel="0" collapsed="false">
      <c r="A973" s="12" t="n">
        <v>42609</v>
      </c>
      <c r="B973" s="13" t="n">
        <v>355069.540106817</v>
      </c>
      <c r="C973" s="13" t="n">
        <v>376755.564483526</v>
      </c>
      <c r="D973" s="13" t="n">
        <v>10393</v>
      </c>
      <c r="E973" s="14" t="n">
        <v>34.1642971333414</v>
      </c>
      <c r="F973" s="14" t="n">
        <v>36.2508962266454</v>
      </c>
      <c r="G973" s="13" t="n">
        <v>-21686.0243767091</v>
      </c>
      <c r="H973" s="15" t="n">
        <v>-0.0610754286897864</v>
      </c>
      <c r="I973" s="15" t="n">
        <v>-0.0610754286897862</v>
      </c>
      <c r="J973" s="16" t="n">
        <v>2016</v>
      </c>
      <c r="K973" s="16" t="n">
        <v>8</v>
      </c>
      <c r="L973" s="16" t="n">
        <v>34</v>
      </c>
      <c r="M973" s="16" t="s">
        <v>37</v>
      </c>
      <c r="N973" s="17" t="b">
        <f aca="false">TRUE()</f>
        <v>1</v>
      </c>
      <c r="O973" s="14" t="n">
        <v>35.0117359962944</v>
      </c>
      <c r="P973" s="13" t="n">
        <v>4907.5</v>
      </c>
      <c r="Q973" s="15" t="n">
        <v>-0.0242044228553164</v>
      </c>
      <c r="R973" s="15" t="n">
        <v>1.11777890983189</v>
      </c>
      <c r="S973" s="17" t="b">
        <f aca="false">FALSE()</f>
        <v>0</v>
      </c>
    </row>
    <row r="974" customFormat="false" ht="15" hidden="false" customHeight="true" outlineLevel="0" collapsed="false">
      <c r="A974" s="12" t="n">
        <v>42610</v>
      </c>
      <c r="B974" s="13" t="n">
        <v>153893.68522805</v>
      </c>
      <c r="C974" s="13" t="n">
        <v>163401.329154059</v>
      </c>
      <c r="D974" s="13" t="n">
        <v>4507</v>
      </c>
      <c r="E974" s="14" t="n">
        <v>34.1454815238629</v>
      </c>
      <c r="F974" s="14" t="n">
        <v>36.2550097967737</v>
      </c>
      <c r="G974" s="13" t="n">
        <v>-9507.64392600875</v>
      </c>
      <c r="H974" s="15" t="n">
        <v>-0.0617805981572257</v>
      </c>
      <c r="I974" s="15" t="n">
        <v>-0.0617805981572255</v>
      </c>
      <c r="J974" s="16" t="n">
        <v>2016</v>
      </c>
      <c r="K974" s="16" t="n">
        <v>8</v>
      </c>
      <c r="L974" s="16" t="n">
        <v>34</v>
      </c>
      <c r="M974" s="16" t="s">
        <v>38</v>
      </c>
      <c r="N974" s="17" t="b">
        <f aca="false">TRUE()</f>
        <v>1</v>
      </c>
      <c r="O974" s="14" t="n">
        <v>35.0045638539897</v>
      </c>
      <c r="P974" s="13" t="n">
        <v>5094.78571428572</v>
      </c>
      <c r="Q974" s="15" t="n">
        <v>-0.0245420092565688</v>
      </c>
      <c r="R974" s="15" t="n">
        <v>-0.115370056219945</v>
      </c>
      <c r="S974" s="17" t="b">
        <f aca="false">FALSE()</f>
        <v>0</v>
      </c>
    </row>
    <row r="975" customFormat="false" ht="15" hidden="false" customHeight="true" outlineLevel="0" collapsed="false">
      <c r="A975" s="12" t="n">
        <v>42611</v>
      </c>
      <c r="B975" s="13" t="n">
        <v>159625.740922425</v>
      </c>
      <c r="C975" s="13" t="n">
        <v>169479.106054065</v>
      </c>
      <c r="D975" s="13" t="n">
        <v>4672</v>
      </c>
      <c r="E975" s="14" t="n">
        <v>34.1664685193547</v>
      </c>
      <c r="F975" s="14" t="n">
        <v>36.2754935903393</v>
      </c>
      <c r="G975" s="13" t="n">
        <v>-9853.36513164011</v>
      </c>
      <c r="H975" s="15" t="n">
        <v>-0.0617279210401826</v>
      </c>
      <c r="I975" s="15" t="n">
        <v>-0.0617279210401827</v>
      </c>
      <c r="J975" s="16" t="n">
        <v>2016</v>
      </c>
      <c r="K975" s="16" t="n">
        <v>8</v>
      </c>
      <c r="L975" s="16" t="n">
        <v>35</v>
      </c>
      <c r="M975" s="16" t="s">
        <v>32</v>
      </c>
      <c r="N975" s="17" t="b">
        <f aca="false">FALSE()</f>
        <v>0</v>
      </c>
      <c r="O975" s="14" t="n">
        <v>34.9849929619299</v>
      </c>
      <c r="P975" s="13" t="n">
        <v>5161.28571428572</v>
      </c>
      <c r="Q975" s="15" t="n">
        <v>-0.0233964443973423</v>
      </c>
      <c r="R975" s="15" t="n">
        <v>-0.0947991917849927</v>
      </c>
      <c r="S975" s="17" t="b">
        <f aca="false">FALSE()</f>
        <v>0</v>
      </c>
    </row>
    <row r="976" customFormat="false" ht="15" hidden="false" customHeight="true" outlineLevel="0" collapsed="false">
      <c r="A976" s="12" t="n">
        <v>42612</v>
      </c>
      <c r="B976" s="13" t="n">
        <v>133961.966992851</v>
      </c>
      <c r="C976" s="13" t="n">
        <v>142299.917791848</v>
      </c>
      <c r="D976" s="13" t="n">
        <v>3924</v>
      </c>
      <c r="E976" s="14" t="n">
        <v>34.1391353192792</v>
      </c>
      <c r="F976" s="14" t="n">
        <v>36.2639953597983</v>
      </c>
      <c r="G976" s="13" t="n">
        <v>-8337.95079899699</v>
      </c>
      <c r="H976" s="15" t="n">
        <v>-0.0622411792403879</v>
      </c>
      <c r="I976" s="15" t="n">
        <v>-0.0622411792403879</v>
      </c>
      <c r="J976" s="16" t="n">
        <v>2016</v>
      </c>
      <c r="K976" s="16" t="n">
        <v>8</v>
      </c>
      <c r="L976" s="16" t="n">
        <v>35</v>
      </c>
      <c r="M976" s="16" t="s">
        <v>33</v>
      </c>
      <c r="N976" s="17" t="b">
        <f aca="false">FALSE()</f>
        <v>0</v>
      </c>
      <c r="O976" s="14" t="n">
        <v>34.9252625647529</v>
      </c>
      <c r="P976" s="13" t="n">
        <v>5162.92857142857</v>
      </c>
      <c r="Q976" s="15" t="n">
        <v>-0.0225088428187532</v>
      </c>
      <c r="R976" s="15" t="n">
        <v>-0.239966242857736</v>
      </c>
      <c r="S976" s="17" t="b">
        <f aca="false">FALSE()</f>
        <v>0</v>
      </c>
    </row>
    <row r="977" customFormat="false" ht="15" hidden="false" customHeight="true" outlineLevel="0" collapsed="false">
      <c r="A977" s="12" t="n">
        <v>42613</v>
      </c>
      <c r="B977" s="13" t="n">
        <v>236305.156366476</v>
      </c>
      <c r="C977" s="13" t="n">
        <v>250572.453387795</v>
      </c>
      <c r="D977" s="13" t="n">
        <v>6918</v>
      </c>
      <c r="E977" s="14" t="n">
        <v>34.1580162426245</v>
      </c>
      <c r="F977" s="14" t="n">
        <v>36.2203604203231</v>
      </c>
      <c r="G977" s="13" t="n">
        <v>-14267.2970213186</v>
      </c>
      <c r="H977" s="15" t="n">
        <v>-0.0603765793379136</v>
      </c>
      <c r="I977" s="15" t="n">
        <v>-0.0603765793379137</v>
      </c>
      <c r="J977" s="16" t="n">
        <v>2016</v>
      </c>
      <c r="K977" s="16" t="n">
        <v>8</v>
      </c>
      <c r="L977" s="16" t="n">
        <v>35</v>
      </c>
      <c r="M977" s="16" t="s">
        <v>34</v>
      </c>
      <c r="N977" s="17" t="b">
        <f aca="false">FALSE()</f>
        <v>0</v>
      </c>
      <c r="O977" s="14" t="n">
        <v>34.8823984743793</v>
      </c>
      <c r="P977" s="13" t="n">
        <v>5207.35714285714</v>
      </c>
      <c r="Q977" s="15" t="n">
        <v>-0.0207664112399523</v>
      </c>
      <c r="R977" s="15" t="n">
        <v>0.328504999794247</v>
      </c>
      <c r="S977" s="17" t="b">
        <f aca="false">FALSE()</f>
        <v>0</v>
      </c>
    </row>
    <row r="978" customFormat="false" ht="15" hidden="false" customHeight="true" outlineLevel="0" collapsed="false">
      <c r="A978" s="12" t="n">
        <v>42614</v>
      </c>
      <c r="B978" s="13" t="n">
        <v>313491.735118815</v>
      </c>
      <c r="C978" s="13" t="n">
        <v>333030.875704027</v>
      </c>
      <c r="D978" s="13" t="n">
        <v>9183</v>
      </c>
      <c r="E978" s="14" t="n">
        <v>34.1382701860846</v>
      </c>
      <c r="F978" s="14" t="n">
        <v>36.2660215293507</v>
      </c>
      <c r="G978" s="13" t="n">
        <v>-19539.1405852128</v>
      </c>
      <c r="H978" s="15" t="n">
        <v>-0.0623274504439723</v>
      </c>
      <c r="I978" s="15" t="n">
        <v>-0.0623274504439722</v>
      </c>
      <c r="J978" s="16" t="n">
        <v>2016</v>
      </c>
      <c r="K978" s="16" t="n">
        <v>9</v>
      </c>
      <c r="L978" s="16" t="n">
        <v>35</v>
      </c>
      <c r="M978" s="16" t="s">
        <v>35</v>
      </c>
      <c r="N978" s="17" t="b">
        <f aca="false">FALSE()</f>
        <v>0</v>
      </c>
      <c r="O978" s="14" t="n">
        <v>34.8513674054745</v>
      </c>
      <c r="P978" s="13" t="n">
        <v>5448.92857142857</v>
      </c>
      <c r="Q978" s="15" t="n">
        <v>-0.0204610972962257</v>
      </c>
      <c r="R978" s="15" t="n">
        <v>0.685285442747591</v>
      </c>
      <c r="S978" s="17" t="b">
        <f aca="false">FALSE()</f>
        <v>0</v>
      </c>
    </row>
    <row r="979" customFormat="false" ht="15" hidden="false" customHeight="true" outlineLevel="0" collapsed="false">
      <c r="A979" s="12" t="n">
        <v>42615</v>
      </c>
      <c r="B979" s="13" t="n">
        <v>370355.001734241</v>
      </c>
      <c r="C979" s="13" t="n">
        <v>392493.082691823</v>
      </c>
      <c r="D979" s="13" t="n">
        <v>10830</v>
      </c>
      <c r="E979" s="14" t="n">
        <v>34.1971377409271</v>
      </c>
      <c r="F979" s="14" t="n">
        <v>36.2412818736678</v>
      </c>
      <c r="G979" s="13" t="n">
        <v>-22138.0809575819</v>
      </c>
      <c r="H979" s="15" t="n">
        <v>-0.0597752989804841</v>
      </c>
      <c r="I979" s="15" t="n">
        <v>-0.059775298980484</v>
      </c>
      <c r="J979" s="16" t="n">
        <v>2016</v>
      </c>
      <c r="K979" s="16" t="n">
        <v>9</v>
      </c>
      <c r="L979" s="16" t="n">
        <v>35</v>
      </c>
      <c r="M979" s="16" t="s">
        <v>36</v>
      </c>
      <c r="N979" s="17" t="b">
        <f aca="false">FALSE()</f>
        <v>0</v>
      </c>
      <c r="O979" s="14" t="n">
        <v>34.8173990536882</v>
      </c>
      <c r="P979" s="13" t="n">
        <v>5873.71428571429</v>
      </c>
      <c r="Q979" s="15" t="n">
        <v>-0.0178146940788028</v>
      </c>
      <c r="R979" s="15" t="n">
        <v>0.843807763401109</v>
      </c>
      <c r="S979" s="17" t="b">
        <f aca="false">FALSE()</f>
        <v>0</v>
      </c>
    </row>
    <row r="980" customFormat="false" ht="15" hidden="false" customHeight="true" outlineLevel="0" collapsed="false">
      <c r="A980" s="12" t="n">
        <v>42616</v>
      </c>
      <c r="B980" s="13" t="n">
        <v>369091.055392498</v>
      </c>
      <c r="C980" s="13" t="n">
        <v>391842.501397803</v>
      </c>
      <c r="D980" s="13" t="n">
        <v>10800</v>
      </c>
      <c r="E980" s="14" t="n">
        <v>34.1750977215276</v>
      </c>
      <c r="F980" s="14" t="n">
        <v>36.2817130923892</v>
      </c>
      <c r="G980" s="13" t="n">
        <v>-22751.4460053051</v>
      </c>
      <c r="H980" s="15" t="n">
        <v>-0.0616418243490371</v>
      </c>
      <c r="I980" s="15" t="n">
        <v>-0.0616418243490371</v>
      </c>
      <c r="J980" s="16" t="n">
        <v>2016</v>
      </c>
      <c r="K980" s="16" t="n">
        <v>9</v>
      </c>
      <c r="L980" s="16" t="n">
        <v>35</v>
      </c>
      <c r="M980" s="16" t="s">
        <v>37</v>
      </c>
      <c r="N980" s="17" t="b">
        <f aca="false">TRUE()</f>
        <v>1</v>
      </c>
      <c r="O980" s="14" t="n">
        <v>34.7895918565086</v>
      </c>
      <c r="P980" s="13" t="n">
        <v>6172.57142857143</v>
      </c>
      <c r="Q980" s="15" t="n">
        <v>-0.0176631602208926</v>
      </c>
      <c r="R980" s="15" t="n">
        <v>0.749675985928532</v>
      </c>
      <c r="S980" s="17" t="b">
        <f aca="false">FALSE()</f>
        <v>0</v>
      </c>
    </row>
    <row r="981" customFormat="false" ht="15" hidden="false" customHeight="true" outlineLevel="0" collapsed="false">
      <c r="A981" s="12" t="n">
        <v>42617</v>
      </c>
      <c r="B981" s="13" t="n">
        <v>209026.019671959</v>
      </c>
      <c r="C981" s="13" t="n">
        <v>222163.728909274</v>
      </c>
      <c r="D981" s="13" t="n">
        <v>6119</v>
      </c>
      <c r="E981" s="14" t="n">
        <v>34.1601601032781</v>
      </c>
      <c r="F981" s="14" t="n">
        <v>36.307195441947</v>
      </c>
      <c r="G981" s="13" t="n">
        <v>-13137.709237315</v>
      </c>
      <c r="H981" s="15" t="n">
        <v>-0.0628520279816507</v>
      </c>
      <c r="I981" s="15" t="n">
        <v>-0.0628520279816508</v>
      </c>
      <c r="J981" s="16" t="n">
        <v>2016</v>
      </c>
      <c r="K981" s="16" t="n">
        <v>9</v>
      </c>
      <c r="L981" s="16" t="n">
        <v>35</v>
      </c>
      <c r="M981" s="16" t="s">
        <v>38</v>
      </c>
      <c r="N981" s="17" t="b">
        <f aca="false">TRUE()</f>
        <v>1</v>
      </c>
      <c r="O981" s="14" t="n">
        <v>34.757567280482</v>
      </c>
      <c r="P981" s="13" t="n">
        <v>6428.28571428572</v>
      </c>
      <c r="Q981" s="15" t="n">
        <v>-0.0171878305631414</v>
      </c>
      <c r="R981" s="15" t="n">
        <v>-0.0481132494777546</v>
      </c>
      <c r="S981" s="17" t="b">
        <f aca="false">FALSE()</f>
        <v>0</v>
      </c>
    </row>
    <row r="982" customFormat="false" ht="15" hidden="false" customHeight="true" outlineLevel="0" collapsed="false">
      <c r="A982" s="12" t="n">
        <v>42618</v>
      </c>
      <c r="B982" s="13" t="n">
        <v>228177.31678003</v>
      </c>
      <c r="C982" s="13" t="n">
        <v>242589.587218544</v>
      </c>
      <c r="D982" s="13" t="n">
        <v>6685</v>
      </c>
      <c r="E982" s="14" t="n">
        <v>34.1327325026223</v>
      </c>
      <c r="F982" s="14" t="n">
        <v>36.2886443109266</v>
      </c>
      <c r="G982" s="13" t="n">
        <v>-14412.2704385141</v>
      </c>
      <c r="H982" s="15" t="n">
        <v>-0.0631625905760299</v>
      </c>
      <c r="I982" s="15" t="n">
        <v>-0.06316259057603</v>
      </c>
      <c r="J982" s="16" t="n">
        <v>2016</v>
      </c>
      <c r="K982" s="16" t="n">
        <v>9</v>
      </c>
      <c r="L982" s="16" t="n">
        <v>36</v>
      </c>
      <c r="M982" s="16" t="s">
        <v>32</v>
      </c>
      <c r="N982" s="17" t="b">
        <f aca="false">FALSE()</f>
        <v>0</v>
      </c>
      <c r="O982" s="14" t="n">
        <v>34.7345698173346</v>
      </c>
      <c r="P982" s="13" t="n">
        <v>6582.64285714286</v>
      </c>
      <c r="Q982" s="15" t="n">
        <v>-0.0173267530842412</v>
      </c>
      <c r="R982" s="15" t="n">
        <v>0.0155495513091789</v>
      </c>
      <c r="S982" s="17" t="b">
        <f aca="false">FALSE()</f>
        <v>0</v>
      </c>
    </row>
    <row r="983" customFormat="false" ht="15" hidden="false" customHeight="true" outlineLevel="0" collapsed="false">
      <c r="A983" s="12" t="n">
        <v>42619</v>
      </c>
      <c r="B983" s="13" t="n">
        <v>154494.78204917</v>
      </c>
      <c r="C983" s="13" t="n">
        <v>164108.826444586</v>
      </c>
      <c r="D983" s="13" t="n">
        <v>4519</v>
      </c>
      <c r="E983" s="14" t="n">
        <v>34.1878251934433</v>
      </c>
      <c r="F983" s="14" t="n">
        <v>36.3152968454495</v>
      </c>
      <c r="G983" s="13" t="n">
        <v>-9614.04439541587</v>
      </c>
      <c r="H983" s="15" t="n">
        <v>-0.0622289262323181</v>
      </c>
      <c r="I983" s="15" t="n">
        <v>-0.062228926232318</v>
      </c>
      <c r="J983" s="16" t="n">
        <v>2016</v>
      </c>
      <c r="K983" s="16" t="n">
        <v>9</v>
      </c>
      <c r="L983" s="16" t="n">
        <v>36</v>
      </c>
      <c r="M983" s="16" t="s">
        <v>33</v>
      </c>
      <c r="N983" s="17" t="b">
        <f aca="false">FALSE()</f>
        <v>0</v>
      </c>
      <c r="O983" s="14" t="n">
        <v>34.6949960376757</v>
      </c>
      <c r="P983" s="13" t="n">
        <v>6797.85714285714</v>
      </c>
      <c r="Q983" s="15" t="n">
        <v>-0.0146179824802886</v>
      </c>
      <c r="R983" s="15" t="n">
        <v>-0.335231690658821</v>
      </c>
      <c r="S983" s="17" t="b">
        <f aca="false">FALSE()</f>
        <v>0</v>
      </c>
    </row>
    <row r="984" customFormat="false" ht="15" hidden="false" customHeight="true" outlineLevel="0" collapsed="false">
      <c r="A984" s="12" t="n">
        <v>42620</v>
      </c>
      <c r="B984" s="13" t="n">
        <v>50736.4741722001</v>
      </c>
      <c r="C984" s="13" t="n">
        <v>43830.1968528723</v>
      </c>
      <c r="D984" s="13" t="n">
        <v>1206</v>
      </c>
      <c r="E984" s="14" t="n">
        <v>42.0700449189056</v>
      </c>
      <c r="F984" s="14" t="n">
        <v>36.3434468100102</v>
      </c>
      <c r="G984" s="13" t="n">
        <v>6906.27731932783</v>
      </c>
      <c r="H984" s="15" t="n">
        <v>0.136120560839286</v>
      </c>
      <c r="I984" s="15" t="n">
        <v>0.136120560839286</v>
      </c>
      <c r="J984" s="16" t="n">
        <v>2016</v>
      </c>
      <c r="K984" s="16" t="n">
        <v>9</v>
      </c>
      <c r="L984" s="16" t="n">
        <v>36</v>
      </c>
      <c r="M984" s="16" t="s">
        <v>34</v>
      </c>
      <c r="N984" s="17" t="b">
        <f aca="false">FALSE()</f>
        <v>0</v>
      </c>
      <c r="O984" s="14" t="n">
        <v>34.132309420491</v>
      </c>
      <c r="P984" s="13" t="n">
        <v>7046.71428571429</v>
      </c>
      <c r="Q984" s="15" t="n">
        <v>0.232557820820915</v>
      </c>
      <c r="R984" s="15" t="n">
        <v>-0.82885640724147</v>
      </c>
      <c r="S984" s="17" t="b">
        <f aca="false">FALSE()</f>
        <v>0</v>
      </c>
    </row>
    <row r="985" customFormat="false" ht="15" hidden="false" customHeight="true" outlineLevel="0" collapsed="false">
      <c r="A985" s="12" t="n">
        <v>42621</v>
      </c>
      <c r="B985" s="13" t="n">
        <v>43292.1492365103</v>
      </c>
      <c r="C985" s="13" t="n">
        <v>37391.6808894561</v>
      </c>
      <c r="D985" s="13" t="n">
        <v>1029</v>
      </c>
      <c r="E985" s="14" t="n">
        <v>42.0720595106999</v>
      </c>
      <c r="F985" s="14" t="n">
        <v>36.3378823026784</v>
      </c>
      <c r="G985" s="13" t="n">
        <v>5900.46834705414</v>
      </c>
      <c r="H985" s="15" t="n">
        <v>0.136294188464037</v>
      </c>
      <c r="I985" s="15" t="n">
        <v>0.136294188464037</v>
      </c>
      <c r="J985" s="16" t="n">
        <v>2016</v>
      </c>
      <c r="K985" s="16" t="n">
        <v>9</v>
      </c>
      <c r="L985" s="16" t="n">
        <v>36</v>
      </c>
      <c r="M985" s="16" t="s">
        <v>35</v>
      </c>
      <c r="N985" s="17" t="b">
        <f aca="false">FALSE()</f>
        <v>0</v>
      </c>
      <c r="O985" s="14" t="n">
        <v>34.7139456188031</v>
      </c>
      <c r="P985" s="13" t="n">
        <v>6879.35714285714</v>
      </c>
      <c r="Q985" s="15" t="n">
        <v>0.211964205184193</v>
      </c>
      <c r="R985" s="15" t="n">
        <v>-0.850422070168517</v>
      </c>
      <c r="S985" s="17" t="b">
        <f aca="false">FALSE()</f>
        <v>0</v>
      </c>
    </row>
    <row r="986" customFormat="false" ht="15" hidden="false" customHeight="true" outlineLevel="0" collapsed="false">
      <c r="A986" s="12" t="n">
        <v>42622</v>
      </c>
      <c r="B986" s="13" t="n">
        <v>77335.9185976342</v>
      </c>
      <c r="C986" s="13" t="n">
        <v>69612.1267018875</v>
      </c>
      <c r="D986" s="13" t="n">
        <v>1917</v>
      </c>
      <c r="E986" s="14" t="n">
        <v>40.3421588928712</v>
      </c>
      <c r="F986" s="14" t="n">
        <v>36.3130551392214</v>
      </c>
      <c r="G986" s="13" t="n">
        <v>7723.79189574669</v>
      </c>
      <c r="H986" s="15" t="n">
        <v>0.0998732805636187</v>
      </c>
      <c r="I986" s="15" t="n">
        <v>0.0998732805636187</v>
      </c>
      <c r="J986" s="16" t="n">
        <v>2016</v>
      </c>
      <c r="K986" s="16" t="n">
        <v>9</v>
      </c>
      <c r="L986" s="16" t="n">
        <v>36</v>
      </c>
      <c r="M986" s="16" t="s">
        <v>36</v>
      </c>
      <c r="N986" s="17" t="b">
        <f aca="false">FALSE()</f>
        <v>0</v>
      </c>
      <c r="O986" s="14" t="n">
        <v>35.2864642247566</v>
      </c>
      <c r="P986" s="13" t="n">
        <v>6478.07142857143</v>
      </c>
      <c r="Q986" s="15" t="n">
        <v>0.143275751175081</v>
      </c>
      <c r="R986" s="15" t="n">
        <v>-0.704078594819887</v>
      </c>
      <c r="S986" s="17" t="b">
        <f aca="false">FALSE()</f>
        <v>0</v>
      </c>
    </row>
    <row r="987" customFormat="false" ht="15" hidden="false" customHeight="true" outlineLevel="0" collapsed="false">
      <c r="A987" s="12" t="n">
        <v>42623</v>
      </c>
      <c r="B987" s="13" t="n">
        <v>85070.2348897339</v>
      </c>
      <c r="C987" s="13" t="n">
        <v>76591.852917485</v>
      </c>
      <c r="D987" s="13" t="n">
        <v>2108</v>
      </c>
      <c r="E987" s="14" t="n">
        <v>40.3558989040484</v>
      </c>
      <c r="F987" s="14" t="n">
        <v>36.3338960709132</v>
      </c>
      <c r="G987" s="13" t="n">
        <v>8478.38197224891</v>
      </c>
      <c r="H987" s="15" t="n">
        <v>0.0996633191766591</v>
      </c>
      <c r="I987" s="15" t="n">
        <v>0.0996633191766592</v>
      </c>
      <c r="J987" s="16" t="n">
        <v>2016</v>
      </c>
      <c r="K987" s="16" t="n">
        <v>9</v>
      </c>
      <c r="L987" s="16" t="n">
        <v>36</v>
      </c>
      <c r="M987" s="16" t="s">
        <v>37</v>
      </c>
      <c r="N987" s="17" t="b">
        <f aca="false">TRUE()</f>
        <v>1</v>
      </c>
      <c r="O987" s="14" t="n">
        <v>35.7320632506302</v>
      </c>
      <c r="P987" s="13" t="n">
        <v>5907.28571428572</v>
      </c>
      <c r="Q987" s="15" t="n">
        <v>0.12940298524006</v>
      </c>
      <c r="R987" s="15" t="n">
        <v>-0.643152523518174</v>
      </c>
      <c r="S987" s="17" t="b">
        <f aca="false">FALSE()</f>
        <v>0</v>
      </c>
    </row>
    <row r="988" customFormat="false" ht="15" hidden="false" customHeight="true" outlineLevel="0" collapsed="false">
      <c r="A988" s="12" t="n">
        <v>42624</v>
      </c>
      <c r="B988" s="13" t="n">
        <v>48831.6661053702</v>
      </c>
      <c r="C988" s="13" t="n">
        <v>44014.2320187302</v>
      </c>
      <c r="D988" s="13" t="n">
        <v>1211</v>
      </c>
      <c r="E988" s="14" t="n">
        <v>40.3234237038565</v>
      </c>
      <c r="F988" s="14" t="n">
        <v>36.3453608742611</v>
      </c>
      <c r="G988" s="13" t="n">
        <v>4817.43408664002</v>
      </c>
      <c r="H988" s="15" t="n">
        <v>0.0986538955325594</v>
      </c>
      <c r="I988" s="15" t="n">
        <v>0.0986538955325593</v>
      </c>
      <c r="J988" s="16" t="n">
        <v>2016</v>
      </c>
      <c r="K988" s="16" t="n">
        <v>9</v>
      </c>
      <c r="L988" s="16" t="n">
        <v>36</v>
      </c>
      <c r="M988" s="16" t="s">
        <v>38</v>
      </c>
      <c r="N988" s="17" t="b">
        <f aca="false">TRUE()</f>
        <v>1</v>
      </c>
      <c r="O988" s="14" t="n">
        <v>36.1743205199664</v>
      </c>
      <c r="P988" s="13" t="n">
        <v>5315.5</v>
      </c>
      <c r="Q988" s="15" t="n">
        <v>0.114697473905558</v>
      </c>
      <c r="R988" s="15" t="n">
        <v>-0.772175712538802</v>
      </c>
      <c r="S988" s="17" t="b">
        <f aca="false">FALSE()</f>
        <v>0</v>
      </c>
    </row>
    <row r="989" customFormat="false" ht="15" hidden="false" customHeight="true" outlineLevel="0" collapsed="false">
      <c r="A989" s="12" t="n">
        <v>42625</v>
      </c>
      <c r="B989" s="13" t="n">
        <v>52075.1571766001</v>
      </c>
      <c r="C989" s="13" t="n">
        <v>46884.1425080878</v>
      </c>
      <c r="D989" s="13" t="n">
        <v>1291</v>
      </c>
      <c r="E989" s="14" t="n">
        <v>40.3370698501937</v>
      </c>
      <c r="F989" s="14" t="n">
        <v>36.3161444679224</v>
      </c>
      <c r="G989" s="13" t="n">
        <v>5191.01466851231</v>
      </c>
      <c r="H989" s="15" t="n">
        <v>0.0996831301134293</v>
      </c>
      <c r="I989" s="15" t="n">
        <v>0.0996831301134293</v>
      </c>
      <c r="J989" s="16" t="n">
        <v>2016</v>
      </c>
      <c r="K989" s="16" t="n">
        <v>9</v>
      </c>
      <c r="L989" s="16" t="n">
        <v>37</v>
      </c>
      <c r="M989" s="16" t="s">
        <v>32</v>
      </c>
      <c r="N989" s="17" t="b">
        <f aca="false">FALSE()</f>
        <v>0</v>
      </c>
      <c r="O989" s="14" t="n">
        <v>36.6156021042516</v>
      </c>
      <c r="P989" s="13" t="n">
        <v>5080.07142857143</v>
      </c>
      <c r="Q989" s="15" t="n">
        <v>0.101636120453417</v>
      </c>
      <c r="R989" s="15" t="n">
        <v>-0.745869714992759</v>
      </c>
      <c r="S989" s="17" t="b">
        <f aca="false">FALSE()</f>
        <v>0</v>
      </c>
    </row>
    <row r="990" customFormat="false" ht="15" hidden="false" customHeight="true" outlineLevel="0" collapsed="false">
      <c r="A990" s="12" t="n">
        <v>42626</v>
      </c>
      <c r="B990" s="13" t="n">
        <v>30424.7262566901</v>
      </c>
      <c r="C990" s="13" t="n">
        <v>27398.5881268937</v>
      </c>
      <c r="D990" s="13" t="n">
        <v>755</v>
      </c>
      <c r="E990" s="14" t="n">
        <v>40.2976506711128</v>
      </c>
      <c r="F990" s="14" t="n">
        <v>36.2895206978724</v>
      </c>
      <c r="G990" s="13" t="n">
        <v>3026.13812979643</v>
      </c>
      <c r="H990" s="15" t="n">
        <v>0.0994631177373703</v>
      </c>
      <c r="I990" s="15" t="n">
        <v>0.0994631177373703</v>
      </c>
      <c r="J990" s="16" t="n">
        <v>2016</v>
      </c>
      <c r="K990" s="16" t="n">
        <v>9</v>
      </c>
      <c r="L990" s="16" t="n">
        <v>37</v>
      </c>
      <c r="M990" s="16" t="s">
        <v>33</v>
      </c>
      <c r="N990" s="17" t="b">
        <f aca="false">FALSE()</f>
        <v>0</v>
      </c>
      <c r="O990" s="14" t="n">
        <v>37.0563593421687</v>
      </c>
      <c r="P990" s="13" t="n">
        <v>4838.57142857143</v>
      </c>
      <c r="Q990" s="15" t="n">
        <v>0.0874692329868353</v>
      </c>
      <c r="R990" s="15" t="n">
        <v>-0.843962208444051</v>
      </c>
      <c r="S990" s="17" t="b">
        <f aca="false">FALSE()</f>
        <v>0</v>
      </c>
    </row>
    <row r="991" customFormat="false" ht="15" hidden="false" customHeight="true" outlineLevel="0" collapsed="false">
      <c r="A991" s="12" t="n">
        <v>42627</v>
      </c>
      <c r="B991" s="13" t="n">
        <v>20495.113025005</v>
      </c>
      <c r="C991" s="13" t="n">
        <v>18375.0526076978</v>
      </c>
      <c r="D991" s="13" t="n">
        <v>508</v>
      </c>
      <c r="E991" s="14" t="n">
        <v>40.3447106791437</v>
      </c>
      <c r="F991" s="14" t="n">
        <v>36.17136340098</v>
      </c>
      <c r="G991" s="13" t="n">
        <v>2120.06041730716</v>
      </c>
      <c r="H991" s="15" t="n">
        <v>0.103442240826903</v>
      </c>
      <c r="I991" s="15" t="n">
        <v>0.103442240826903</v>
      </c>
      <c r="J991" s="16" t="n">
        <v>2016</v>
      </c>
      <c r="K991" s="16" t="n">
        <v>9</v>
      </c>
      <c r="L991" s="16" t="n">
        <v>37</v>
      </c>
      <c r="M991" s="16" t="s">
        <v>34</v>
      </c>
      <c r="N991" s="17" t="b">
        <f aca="false">FALSE()</f>
        <v>0</v>
      </c>
      <c r="O991" s="14" t="n">
        <v>37.4962532958711</v>
      </c>
      <c r="P991" s="13" t="n">
        <v>4612.21428571429</v>
      </c>
      <c r="Q991" s="15" t="n">
        <v>0.0759664535226044</v>
      </c>
      <c r="R991" s="15" t="n">
        <v>-0.889857676046522</v>
      </c>
      <c r="S991" s="17" t="b">
        <f aca="false">FALSE()</f>
        <v>0</v>
      </c>
    </row>
    <row r="992" customFormat="false" ht="15" hidden="false" customHeight="true" outlineLevel="0" collapsed="false">
      <c r="A992" s="12" t="n">
        <v>42628</v>
      </c>
      <c r="B992" s="13" t="n">
        <v>40742.1716811202</v>
      </c>
      <c r="C992" s="13" t="n">
        <v>36464.7598149407</v>
      </c>
      <c r="D992" s="13" t="n">
        <v>1010</v>
      </c>
      <c r="E992" s="14" t="n">
        <v>40.3387838426933</v>
      </c>
      <c r="F992" s="14" t="n">
        <v>36.1037225890502</v>
      </c>
      <c r="G992" s="13" t="n">
        <v>4277.41186617956</v>
      </c>
      <c r="H992" s="15" t="n">
        <v>0.104987331054856</v>
      </c>
      <c r="I992" s="15" t="n">
        <v>0.104987331054856</v>
      </c>
      <c r="J992" s="16" t="n">
        <v>2016</v>
      </c>
      <c r="K992" s="16" t="n">
        <v>9</v>
      </c>
      <c r="L992" s="16" t="n">
        <v>37</v>
      </c>
      <c r="M992" s="16" t="s">
        <v>35</v>
      </c>
      <c r="N992" s="17" t="b">
        <f aca="false">FALSE()</f>
        <v>0</v>
      </c>
      <c r="O992" s="14" t="n">
        <v>37.9381600413368</v>
      </c>
      <c r="P992" s="13" t="n">
        <v>4154.35714285714</v>
      </c>
      <c r="Q992" s="15" t="n">
        <v>0.0632772859501058</v>
      </c>
      <c r="R992" s="15" t="n">
        <v>-0.756881759254483</v>
      </c>
      <c r="S992" s="17" t="b">
        <f aca="false">FALSE()</f>
        <v>0</v>
      </c>
    </row>
    <row r="993" customFormat="false" ht="15" hidden="false" customHeight="true" outlineLevel="0" collapsed="false">
      <c r="A993" s="12" t="n">
        <v>42629</v>
      </c>
      <c r="B993" s="13" t="n">
        <v>69864.8369902195</v>
      </c>
      <c r="C993" s="13" t="n">
        <v>62545.1906845331</v>
      </c>
      <c r="D993" s="13" t="n">
        <v>1733</v>
      </c>
      <c r="E993" s="14" t="n">
        <v>40.3143894923367</v>
      </c>
      <c r="F993" s="14" t="n">
        <v>36.0907043765338</v>
      </c>
      <c r="G993" s="13" t="n">
        <v>7319.64630568642</v>
      </c>
      <c r="H993" s="15" t="n">
        <v>0.104768673642094</v>
      </c>
      <c r="I993" s="15" t="n">
        <v>0.104768673642094</v>
      </c>
      <c r="J993" s="16" t="n">
        <v>2016</v>
      </c>
      <c r="K993" s="16" t="n">
        <v>9</v>
      </c>
      <c r="L993" s="16" t="n">
        <v>37</v>
      </c>
      <c r="M993" s="16" t="s">
        <v>36</v>
      </c>
      <c r="N993" s="17" t="b">
        <f aca="false">FALSE()</f>
        <v>0</v>
      </c>
      <c r="O993" s="14" t="n">
        <v>38.3810538739517</v>
      </c>
      <c r="P993" s="13" t="n">
        <v>3570.57142857143</v>
      </c>
      <c r="Q993" s="15" t="n">
        <v>0.0503721347708264</v>
      </c>
      <c r="R993" s="15" t="n">
        <v>-0.514643514443467</v>
      </c>
      <c r="S993" s="17" t="b">
        <f aca="false">FALSE()</f>
        <v>0</v>
      </c>
    </row>
    <row r="994" customFormat="false" ht="15" hidden="false" customHeight="true" outlineLevel="0" collapsed="false">
      <c r="A994" s="12" t="n">
        <v>42630</v>
      </c>
      <c r="B994" s="13" t="n">
        <v>100120.711053233</v>
      </c>
      <c r="C994" s="13" t="n">
        <v>89572.4076150252</v>
      </c>
      <c r="D994" s="13" t="n">
        <v>2482</v>
      </c>
      <c r="E994" s="14" t="n">
        <v>40.3387232285387</v>
      </c>
      <c r="F994" s="14" t="n">
        <v>36.088802423459</v>
      </c>
      <c r="G994" s="13" t="n">
        <v>10548.3034382077</v>
      </c>
      <c r="H994" s="15" t="n">
        <v>0.105355858215982</v>
      </c>
      <c r="I994" s="15" t="n">
        <v>0.105355858215982</v>
      </c>
      <c r="J994" s="16" t="n">
        <v>2016</v>
      </c>
      <c r="K994" s="16" t="n">
        <v>9</v>
      </c>
      <c r="L994" s="16" t="n">
        <v>37</v>
      </c>
      <c r="M994" s="16" t="s">
        <v>37</v>
      </c>
      <c r="N994" s="17" t="b">
        <f aca="false">TRUE()</f>
        <v>1</v>
      </c>
      <c r="O994" s="14" t="n">
        <v>38.8180004276238</v>
      </c>
      <c r="P994" s="13" t="n">
        <v>2920.78571428571</v>
      </c>
      <c r="Q994" s="15" t="n">
        <v>0.0391757118904216</v>
      </c>
      <c r="R994" s="15" t="n">
        <v>-0.150228656672617</v>
      </c>
      <c r="S994" s="17" t="b">
        <f aca="false">FALSE()</f>
        <v>0</v>
      </c>
    </row>
    <row r="995" customFormat="false" ht="15" hidden="false" customHeight="true" outlineLevel="0" collapsed="false">
      <c r="A995" s="12" t="n">
        <v>42631</v>
      </c>
      <c r="B995" s="13" t="n">
        <v>49825.0970354301</v>
      </c>
      <c r="C995" s="13" t="n">
        <v>44593.7968833953</v>
      </c>
      <c r="D995" s="13" t="n">
        <v>1235</v>
      </c>
      <c r="E995" s="14" t="n">
        <v>40.3442081258544</v>
      </c>
      <c r="F995" s="14" t="n">
        <v>36.1083375574051</v>
      </c>
      <c r="G995" s="13" t="n">
        <v>5231.30015203486</v>
      </c>
      <c r="H995" s="15" t="n">
        <v>0.104993275744449</v>
      </c>
      <c r="I995" s="15" t="n">
        <v>0.104993275744449</v>
      </c>
      <c r="J995" s="16" t="n">
        <v>2016</v>
      </c>
      <c r="K995" s="16" t="n">
        <v>9</v>
      </c>
      <c r="L995" s="16" t="n">
        <v>37</v>
      </c>
      <c r="M995" s="16" t="s">
        <v>38</v>
      </c>
      <c r="N995" s="17" t="b">
        <f aca="false">TRUE()</f>
        <v>1</v>
      </c>
      <c r="O995" s="14" t="n">
        <v>39.2582593924103</v>
      </c>
      <c r="P995" s="13" t="n">
        <v>2326.64285714286</v>
      </c>
      <c r="Q995" s="15" t="n">
        <v>0.0276616628004144</v>
      </c>
      <c r="R995" s="15" t="n">
        <v>-0.469192275811255</v>
      </c>
      <c r="S995" s="17" t="b">
        <f aca="false">FALSE()</f>
        <v>0</v>
      </c>
    </row>
    <row r="996" customFormat="false" ht="15" hidden="false" customHeight="true" outlineLevel="0" collapsed="false">
      <c r="A996" s="12" t="n">
        <v>42632</v>
      </c>
      <c r="B996" s="13" t="n">
        <v>46566.4620520403</v>
      </c>
      <c r="C996" s="13" t="n">
        <v>41660.4404260837</v>
      </c>
      <c r="D996" s="13" t="n">
        <v>1155</v>
      </c>
      <c r="E996" s="14" t="n">
        <v>40.3172831619396</v>
      </c>
      <c r="F996" s="14" t="n">
        <v>36.0696453905487</v>
      </c>
      <c r="G996" s="13" t="n">
        <v>4906.02162595654</v>
      </c>
      <c r="H996" s="15" t="n">
        <v>0.105355258049749</v>
      </c>
      <c r="I996" s="15" t="n">
        <v>0.105355258049749</v>
      </c>
      <c r="J996" s="16" t="n">
        <v>2016</v>
      </c>
      <c r="K996" s="16" t="n">
        <v>9</v>
      </c>
      <c r="L996" s="16" t="n">
        <v>38</v>
      </c>
      <c r="M996" s="16" t="s">
        <v>32</v>
      </c>
      <c r="N996" s="17" t="b">
        <f aca="false">FALSE()</f>
        <v>0</v>
      </c>
      <c r="O996" s="14" t="n">
        <v>39.6999771083086</v>
      </c>
      <c r="P996" s="13" t="n">
        <v>1977.78571428571</v>
      </c>
      <c r="Q996" s="15" t="n">
        <v>0.0155492798382952</v>
      </c>
      <c r="R996" s="15" t="n">
        <v>-0.416013579399762</v>
      </c>
      <c r="S996" s="17" t="b">
        <f aca="false">FALSE()</f>
        <v>0</v>
      </c>
    </row>
    <row r="997" customFormat="false" ht="15" hidden="false" customHeight="true" outlineLevel="0" collapsed="false">
      <c r="A997" s="12" t="n">
        <v>42633</v>
      </c>
      <c r="B997" s="13" t="n">
        <v>37923.7658557854</v>
      </c>
      <c r="C997" s="13" t="n">
        <v>34031.1494871151</v>
      </c>
      <c r="D997" s="13" t="n">
        <v>940</v>
      </c>
      <c r="E997" s="14" t="n">
        <v>40.3444317614738</v>
      </c>
      <c r="F997" s="14" t="n">
        <v>36.2033505182076</v>
      </c>
      <c r="G997" s="13" t="n">
        <v>3892.61636867024</v>
      </c>
      <c r="H997" s="15" t="n">
        <v>0.102643191698654</v>
      </c>
      <c r="I997" s="15" t="n">
        <v>0.102643191698654</v>
      </c>
      <c r="J997" s="16" t="n">
        <v>2016</v>
      </c>
      <c r="K997" s="16" t="n">
        <v>9</v>
      </c>
      <c r="L997" s="16" t="n">
        <v>38</v>
      </c>
      <c r="M997" s="16" t="s">
        <v>33</v>
      </c>
      <c r="N997" s="17" t="b">
        <f aca="false">FALSE()</f>
        <v>0</v>
      </c>
      <c r="O997" s="14" t="n">
        <v>40.1417307268313</v>
      </c>
      <c r="P997" s="13" t="n">
        <v>1582.78571428571</v>
      </c>
      <c r="Q997" s="15" t="n">
        <v>0.00504963365984222</v>
      </c>
      <c r="R997" s="15" t="n">
        <v>-0.406110384042601</v>
      </c>
      <c r="S997" s="17" t="b">
        <f aca="false">FALSE()</f>
        <v>0</v>
      </c>
    </row>
    <row r="998" customFormat="false" ht="15" hidden="false" customHeight="true" outlineLevel="0" collapsed="false">
      <c r="A998" s="12" t="n">
        <v>42634</v>
      </c>
      <c r="B998" s="13" t="n">
        <v>50084.8127020653</v>
      </c>
      <c r="C998" s="13" t="n">
        <v>44832.2125989772</v>
      </c>
      <c r="D998" s="13" t="n">
        <v>1241</v>
      </c>
      <c r="E998" s="14" t="n">
        <v>40.3584308638721</v>
      </c>
      <c r="F998" s="14" t="n">
        <v>36.1258763891839</v>
      </c>
      <c r="G998" s="13" t="n">
        <v>5252.60010308801</v>
      </c>
      <c r="H998" s="15" t="n">
        <v>0.104874108930658</v>
      </c>
      <c r="I998" s="15" t="n">
        <v>0.104874108930658</v>
      </c>
      <c r="J998" s="16" t="n">
        <v>2016</v>
      </c>
      <c r="K998" s="16" t="n">
        <v>9</v>
      </c>
      <c r="L998" s="16" t="n">
        <v>38</v>
      </c>
      <c r="M998" s="16" t="s">
        <v>34</v>
      </c>
      <c r="N998" s="17" t="b">
        <f aca="false">FALSE()</f>
        <v>0</v>
      </c>
      <c r="O998" s="14" t="n">
        <v>40.5814883388335</v>
      </c>
      <c r="P998" s="13" t="n">
        <v>1327.14285714286</v>
      </c>
      <c r="Q998" s="15" t="n">
        <v>-0.00549653263327777</v>
      </c>
      <c r="R998" s="15" t="n">
        <v>-0.0649085037674919</v>
      </c>
      <c r="S998" s="17" t="b">
        <f aca="false">FALSE()</f>
        <v>0</v>
      </c>
    </row>
    <row r="999" customFormat="false" ht="15" hidden="false" customHeight="true" outlineLevel="0" collapsed="false">
      <c r="A999" s="12" t="n">
        <v>42635</v>
      </c>
      <c r="B999" s="13" t="n">
        <v>41885.8282782804</v>
      </c>
      <c r="C999" s="13" t="n">
        <v>37565.4785909277</v>
      </c>
      <c r="D999" s="13" t="n">
        <v>1039</v>
      </c>
      <c r="E999" s="14" t="n">
        <v>40.3135979579214</v>
      </c>
      <c r="F999" s="14" t="n">
        <v>36.1554173156185</v>
      </c>
      <c r="G999" s="13" t="n">
        <v>4320.34968735273</v>
      </c>
      <c r="H999" s="15" t="n">
        <v>0.103145857798233</v>
      </c>
      <c r="I999" s="15" t="n">
        <v>0.103145857798233</v>
      </c>
      <c r="J999" s="16" t="n">
        <v>2016</v>
      </c>
      <c r="K999" s="16" t="n">
        <v>9</v>
      </c>
      <c r="L999" s="16" t="n">
        <v>38</v>
      </c>
      <c r="M999" s="16" t="s">
        <v>35</v>
      </c>
      <c r="N999" s="17" t="b">
        <f aca="false">FALSE()</f>
        <v>0</v>
      </c>
      <c r="O999" s="14" t="n">
        <v>40.4592301920453</v>
      </c>
      <c r="P999" s="13" t="n">
        <v>1329.64285714286</v>
      </c>
      <c r="Q999" s="15" t="n">
        <v>-0.00359948109325439</v>
      </c>
      <c r="R999" s="15" t="n">
        <v>-0.218587160891754</v>
      </c>
      <c r="S999" s="17" t="b">
        <f aca="false">FALSE()</f>
        <v>0</v>
      </c>
    </row>
    <row r="1000" customFormat="false" ht="15" hidden="false" customHeight="true" outlineLevel="0" collapsed="false">
      <c r="A1000" s="12" t="n">
        <v>42636</v>
      </c>
      <c r="B1000" s="13" t="n">
        <v>147503.573158325</v>
      </c>
      <c r="C1000" s="13" t="n">
        <v>131964.515793699</v>
      </c>
      <c r="D1000" s="13" t="n">
        <v>3657</v>
      </c>
      <c r="E1000" s="14" t="n">
        <v>40.3345838551614</v>
      </c>
      <c r="F1000" s="14" t="n">
        <v>36.0854568754986</v>
      </c>
      <c r="G1000" s="13" t="n">
        <v>15539.0573646266</v>
      </c>
      <c r="H1000" s="15" t="n">
        <v>0.105346989445114</v>
      </c>
      <c r="I1000" s="15" t="n">
        <v>0.105346989445114</v>
      </c>
      <c r="J1000" s="16" t="n">
        <v>2016</v>
      </c>
      <c r="K1000" s="16" t="n">
        <v>9</v>
      </c>
      <c r="L1000" s="16" t="n">
        <v>38</v>
      </c>
      <c r="M1000" s="16" t="s">
        <v>36</v>
      </c>
      <c r="N1000" s="17" t="b">
        <f aca="false">FALSE()</f>
        <v>0</v>
      </c>
      <c r="O1000" s="14" t="n">
        <v>40.3336257954183</v>
      </c>
      <c r="P1000" s="13" t="n">
        <v>1330.35714285714</v>
      </c>
      <c r="Q1000" s="15" t="n">
        <v>2.37533751102976E-005</v>
      </c>
      <c r="R1000" s="15" t="n">
        <v>1.74888590604027</v>
      </c>
      <c r="S1000" s="17" t="b">
        <f aca="false">FALSE()</f>
        <v>0</v>
      </c>
    </row>
    <row r="1001" customFormat="false" ht="15" hidden="false" customHeight="true" outlineLevel="0" collapsed="false">
      <c r="A1001" s="12" t="n">
        <v>42637</v>
      </c>
      <c r="B1001" s="13" t="n">
        <v>151639.183843411</v>
      </c>
      <c r="C1001" s="13" t="n">
        <v>135498.163197194</v>
      </c>
      <c r="D1001" s="13" t="n">
        <v>3758</v>
      </c>
      <c r="E1001" s="14" t="n">
        <v>40.3510334868045</v>
      </c>
      <c r="F1001" s="14" t="n">
        <v>36.0559242142614</v>
      </c>
      <c r="G1001" s="13" t="n">
        <v>16141.0206462171</v>
      </c>
      <c r="H1001" s="15" t="n">
        <v>0.106443600111202</v>
      </c>
      <c r="I1001" s="15" t="n">
        <v>0.106443600111202</v>
      </c>
      <c r="J1001" s="16" t="n">
        <v>2016</v>
      </c>
      <c r="K1001" s="16" t="n">
        <v>9</v>
      </c>
      <c r="L1001" s="16" t="n">
        <v>38</v>
      </c>
      <c r="M1001" s="16" t="s">
        <v>37</v>
      </c>
      <c r="N1001" s="17" t="b">
        <f aca="false">TRUE()</f>
        <v>1</v>
      </c>
      <c r="O1001" s="14" t="n">
        <v>40.3330847212962</v>
      </c>
      <c r="P1001" s="13" t="n">
        <v>1454.64285714286</v>
      </c>
      <c r="Q1001" s="15" t="n">
        <v>0.000445013458116839</v>
      </c>
      <c r="R1001" s="15" t="n">
        <v>1.58345200098208</v>
      </c>
      <c r="S1001" s="17" t="b">
        <f aca="false">FALSE()</f>
        <v>0</v>
      </c>
    </row>
    <row r="1002" customFormat="false" ht="15" hidden="false" customHeight="true" outlineLevel="0" collapsed="false">
      <c r="A1002" s="12" t="n">
        <v>42638</v>
      </c>
      <c r="B1002" s="13" t="n">
        <v>72457.2975876545</v>
      </c>
      <c r="C1002" s="13" t="n">
        <v>64758.5041735805</v>
      </c>
      <c r="D1002" s="13" t="n">
        <v>1797</v>
      </c>
      <c r="E1002" s="14" t="n">
        <v>40.3212563092123</v>
      </c>
      <c r="F1002" s="14" t="n">
        <v>36.03700844384</v>
      </c>
      <c r="G1002" s="13" t="n">
        <v>7698.79341407408</v>
      </c>
      <c r="H1002" s="15" t="n">
        <v>0.106252836779629</v>
      </c>
      <c r="I1002" s="15" t="n">
        <v>0.106252836779629</v>
      </c>
      <c r="J1002" s="16" t="n">
        <v>2016</v>
      </c>
      <c r="K1002" s="16" t="n">
        <v>9</v>
      </c>
      <c r="L1002" s="16" t="n">
        <v>38</v>
      </c>
      <c r="M1002" s="16" t="s">
        <v>38</v>
      </c>
      <c r="N1002" s="17" t="b">
        <f aca="false">TRUE()</f>
        <v>1</v>
      </c>
      <c r="O1002" s="14" t="n">
        <v>40.332737191493</v>
      </c>
      <c r="P1002" s="13" t="n">
        <v>1572.5</v>
      </c>
      <c r="Q1002" s="15" t="n">
        <v>-0.00028465418119826</v>
      </c>
      <c r="R1002" s="15" t="n">
        <v>0.142766295707472</v>
      </c>
      <c r="S1002" s="17" t="b">
        <f aca="false">FALSE()</f>
        <v>0</v>
      </c>
    </row>
    <row r="1003" customFormat="false" ht="15" hidden="false" customHeight="true" outlineLevel="0" collapsed="false">
      <c r="A1003" s="12" t="n">
        <v>42639</v>
      </c>
      <c r="B1003" s="13" t="n">
        <v>67355.0611824146</v>
      </c>
      <c r="C1003" s="13" t="n">
        <v>60179.0208493165</v>
      </c>
      <c r="D1003" s="13" t="n">
        <v>1671</v>
      </c>
      <c r="E1003" s="14" t="n">
        <v>40.3082352976748</v>
      </c>
      <c r="F1003" s="14" t="n">
        <v>36.0137766901954</v>
      </c>
      <c r="G1003" s="13" t="n">
        <v>7176.04033309812</v>
      </c>
      <c r="H1003" s="15" t="n">
        <v>0.106540476797483</v>
      </c>
      <c r="I1003" s="15" t="n">
        <v>0.106540476797483</v>
      </c>
      <c r="J1003" s="16" t="n">
        <v>2016</v>
      </c>
      <c r="K1003" s="16" t="n">
        <v>9</v>
      </c>
      <c r="L1003" s="16" t="n">
        <v>39</v>
      </c>
      <c r="M1003" s="16" t="s">
        <v>32</v>
      </c>
      <c r="N1003" s="17" t="b">
        <f aca="false">FALSE()</f>
        <v>0</v>
      </c>
      <c r="O1003" s="14" t="n">
        <v>40.3325823775899</v>
      </c>
      <c r="P1003" s="13" t="n">
        <v>1614.35714285714</v>
      </c>
      <c r="Q1003" s="15" t="n">
        <v>-0.000603657848811465</v>
      </c>
      <c r="R1003" s="15" t="n">
        <v>0.035086943055617</v>
      </c>
      <c r="S1003" s="17" t="b">
        <f aca="false">FALSE()</f>
        <v>0</v>
      </c>
    </row>
    <row r="1004" customFormat="false" ht="15" hidden="false" customHeight="true" outlineLevel="0" collapsed="false">
      <c r="A1004" s="12" t="n">
        <v>42640</v>
      </c>
      <c r="B1004" s="13" t="n">
        <v>58941.7928284749</v>
      </c>
      <c r="C1004" s="13" t="n">
        <v>52812.7825145229</v>
      </c>
      <c r="D1004" s="13" t="n">
        <v>1462</v>
      </c>
      <c r="E1004" s="14" t="n">
        <v>40.3158637677667</v>
      </c>
      <c r="F1004" s="14" t="n">
        <v>36.1236542506997</v>
      </c>
      <c r="G1004" s="13" t="n">
        <v>6129.01031395199</v>
      </c>
      <c r="H1004" s="15" t="n">
        <v>0.103984117547762</v>
      </c>
      <c r="I1004" s="15" t="n">
        <v>0.103984117547762</v>
      </c>
      <c r="J1004" s="16" t="n">
        <v>2016</v>
      </c>
      <c r="K1004" s="16" t="n">
        <v>9</v>
      </c>
      <c r="L1004" s="16" t="n">
        <v>39</v>
      </c>
      <c r="M1004" s="16" t="s">
        <v>33</v>
      </c>
      <c r="N1004" s="17" t="b">
        <f aca="false">FALSE()</f>
        <v>0</v>
      </c>
      <c r="O1004" s="14" t="n">
        <v>40.3305227666957</v>
      </c>
      <c r="P1004" s="13" t="n">
        <v>1641.5</v>
      </c>
      <c r="Q1004" s="15" t="n">
        <v>-0.000363471582399095</v>
      </c>
      <c r="R1004" s="15" t="n">
        <v>-0.109351203167834</v>
      </c>
      <c r="S1004" s="17" t="b">
        <f aca="false">FALSE()</f>
        <v>0</v>
      </c>
    </row>
    <row r="1005" customFormat="false" ht="15" hidden="false" customHeight="true" outlineLevel="0" collapsed="false">
      <c r="A1005" s="12" t="n">
        <v>42641</v>
      </c>
      <c r="B1005" s="13" t="n">
        <v>58796.7850157246</v>
      </c>
      <c r="C1005" s="13" t="n">
        <v>57168.5604984329</v>
      </c>
      <c r="D1005" s="13" t="n">
        <v>1581</v>
      </c>
      <c r="E1005" s="14" t="n">
        <v>37.1896173407493</v>
      </c>
      <c r="F1005" s="14" t="n">
        <v>36.1597473108367</v>
      </c>
      <c r="G1005" s="13" t="n">
        <v>1628.22451729175</v>
      </c>
      <c r="H1005" s="15" t="n">
        <v>0.0276924072779881</v>
      </c>
      <c r="I1005" s="15" t="n">
        <v>0.0276924072779881</v>
      </c>
      <c r="J1005" s="16" t="n">
        <v>2016</v>
      </c>
      <c r="K1005" s="16" t="n">
        <v>9</v>
      </c>
      <c r="L1005" s="16" t="n">
        <v>39</v>
      </c>
      <c r="M1005" s="16" t="s">
        <v>34</v>
      </c>
      <c r="N1005" s="17" t="b">
        <f aca="false">FALSE()</f>
        <v>0</v>
      </c>
      <c r="O1005" s="14" t="n">
        <v>40.331823702171</v>
      </c>
      <c r="P1005" s="13" t="n">
        <v>1692</v>
      </c>
      <c r="Q1005" s="15" t="n">
        <v>-0.077908858885856</v>
      </c>
      <c r="R1005" s="15" t="n">
        <v>-0.0656028368794326</v>
      </c>
      <c r="S1005" s="17" t="b">
        <f aca="false">FALSE()</f>
        <v>0</v>
      </c>
    </row>
    <row r="1006" customFormat="false" ht="15" hidden="false" customHeight="true" outlineLevel="0" collapsed="false">
      <c r="A1006" s="12" t="n">
        <v>42642</v>
      </c>
      <c r="B1006" s="13" t="n">
        <v>57019.3896713946</v>
      </c>
      <c r="C1006" s="13" t="n">
        <v>55187.3839062719</v>
      </c>
      <c r="D1006" s="13" t="n">
        <v>1534</v>
      </c>
      <c r="E1006" s="14" t="n">
        <v>37.1703974389796</v>
      </c>
      <c r="F1006" s="14" t="n">
        <v>35.976130316996</v>
      </c>
      <c r="G1006" s="13" t="n">
        <v>1832.00576512274</v>
      </c>
      <c r="H1006" s="15" t="n">
        <v>0.0321295225305054</v>
      </c>
      <c r="I1006" s="15" t="n">
        <v>0.0321295225305055</v>
      </c>
      <c r="J1006" s="16" t="n">
        <v>2016</v>
      </c>
      <c r="K1006" s="16" t="n">
        <v>9</v>
      </c>
      <c r="L1006" s="16" t="n">
        <v>39</v>
      </c>
      <c r="M1006" s="16" t="s">
        <v>35</v>
      </c>
      <c r="N1006" s="17" t="b">
        <f aca="false">FALSE()</f>
        <v>0</v>
      </c>
      <c r="O1006" s="14" t="n">
        <v>40.1064598922856</v>
      </c>
      <c r="P1006" s="13" t="n">
        <v>1768.64285714286</v>
      </c>
      <c r="Q1006" s="15" t="n">
        <v>-0.0732067218396112</v>
      </c>
      <c r="R1006" s="15" t="n">
        <v>-0.132668309034369</v>
      </c>
      <c r="S1006" s="17" t="b">
        <f aca="false">FALSE()</f>
        <v>0</v>
      </c>
    </row>
    <row r="1007" customFormat="false" ht="15" hidden="false" customHeight="true" outlineLevel="0" collapsed="false">
      <c r="A1007" s="12" t="n">
        <v>42643</v>
      </c>
      <c r="B1007" s="13" t="n">
        <v>155918.382599483</v>
      </c>
      <c r="C1007" s="13" t="n">
        <v>151036.445518587</v>
      </c>
      <c r="D1007" s="13" t="n">
        <v>4216</v>
      </c>
      <c r="E1007" s="14" t="n">
        <v>36.9825385672397</v>
      </c>
      <c r="F1007" s="14" t="n">
        <v>35.8245838516573</v>
      </c>
      <c r="G1007" s="13" t="n">
        <v>4881.93708089553</v>
      </c>
      <c r="H1007" s="15" t="n">
        <v>0.0313108499427939</v>
      </c>
      <c r="I1007" s="15" t="n">
        <v>0.031310849942794</v>
      </c>
      <c r="J1007" s="16" t="n">
        <v>2016</v>
      </c>
      <c r="K1007" s="16" t="n">
        <v>9</v>
      </c>
      <c r="L1007" s="16" t="n">
        <v>39</v>
      </c>
      <c r="M1007" s="16" t="s">
        <v>36</v>
      </c>
      <c r="N1007" s="17" t="b">
        <f aca="false">FALSE()</f>
        <v>0</v>
      </c>
      <c r="O1007" s="14" t="n">
        <v>39.8801465777347</v>
      </c>
      <c r="P1007" s="13" t="n">
        <v>1806.07142857143</v>
      </c>
      <c r="Q1007" s="15" t="n">
        <v>-0.0726579077347901</v>
      </c>
      <c r="R1007" s="15" t="n">
        <v>1.33434842792169</v>
      </c>
      <c r="S1007" s="17" t="b">
        <f aca="false">TRUE()</f>
        <v>1</v>
      </c>
    </row>
    <row r="1008" customFormat="false" ht="15" hidden="false" customHeight="true" outlineLevel="0" collapsed="false">
      <c r="A1008" s="12" t="n">
        <v>42644</v>
      </c>
      <c r="B1008" s="13" t="n">
        <v>208489.09032479</v>
      </c>
      <c r="C1008" s="13" t="n">
        <v>201416.837590065</v>
      </c>
      <c r="D1008" s="13" t="n">
        <v>5632</v>
      </c>
      <c r="E1008" s="14" t="n">
        <v>37.0186595036914</v>
      </c>
      <c r="F1008" s="14" t="n">
        <v>35.7629328107359</v>
      </c>
      <c r="G1008" s="13" t="n">
        <v>7072.25273472551</v>
      </c>
      <c r="H1008" s="15" t="n">
        <v>0.0339214523105653</v>
      </c>
      <c r="I1008" s="15" t="n">
        <v>0.0339214523105652</v>
      </c>
      <c r="J1008" s="16" t="n">
        <v>2016</v>
      </c>
      <c r="K1008" s="16" t="n">
        <v>10</v>
      </c>
      <c r="L1008" s="16" t="n">
        <v>39</v>
      </c>
      <c r="M1008" s="16" t="s">
        <v>37</v>
      </c>
      <c r="N1008" s="17" t="b">
        <f aca="false">TRUE()</f>
        <v>1</v>
      </c>
      <c r="O1008" s="14" t="n">
        <v>39.642157225942</v>
      </c>
      <c r="P1008" s="13" t="n">
        <v>1983.42857142857</v>
      </c>
      <c r="Q1008" s="15" t="n">
        <v>-0.0661794893577021</v>
      </c>
      <c r="R1008" s="15" t="n">
        <v>1.83952751368482</v>
      </c>
      <c r="S1008" s="17" t="b">
        <f aca="false">TRUE()</f>
        <v>1</v>
      </c>
    </row>
    <row r="1009" customFormat="false" ht="15" hidden="false" customHeight="true" outlineLevel="0" collapsed="false">
      <c r="A1009" s="12" t="n">
        <v>42645</v>
      </c>
      <c r="B1009" s="13" t="n">
        <v>118580.472576298</v>
      </c>
      <c r="C1009" s="13" t="n">
        <v>113346.957268526</v>
      </c>
      <c r="D1009" s="13" t="n">
        <v>3173</v>
      </c>
      <c r="E1009" s="14" t="n">
        <v>37.3717215809322</v>
      </c>
      <c r="F1009" s="14" t="n">
        <v>35.7223313169008</v>
      </c>
      <c r="G1009" s="13" t="n">
        <v>5233.51530777158</v>
      </c>
      <c r="H1009" s="15" t="n">
        <v>0.0441347145450462</v>
      </c>
      <c r="I1009" s="15" t="n">
        <v>0.0441347145450462</v>
      </c>
      <c r="J1009" s="16" t="n">
        <v>2016</v>
      </c>
      <c r="K1009" s="16" t="n">
        <v>10</v>
      </c>
      <c r="L1009" s="16" t="n">
        <v>39</v>
      </c>
      <c r="M1009" s="16" t="s">
        <v>38</v>
      </c>
      <c r="N1009" s="17" t="b">
        <f aca="false">TRUE()</f>
        <v>1</v>
      </c>
      <c r="O1009" s="14" t="n">
        <v>39.4050098170244</v>
      </c>
      <c r="P1009" s="13" t="n">
        <v>2208.42857142857</v>
      </c>
      <c r="Q1009" s="15" t="n">
        <v>-0.0515997393614086</v>
      </c>
      <c r="R1009" s="15" t="n">
        <v>0.436768225629083</v>
      </c>
      <c r="S1009" s="17" t="b">
        <f aca="false">TRUE()</f>
        <v>1</v>
      </c>
    </row>
    <row r="1010" customFormat="false" ht="15" hidden="false" customHeight="true" outlineLevel="0" collapsed="false">
      <c r="A1010" s="12" t="n">
        <v>42646</v>
      </c>
      <c r="B1010" s="13" t="n">
        <v>142758.881121511</v>
      </c>
      <c r="C1010" s="13" t="n">
        <v>126506.344682148</v>
      </c>
      <c r="D1010" s="13" t="n">
        <v>3540</v>
      </c>
      <c r="E1010" s="14" t="n">
        <v>40.3273675484495</v>
      </c>
      <c r="F1010" s="14" t="n">
        <v>35.7362555599289</v>
      </c>
      <c r="G1010" s="13" t="n">
        <v>16252.5364393631</v>
      </c>
      <c r="H1010" s="15" t="n">
        <v>0.11384606205711</v>
      </c>
      <c r="I1010" s="15" t="n">
        <v>0.11384606205711</v>
      </c>
      <c r="J1010" s="16" t="n">
        <v>2016</v>
      </c>
      <c r="K1010" s="16" t="n">
        <v>10</v>
      </c>
      <c r="L1010" s="16" t="n">
        <v>40</v>
      </c>
      <c r="M1010" s="16" t="s">
        <v>32</v>
      </c>
      <c r="N1010" s="17" t="b">
        <f aca="false">FALSE()</f>
        <v>0</v>
      </c>
      <c r="O1010" s="14" t="n">
        <v>39.1926893495299</v>
      </c>
      <c r="P1010" s="13" t="n">
        <v>2346.85714285714</v>
      </c>
      <c r="Q1010" s="15" t="n">
        <v>0.0289512717231596</v>
      </c>
      <c r="R1010" s="15" t="n">
        <v>0.508400292184076</v>
      </c>
      <c r="S1010" s="17" t="b">
        <f aca="false">FALSE()</f>
        <v>0</v>
      </c>
    </row>
    <row r="1011" customFormat="false" ht="15" hidden="false" customHeight="true" outlineLevel="0" collapsed="false">
      <c r="A1011" s="12" t="n">
        <v>42647</v>
      </c>
      <c r="B1011" s="13" t="n">
        <v>96620.9869297833</v>
      </c>
      <c r="C1011" s="13" t="n">
        <v>85491.8332444224</v>
      </c>
      <c r="D1011" s="13" t="n">
        <v>2397</v>
      </c>
      <c r="E1011" s="14" t="n">
        <v>40.3091309677861</v>
      </c>
      <c r="F1011" s="14" t="n">
        <v>35.6661799100636</v>
      </c>
      <c r="G1011" s="13" t="n">
        <v>11129.1536853609</v>
      </c>
      <c r="H1011" s="15" t="n">
        <v>0.115183605953526</v>
      </c>
      <c r="I1011" s="15" t="n">
        <v>0.115183605953526</v>
      </c>
      <c r="J1011" s="16" t="n">
        <v>2016</v>
      </c>
      <c r="K1011" s="16" t="n">
        <v>10</v>
      </c>
      <c r="L1011" s="16" t="n">
        <v>40</v>
      </c>
      <c r="M1011" s="16" t="s">
        <v>33</v>
      </c>
      <c r="N1011" s="17" t="b">
        <f aca="false">FALSE()</f>
        <v>0</v>
      </c>
      <c r="O1011" s="14" t="n">
        <v>39.1934096628521</v>
      </c>
      <c r="P1011" s="13" t="n">
        <v>2517.21428571429</v>
      </c>
      <c r="Q1011" s="15" t="n">
        <v>0.0284670640939808</v>
      </c>
      <c r="R1011" s="15" t="n">
        <v>-0.0477568740955138</v>
      </c>
      <c r="S1011" s="17" t="b">
        <f aca="false">FALSE()</f>
        <v>0</v>
      </c>
    </row>
    <row r="1012" customFormat="false" ht="15" hidden="false" customHeight="true" outlineLevel="0" collapsed="false">
      <c r="A1012" s="12" t="n">
        <v>42648</v>
      </c>
      <c r="B1012" s="13" t="n">
        <v>78861.5949404843</v>
      </c>
      <c r="C1012" s="13" t="n">
        <v>69675.4291539854</v>
      </c>
      <c r="D1012" s="13" t="n">
        <v>1955</v>
      </c>
      <c r="E1012" s="14" t="n">
        <v>40.3384117342631</v>
      </c>
      <c r="F1012" s="14" t="n">
        <v>35.6396057053634</v>
      </c>
      <c r="G1012" s="13" t="n">
        <v>9186.16578649887</v>
      </c>
      <c r="H1012" s="15" t="n">
        <v>0.116484656358162</v>
      </c>
      <c r="I1012" s="15" t="n">
        <v>0.116484656358162</v>
      </c>
      <c r="J1012" s="16" t="n">
        <v>2016</v>
      </c>
      <c r="K1012" s="16" t="n">
        <v>10</v>
      </c>
      <c r="L1012" s="16" t="n">
        <v>40</v>
      </c>
      <c r="M1012" s="16" t="s">
        <v>34</v>
      </c>
      <c r="N1012" s="17" t="b">
        <f aca="false">FALSE()</f>
        <v>0</v>
      </c>
      <c r="O1012" s="14" t="n">
        <v>39.1908881775887</v>
      </c>
      <c r="P1012" s="13" t="n">
        <v>2621.28571428571</v>
      </c>
      <c r="Q1012" s="15" t="n">
        <v>0.0292803661778359</v>
      </c>
      <c r="R1012" s="15" t="n">
        <v>-0.25418278925282</v>
      </c>
      <c r="S1012" s="17" t="b">
        <f aca="false">FALSE()</f>
        <v>0</v>
      </c>
    </row>
    <row r="1013" customFormat="false" ht="15" hidden="false" customHeight="true" outlineLevel="0" collapsed="false">
      <c r="A1013" s="12" t="n">
        <v>42649</v>
      </c>
      <c r="B1013" s="13" t="n">
        <v>70279.4743928696</v>
      </c>
      <c r="C1013" s="13" t="n">
        <v>61976.3057914763</v>
      </c>
      <c r="D1013" s="13" t="n">
        <v>1740</v>
      </c>
      <c r="E1013" s="14" t="n">
        <v>40.3905025246377</v>
      </c>
      <c r="F1013" s="14" t="n">
        <v>35.6185665468255</v>
      </c>
      <c r="G1013" s="13" t="n">
        <v>8303.16860139334</v>
      </c>
      <c r="H1013" s="15" t="n">
        <v>0.118145001412187</v>
      </c>
      <c r="I1013" s="15" t="n">
        <v>0.118145001412187</v>
      </c>
      <c r="J1013" s="16" t="n">
        <v>2016</v>
      </c>
      <c r="K1013" s="16" t="n">
        <v>10</v>
      </c>
      <c r="L1013" s="16" t="n">
        <v>40</v>
      </c>
      <c r="M1013" s="16" t="s">
        <v>35</v>
      </c>
      <c r="N1013" s="17" t="b">
        <f aca="false">FALSE()</f>
        <v>0</v>
      </c>
      <c r="O1013" s="14" t="n">
        <v>39.1894582397594</v>
      </c>
      <c r="P1013" s="13" t="n">
        <v>2672.28571428571</v>
      </c>
      <c r="Q1013" s="15" t="n">
        <v>0.0306471265188297</v>
      </c>
      <c r="R1013" s="15" t="n">
        <v>-0.348872019672832</v>
      </c>
      <c r="S1013" s="17" t="b">
        <f aca="false">FALSE()</f>
        <v>0</v>
      </c>
    </row>
    <row r="1014" customFormat="false" ht="15" hidden="false" customHeight="true" outlineLevel="0" collapsed="false">
      <c r="A1014" s="12" t="n">
        <v>42650</v>
      </c>
      <c r="B1014" s="13" t="n">
        <v>87748.8628912136</v>
      </c>
      <c r="C1014" s="13" t="n">
        <v>77446.6094358004</v>
      </c>
      <c r="D1014" s="13" t="n">
        <v>2176</v>
      </c>
      <c r="E1014" s="14" t="n">
        <v>40.3257641963298</v>
      </c>
      <c r="F1014" s="14" t="n">
        <v>35.5912727186583</v>
      </c>
      <c r="G1014" s="13" t="n">
        <v>10302.2534554131</v>
      </c>
      <c r="H1014" s="15" t="n">
        <v>0.117406119190232</v>
      </c>
      <c r="I1014" s="15" t="n">
        <v>0.117406119190232</v>
      </c>
      <c r="J1014" s="16" t="n">
        <v>2016</v>
      </c>
      <c r="K1014" s="16" t="n">
        <v>10</v>
      </c>
      <c r="L1014" s="16" t="n">
        <v>40</v>
      </c>
      <c r="M1014" s="16" t="s">
        <v>36</v>
      </c>
      <c r="N1014" s="17" t="b">
        <f aca="false">FALSE()</f>
        <v>0</v>
      </c>
      <c r="O1014" s="14" t="n">
        <v>39.1949514230963</v>
      </c>
      <c r="P1014" s="13" t="n">
        <v>2722.35714285714</v>
      </c>
      <c r="Q1014" s="15" t="n">
        <v>0.0288509803476142</v>
      </c>
      <c r="R1014" s="15" t="n">
        <v>-0.20069267703933</v>
      </c>
      <c r="S1014" s="17" t="b">
        <f aca="false">FALSE()</f>
        <v>0</v>
      </c>
    </row>
    <row r="1015" customFormat="false" ht="15" hidden="false" customHeight="true" outlineLevel="0" collapsed="false">
      <c r="A1015" s="12" t="n">
        <v>42651</v>
      </c>
      <c r="B1015" s="13" t="n">
        <v>92053.3257699732</v>
      </c>
      <c r="C1015" s="13" t="n">
        <v>81209.2483470106</v>
      </c>
      <c r="D1015" s="13" t="n">
        <v>2283</v>
      </c>
      <c r="E1015" s="14" t="n">
        <v>40.3212114629756</v>
      </c>
      <c r="F1015" s="14" t="n">
        <v>35.5712870551952</v>
      </c>
      <c r="G1015" s="13" t="n">
        <v>10844.0774229626</v>
      </c>
      <c r="H1015" s="15" t="n">
        <v>0.117802125368727</v>
      </c>
      <c r="I1015" s="15" t="n">
        <v>0.117802125368727</v>
      </c>
      <c r="J1015" s="16" t="n">
        <v>2016</v>
      </c>
      <c r="K1015" s="16" t="n">
        <v>10</v>
      </c>
      <c r="L1015" s="16" t="n">
        <v>40</v>
      </c>
      <c r="M1015" s="16" t="s">
        <v>37</v>
      </c>
      <c r="N1015" s="17" t="b">
        <f aca="false">TRUE()</f>
        <v>1</v>
      </c>
      <c r="O1015" s="14" t="n">
        <v>39.1943214474655</v>
      </c>
      <c r="P1015" s="13" t="n">
        <v>2616.57142857143</v>
      </c>
      <c r="Q1015" s="15" t="n">
        <v>0.0287513592248438</v>
      </c>
      <c r="R1015" s="15" t="n">
        <v>-0.127484166848657</v>
      </c>
      <c r="S1015" s="17" t="b">
        <f aca="false">FALSE()</f>
        <v>0</v>
      </c>
    </row>
    <row r="1016" customFormat="false" ht="15" hidden="false" customHeight="true" outlineLevel="0" collapsed="false">
      <c r="A1016" s="12" t="n">
        <v>42652</v>
      </c>
      <c r="B1016" s="13" t="n">
        <v>51751.38324691</v>
      </c>
      <c r="C1016" s="13" t="n">
        <v>45607.2340996974</v>
      </c>
      <c r="D1016" s="13" t="n">
        <v>1284</v>
      </c>
      <c r="E1016" s="14" t="n">
        <v>40.3048156128583</v>
      </c>
      <c r="F1016" s="14" t="n">
        <v>35.519652725621</v>
      </c>
      <c r="G1016" s="13" t="n">
        <v>6144.14914721262</v>
      </c>
      <c r="H1016" s="15" t="n">
        <v>0.118724346321303</v>
      </c>
      <c r="I1016" s="15" t="n">
        <v>0.118724346321303</v>
      </c>
      <c r="J1016" s="16" t="n">
        <v>2016</v>
      </c>
      <c r="K1016" s="16" t="n">
        <v>10</v>
      </c>
      <c r="L1016" s="16" t="n">
        <v>40</v>
      </c>
      <c r="M1016" s="16" t="s">
        <v>38</v>
      </c>
      <c r="N1016" s="17" t="b">
        <f aca="false">TRUE()</f>
        <v>1</v>
      </c>
      <c r="O1016" s="14" t="n">
        <v>39.1921913029063</v>
      </c>
      <c r="P1016" s="13" t="n">
        <v>2511.21428571429</v>
      </c>
      <c r="Q1016" s="15" t="n">
        <v>0.028388928328932</v>
      </c>
      <c r="R1016" s="15" t="n">
        <v>-0.488693574537077</v>
      </c>
      <c r="S1016" s="17" t="b">
        <f aca="false">FALSE()</f>
        <v>0</v>
      </c>
    </row>
    <row r="1017" customFormat="false" ht="15" hidden="false" customHeight="true" outlineLevel="0" collapsed="false">
      <c r="A1017" s="12" t="n">
        <v>42653</v>
      </c>
      <c r="B1017" s="13" t="n">
        <v>50934.9831938551</v>
      </c>
      <c r="C1017" s="13" t="n">
        <v>44983.777302442</v>
      </c>
      <c r="D1017" s="13" t="n">
        <v>1263</v>
      </c>
      <c r="E1017" s="14" t="n">
        <v>40.3285694329811</v>
      </c>
      <c r="F1017" s="14" t="n">
        <v>35.6166091072383</v>
      </c>
      <c r="G1017" s="13" t="n">
        <v>5951.20589141311</v>
      </c>
      <c r="H1017" s="15" t="n">
        <v>0.11683926288467</v>
      </c>
      <c r="I1017" s="15" t="n">
        <v>0.11683926288467</v>
      </c>
      <c r="J1017" s="16" t="n">
        <v>2016</v>
      </c>
      <c r="K1017" s="16" t="n">
        <v>10</v>
      </c>
      <c r="L1017" s="16" t="n">
        <v>41</v>
      </c>
      <c r="M1017" s="16" t="s">
        <v>32</v>
      </c>
      <c r="N1017" s="17" t="b">
        <f aca="false">FALSE()</f>
        <v>0</v>
      </c>
      <c r="O1017" s="14" t="n">
        <v>39.1910169674524</v>
      </c>
      <c r="P1017" s="13" t="n">
        <v>2474.57142857143</v>
      </c>
      <c r="Q1017" s="15" t="n">
        <v>0.029025847083106</v>
      </c>
      <c r="R1017" s="15" t="n">
        <v>-0.489608590232075</v>
      </c>
      <c r="S1017" s="17" t="b">
        <f aca="false">FALSE()</f>
        <v>0</v>
      </c>
    </row>
    <row r="1018" customFormat="false" ht="15" hidden="false" customHeight="true" outlineLevel="0" collapsed="false">
      <c r="A1018" s="12" t="n">
        <v>42654</v>
      </c>
      <c r="B1018" s="13" t="n">
        <v>36113.9348726702</v>
      </c>
      <c r="C1018" s="13" t="n">
        <v>31885.2884503308</v>
      </c>
      <c r="D1018" s="13" t="n">
        <v>896</v>
      </c>
      <c r="E1018" s="14" t="n">
        <v>40.3057308846766</v>
      </c>
      <c r="F1018" s="14" t="n">
        <v>35.5862594311728</v>
      </c>
      <c r="G1018" s="13" t="n">
        <v>4228.64642233944</v>
      </c>
      <c r="H1018" s="15" t="n">
        <v>0.117091821681816</v>
      </c>
      <c r="I1018" s="15" t="n">
        <v>0.117091821681816</v>
      </c>
      <c r="J1018" s="16" t="n">
        <v>2016</v>
      </c>
      <c r="K1018" s="16" t="n">
        <v>10</v>
      </c>
      <c r="L1018" s="16" t="n">
        <v>41</v>
      </c>
      <c r="M1018" s="16" t="s">
        <v>33</v>
      </c>
      <c r="N1018" s="17" t="b">
        <f aca="false">FALSE()</f>
        <v>0</v>
      </c>
      <c r="O1018" s="14" t="n">
        <v>39.1924694056886</v>
      </c>
      <c r="P1018" s="13" t="n">
        <v>2445.42857142857</v>
      </c>
      <c r="Q1018" s="15" t="n">
        <v>0.0284049843214642</v>
      </c>
      <c r="R1018" s="15" t="n">
        <v>-0.63360205631499</v>
      </c>
      <c r="S1018" s="17" t="b">
        <f aca="false">FALSE()</f>
        <v>0</v>
      </c>
    </row>
    <row r="1019" customFormat="false" ht="15" hidden="false" customHeight="true" outlineLevel="0" collapsed="false">
      <c r="A1019" s="12" t="n">
        <v>42655</v>
      </c>
      <c r="B1019" s="13" t="n">
        <v>31023.3597651751</v>
      </c>
      <c r="C1019" s="13" t="n">
        <v>27817.6424664107</v>
      </c>
      <c r="D1019" s="13" t="n">
        <v>768</v>
      </c>
      <c r="E1019" s="14" t="n">
        <v>40.3949996942384</v>
      </c>
      <c r="F1019" s="14" t="n">
        <v>36.220888628139</v>
      </c>
      <c r="G1019" s="13" t="n">
        <v>3205.7172987644</v>
      </c>
      <c r="H1019" s="15" t="n">
        <v>0.103332370285792</v>
      </c>
      <c r="I1019" s="15" t="n">
        <v>0.103332370285792</v>
      </c>
      <c r="J1019" s="16" t="n">
        <v>2016</v>
      </c>
      <c r="K1019" s="16" t="n">
        <v>10</v>
      </c>
      <c r="L1019" s="16" t="n">
        <v>41</v>
      </c>
      <c r="M1019" s="16" t="s">
        <v>34</v>
      </c>
      <c r="N1019" s="17" t="b">
        <f aca="false">FALSE()</f>
        <v>0</v>
      </c>
      <c r="O1019" s="14" t="n">
        <v>39.191745628325</v>
      </c>
      <c r="P1019" s="13" t="n">
        <v>2405</v>
      </c>
      <c r="Q1019" s="15" t="n">
        <v>0.0307017216667131</v>
      </c>
      <c r="R1019" s="15" t="n">
        <v>-0.680665280665281</v>
      </c>
      <c r="S1019" s="17" t="b">
        <f aca="false">FALSE()</f>
        <v>0</v>
      </c>
    </row>
    <row r="1020" customFormat="false" ht="15" hidden="false" customHeight="true" outlineLevel="0" collapsed="false">
      <c r="A1020" s="12" t="n">
        <v>42656</v>
      </c>
      <c r="B1020" s="13" t="n">
        <v>22334.21253066</v>
      </c>
      <c r="C1020" s="13" t="n">
        <v>19704.0931507365</v>
      </c>
      <c r="D1020" s="13" t="n">
        <v>521</v>
      </c>
      <c r="E1020" s="14" t="n">
        <v>42.8679703083685</v>
      </c>
      <c r="F1020" s="14" t="n">
        <v>37.8197565273253</v>
      </c>
      <c r="G1020" s="13" t="n">
        <v>2630.11937992352</v>
      </c>
      <c r="H1020" s="15" t="n">
        <v>0.117761903461469</v>
      </c>
      <c r="I1020" s="15" t="n">
        <v>0.117761903461469</v>
      </c>
      <c r="J1020" s="16" t="n">
        <v>2016</v>
      </c>
      <c r="K1020" s="16" t="n">
        <v>10</v>
      </c>
      <c r="L1020" s="16" t="n">
        <v>41</v>
      </c>
      <c r="M1020" s="16" t="s">
        <v>35</v>
      </c>
      <c r="N1020" s="17" t="b">
        <f aca="false">FALSE()</f>
        <v>0</v>
      </c>
      <c r="O1020" s="14" t="n">
        <v>39.4207015107171</v>
      </c>
      <c r="P1020" s="13" t="n">
        <v>2346.92857142857</v>
      </c>
      <c r="Q1020" s="15" t="n">
        <v>0.0874481849774861</v>
      </c>
      <c r="R1020" s="15" t="n">
        <v>-0.778007730468393</v>
      </c>
      <c r="S1020" s="17" t="b">
        <f aca="false">FALSE()</f>
        <v>0</v>
      </c>
    </row>
    <row r="1021" customFormat="false" ht="15" hidden="false" customHeight="true" outlineLevel="0" collapsed="false">
      <c r="A1021" s="12" t="n">
        <v>42657</v>
      </c>
      <c r="B1021" s="13" t="n">
        <v>69440.9287951903</v>
      </c>
      <c r="C1021" s="13" t="n">
        <v>62070.7511843</v>
      </c>
      <c r="D1021" s="13" t="n">
        <v>1618</v>
      </c>
      <c r="E1021" s="14" t="n">
        <v>42.9177557448642</v>
      </c>
      <c r="F1021" s="14" t="n">
        <v>38.3626397925217</v>
      </c>
      <c r="G1021" s="13" t="n">
        <v>7370.17761089022</v>
      </c>
      <c r="H1021" s="15" t="n">
        <v>0.106135930765383</v>
      </c>
      <c r="I1021" s="15" t="n">
        <v>0.106135930765383</v>
      </c>
      <c r="J1021" s="16" t="n">
        <v>2016</v>
      </c>
      <c r="K1021" s="16" t="n">
        <v>10</v>
      </c>
      <c r="L1021" s="16" t="n">
        <v>41</v>
      </c>
      <c r="M1021" s="16" t="s">
        <v>36</v>
      </c>
      <c r="N1021" s="17" t="b">
        <f aca="false">FALSE()</f>
        <v>0</v>
      </c>
      <c r="O1021" s="14" t="n">
        <v>39.8276710013877</v>
      </c>
      <c r="P1021" s="13" t="n">
        <v>2274.57142857143</v>
      </c>
      <c r="Q1021" s="15" t="n">
        <v>0.077586378158261</v>
      </c>
      <c r="R1021" s="15" t="n">
        <v>-0.288657203868861</v>
      </c>
      <c r="S1021" s="17" t="b">
        <f aca="false">FALSE()</f>
        <v>0</v>
      </c>
    </row>
    <row r="1022" customFormat="false" ht="15" hidden="false" customHeight="true" outlineLevel="0" collapsed="false">
      <c r="A1022" s="12" t="n">
        <v>42658</v>
      </c>
      <c r="B1022" s="13" t="n">
        <v>92159.0297914716</v>
      </c>
      <c r="C1022" s="13" t="n">
        <v>83371.8170213501</v>
      </c>
      <c r="D1022" s="13" t="n">
        <v>2147</v>
      </c>
      <c r="E1022" s="14" t="n">
        <v>42.9245597538293</v>
      </c>
      <c r="F1022" s="14" t="n">
        <v>38.8317731818119</v>
      </c>
      <c r="G1022" s="13" t="n">
        <v>8787.21277012149</v>
      </c>
      <c r="H1022" s="15" t="n">
        <v>0.0953483645607418</v>
      </c>
      <c r="I1022" s="15" t="n">
        <v>0.0953483645607419</v>
      </c>
      <c r="J1022" s="16" t="n">
        <v>2016</v>
      </c>
      <c r="K1022" s="16" t="n">
        <v>10</v>
      </c>
      <c r="L1022" s="16" t="n">
        <v>41</v>
      </c>
      <c r="M1022" s="16" t="s">
        <v>37</v>
      </c>
      <c r="N1022" s="17" t="b">
        <f aca="false">TRUE()</f>
        <v>1</v>
      </c>
      <c r="O1022" s="14" t="n">
        <v>40.2516150855038</v>
      </c>
      <c r="P1022" s="13" t="n">
        <v>2089</v>
      </c>
      <c r="Q1022" s="15" t="n">
        <v>0.0664058985620237</v>
      </c>
      <c r="R1022" s="15" t="n">
        <v>0.0277644806127334</v>
      </c>
      <c r="S1022" s="17" t="b">
        <f aca="false">FALSE()</f>
        <v>0</v>
      </c>
    </row>
    <row r="1023" customFormat="false" ht="15" hidden="false" customHeight="true" outlineLevel="0" collapsed="false">
      <c r="A1023" s="12" t="n">
        <v>42659</v>
      </c>
      <c r="B1023" s="13" t="n">
        <v>57296.2878537502</v>
      </c>
      <c r="C1023" s="13" t="n">
        <v>52701.2946138124</v>
      </c>
      <c r="D1023" s="13" t="n">
        <v>1335</v>
      </c>
      <c r="E1023" s="14" t="n">
        <v>42.9185676807118</v>
      </c>
      <c r="F1023" s="14" t="n">
        <v>39.4766251788857</v>
      </c>
      <c r="G1023" s="13" t="n">
        <v>4594.99323993789</v>
      </c>
      <c r="H1023" s="15" t="n">
        <v>0.0801970496180606</v>
      </c>
      <c r="I1023" s="15" t="n">
        <v>0.0801970496180606</v>
      </c>
      <c r="J1023" s="16" t="n">
        <v>2016</v>
      </c>
      <c r="K1023" s="16" t="n">
        <v>10</v>
      </c>
      <c r="L1023" s="16" t="n">
        <v>41</v>
      </c>
      <c r="M1023" s="16" t="s">
        <v>38</v>
      </c>
      <c r="N1023" s="17" t="b">
        <f aca="false">TRUE()</f>
        <v>1</v>
      </c>
      <c r="O1023" s="14" t="n">
        <v>40.6734651033708</v>
      </c>
      <c r="P1023" s="13" t="n">
        <v>1840.07142857143</v>
      </c>
      <c r="Q1023" s="15" t="n">
        <v>0.0551982126832608</v>
      </c>
      <c r="R1023" s="15" t="n">
        <v>-0.274484686153488</v>
      </c>
      <c r="S1023" s="17" t="b">
        <f aca="false">FALSE()</f>
        <v>0</v>
      </c>
    </row>
    <row r="1024" customFormat="false" ht="15" hidden="false" customHeight="true" outlineLevel="0" collapsed="false">
      <c r="A1024" s="12" t="n">
        <v>42660</v>
      </c>
      <c r="B1024" s="13" t="n">
        <v>57184.9412688303</v>
      </c>
      <c r="C1024" s="13" t="n">
        <v>51764.9373717728</v>
      </c>
      <c r="D1024" s="13" t="n">
        <v>1332</v>
      </c>
      <c r="E1024" s="14" t="n">
        <v>42.9316375892119</v>
      </c>
      <c r="F1024" s="14" t="n">
        <v>38.862565594424</v>
      </c>
      <c r="G1024" s="13" t="n">
        <v>5420.00389705749</v>
      </c>
      <c r="H1024" s="15" t="n">
        <v>0.0947802651676722</v>
      </c>
      <c r="I1024" s="15" t="n">
        <v>0.0947802651676722</v>
      </c>
      <c r="J1024" s="16" t="n">
        <v>2016</v>
      </c>
      <c r="K1024" s="16" t="n">
        <v>10</v>
      </c>
      <c r="L1024" s="16" t="n">
        <v>42</v>
      </c>
      <c r="M1024" s="16" t="s">
        <v>32</v>
      </c>
      <c r="N1024" s="17" t="b">
        <f aca="false">FALSE()</f>
        <v>0</v>
      </c>
      <c r="O1024" s="14" t="n">
        <v>41.0696683962121</v>
      </c>
      <c r="P1024" s="13" t="n">
        <v>1708.78571428571</v>
      </c>
      <c r="Q1024" s="15" t="n">
        <v>0.0453368450662115</v>
      </c>
      <c r="R1024" s="15" t="n">
        <v>-0.220499101283284</v>
      </c>
      <c r="S1024" s="17" t="b">
        <f aca="false">FALSE()</f>
        <v>0</v>
      </c>
    </row>
    <row r="1025" customFormat="false" ht="15" hidden="false" customHeight="true" outlineLevel="0" collapsed="false">
      <c r="A1025" s="12" t="n">
        <v>42661</v>
      </c>
      <c r="B1025" s="13" t="n">
        <v>40951.1042769296</v>
      </c>
      <c r="C1025" s="13" t="n">
        <v>37288.6245452787</v>
      </c>
      <c r="D1025" s="13" t="n">
        <v>954</v>
      </c>
      <c r="E1025" s="14" t="n">
        <v>42.9256858248738</v>
      </c>
      <c r="F1025" s="14" t="n">
        <v>39.086608538028</v>
      </c>
      <c r="G1025" s="13" t="n">
        <v>3662.47973165096</v>
      </c>
      <c r="H1025" s="15" t="n">
        <v>0.0894354327268841</v>
      </c>
      <c r="I1025" s="15" t="n">
        <v>0.0894354327268842</v>
      </c>
      <c r="J1025" s="16" t="n">
        <v>2016</v>
      </c>
      <c r="K1025" s="16" t="n">
        <v>10</v>
      </c>
      <c r="L1025" s="16" t="n">
        <v>42</v>
      </c>
      <c r="M1025" s="16" t="s">
        <v>33</v>
      </c>
      <c r="N1025" s="17" t="b">
        <f aca="false">FALSE()</f>
        <v>0</v>
      </c>
      <c r="O1025" s="14" t="n">
        <v>41.255687684838</v>
      </c>
      <c r="P1025" s="13" t="n">
        <v>1551.07142857143</v>
      </c>
      <c r="Q1025" s="15" t="n">
        <v>0.0404792219873617</v>
      </c>
      <c r="R1025" s="15" t="n">
        <v>-0.384941284826157</v>
      </c>
      <c r="S1025" s="17" t="b">
        <f aca="false">FALSE()</f>
        <v>0</v>
      </c>
    </row>
    <row r="1026" customFormat="false" ht="15" hidden="false" customHeight="true" outlineLevel="0" collapsed="false">
      <c r="A1026" s="12" t="n">
        <v>42662</v>
      </c>
      <c r="B1026" s="13" t="n">
        <v>37672.4472942898</v>
      </c>
      <c r="C1026" s="13" t="n">
        <v>33678.4592712881</v>
      </c>
      <c r="D1026" s="13" t="n">
        <v>877</v>
      </c>
      <c r="E1026" s="14" t="n">
        <v>42.9560402443441</v>
      </c>
      <c r="F1026" s="14" t="n">
        <v>38.4018919855052</v>
      </c>
      <c r="G1026" s="13" t="n">
        <v>3993.98802300169</v>
      </c>
      <c r="H1026" s="15" t="n">
        <v>0.106018809763046</v>
      </c>
      <c r="I1026" s="15" t="n">
        <v>0.106018809763046</v>
      </c>
      <c r="J1026" s="16" t="n">
        <v>2016</v>
      </c>
      <c r="K1026" s="16" t="n">
        <v>10</v>
      </c>
      <c r="L1026" s="16" t="n">
        <v>42</v>
      </c>
      <c r="M1026" s="16" t="s">
        <v>34</v>
      </c>
      <c r="N1026" s="17" t="b">
        <f aca="false">FALSE()</f>
        <v>0</v>
      </c>
      <c r="O1026" s="14" t="n">
        <v>41.4425844603443</v>
      </c>
      <c r="P1026" s="13" t="n">
        <v>1448</v>
      </c>
      <c r="Q1026" s="15" t="n">
        <v>0.0365193388324512</v>
      </c>
      <c r="R1026" s="15" t="n">
        <v>-0.394337016574586</v>
      </c>
      <c r="S1026" s="17" t="b">
        <f aca="false">FALSE()</f>
        <v>0</v>
      </c>
    </row>
    <row r="1027" customFormat="false" ht="15" hidden="false" customHeight="true" outlineLevel="0" collapsed="false">
      <c r="A1027" s="12" t="n">
        <v>42663</v>
      </c>
      <c r="B1027" s="13" t="n">
        <v>38648.1375195596</v>
      </c>
      <c r="C1027" s="13" t="n">
        <v>35038.0686916293</v>
      </c>
      <c r="D1027" s="13" t="n">
        <v>906</v>
      </c>
      <c r="E1027" s="14" t="n">
        <v>42.657988432185</v>
      </c>
      <c r="F1027" s="14" t="n">
        <v>38.6733650017984</v>
      </c>
      <c r="G1027" s="13" t="n">
        <v>3610.06882793031</v>
      </c>
      <c r="H1027" s="15" t="n">
        <v>0.0934086105987195</v>
      </c>
      <c r="I1027" s="15" t="n">
        <v>0.0934086105987196</v>
      </c>
      <c r="J1027" s="16" t="n">
        <v>2016</v>
      </c>
      <c r="K1027" s="16" t="n">
        <v>10</v>
      </c>
      <c r="L1027" s="16" t="n">
        <v>42</v>
      </c>
      <c r="M1027" s="16" t="s">
        <v>35</v>
      </c>
      <c r="N1027" s="17" t="b">
        <f aca="false">FALSE()</f>
        <v>0</v>
      </c>
      <c r="O1027" s="14" t="n">
        <v>41.6295579253501</v>
      </c>
      <c r="P1027" s="13" t="n">
        <v>1371</v>
      </c>
      <c r="Q1027" s="15" t="n">
        <v>0.0247043340858706</v>
      </c>
      <c r="R1027" s="15" t="n">
        <v>-0.339168490153173</v>
      </c>
      <c r="S1027" s="17" t="b">
        <f aca="false">FALSE()</f>
        <v>0</v>
      </c>
    </row>
    <row r="1028" customFormat="false" ht="15" hidden="false" customHeight="true" outlineLevel="0" collapsed="false">
      <c r="A1028" s="12" t="n">
        <v>42664</v>
      </c>
      <c r="B1028" s="13" t="n">
        <v>96020.5453740968</v>
      </c>
      <c r="C1028" s="13" t="n">
        <v>86810.2775334347</v>
      </c>
      <c r="D1028" s="13" t="n">
        <v>2249</v>
      </c>
      <c r="E1028" s="14" t="n">
        <v>42.694773398887</v>
      </c>
      <c r="F1028" s="14" t="n">
        <v>38.5995009041506</v>
      </c>
      <c r="G1028" s="13" t="n">
        <v>9210.26784066214</v>
      </c>
      <c r="H1028" s="15" t="n">
        <v>0.0959197618049227</v>
      </c>
      <c r="I1028" s="15" t="n">
        <v>0.0959197618049228</v>
      </c>
      <c r="J1028" s="16" t="n">
        <v>2016</v>
      </c>
      <c r="K1028" s="16" t="n">
        <v>10</v>
      </c>
      <c r="L1028" s="16" t="n">
        <v>42</v>
      </c>
      <c r="M1028" s="16" t="s">
        <v>36</v>
      </c>
      <c r="N1028" s="17" t="b">
        <f aca="false">FALSE()</f>
        <v>0</v>
      </c>
      <c r="O1028" s="14" t="n">
        <v>41.7915212044606</v>
      </c>
      <c r="P1028" s="13" t="n">
        <v>1311.42857142857</v>
      </c>
      <c r="Q1028" s="15" t="n">
        <v>0.0216132882554652</v>
      </c>
      <c r="R1028" s="15" t="n">
        <v>0.714923747276689</v>
      </c>
      <c r="S1028" s="17" t="b">
        <f aca="false">FALSE()</f>
        <v>0</v>
      </c>
    </row>
    <row r="1029" customFormat="false" ht="15" hidden="false" customHeight="true" outlineLevel="0" collapsed="false">
      <c r="A1029" s="12" t="n">
        <v>42665</v>
      </c>
      <c r="B1029" s="13" t="n">
        <v>105662.594158373</v>
      </c>
      <c r="C1029" s="13" t="n">
        <v>95930.0165146894</v>
      </c>
      <c r="D1029" s="13" t="n">
        <v>2472</v>
      </c>
      <c r="E1029" s="14" t="n">
        <v>42.7437678634193</v>
      </c>
      <c r="F1029" s="14" t="n">
        <v>38.8066409849067</v>
      </c>
      <c r="G1029" s="13" t="n">
        <v>9732.57764368312</v>
      </c>
      <c r="H1029" s="15" t="n">
        <v>0.0921099630498891</v>
      </c>
      <c r="I1029" s="15" t="n">
        <v>0.092109963049889</v>
      </c>
      <c r="J1029" s="16" t="n">
        <v>2016</v>
      </c>
      <c r="K1029" s="16" t="n">
        <v>10</v>
      </c>
      <c r="L1029" s="16" t="n">
        <v>42</v>
      </c>
      <c r="M1029" s="16" t="s">
        <v>37</v>
      </c>
      <c r="N1029" s="17" t="b">
        <f aca="false">TRUE()</f>
        <v>1</v>
      </c>
      <c r="O1029" s="14" t="n">
        <v>41.9607361475004</v>
      </c>
      <c r="P1029" s="13" t="n">
        <v>1316.64285714286</v>
      </c>
      <c r="Q1029" s="15" t="n">
        <v>0.0186610576412767</v>
      </c>
      <c r="R1029" s="15" t="n">
        <v>0.87750230564748</v>
      </c>
      <c r="S1029" s="17" t="b">
        <f aca="false">FALSE()</f>
        <v>0</v>
      </c>
    </row>
    <row r="1030" customFormat="false" ht="15" hidden="false" customHeight="true" outlineLevel="0" collapsed="false">
      <c r="A1030" s="12" t="n">
        <v>42666</v>
      </c>
      <c r="B1030" s="13" t="n">
        <v>54738.4835168351</v>
      </c>
      <c r="C1030" s="13" t="n">
        <v>49990.519289318</v>
      </c>
      <c r="D1030" s="13" t="n">
        <v>1280</v>
      </c>
      <c r="E1030" s="14" t="n">
        <v>42.7644402475275</v>
      </c>
      <c r="F1030" s="14" t="n">
        <v>39.0550931947797</v>
      </c>
      <c r="G1030" s="13" t="n">
        <v>4747.96422751715</v>
      </c>
      <c r="H1030" s="15" t="n">
        <v>0.0867390530842325</v>
      </c>
      <c r="I1030" s="15" t="n">
        <v>0.0867390530842325</v>
      </c>
      <c r="J1030" s="16" t="n">
        <v>2016</v>
      </c>
      <c r="K1030" s="16" t="n">
        <v>10</v>
      </c>
      <c r="L1030" s="16" t="n">
        <v>42</v>
      </c>
      <c r="M1030" s="16" t="s">
        <v>38</v>
      </c>
      <c r="N1030" s="17" t="b">
        <f aca="false">TRUE()</f>
        <v>1</v>
      </c>
      <c r="O1030" s="14" t="n">
        <v>42.1337758903892</v>
      </c>
      <c r="P1030" s="13" t="n">
        <v>1330.14285714286</v>
      </c>
      <c r="Q1030" s="15" t="n">
        <v>0.0149681423943316</v>
      </c>
      <c r="R1030" s="15" t="n">
        <v>-0.0376973472237139</v>
      </c>
      <c r="S1030" s="17" t="b">
        <f aca="false">FALSE()</f>
        <v>0</v>
      </c>
    </row>
    <row r="1031" customFormat="false" ht="15" hidden="false" customHeight="true" outlineLevel="0" collapsed="false">
      <c r="A1031" s="12" t="n">
        <v>42667</v>
      </c>
      <c r="B1031" s="13" t="n">
        <v>40131.5735112646</v>
      </c>
      <c r="C1031" s="13" t="n">
        <v>36347.6987151602</v>
      </c>
      <c r="D1031" s="13" t="n">
        <v>940</v>
      </c>
      <c r="E1031" s="14" t="n">
        <v>42.693163309856</v>
      </c>
      <c r="F1031" s="14" t="n">
        <v>38.667764590596</v>
      </c>
      <c r="G1031" s="13" t="n">
        <v>3783.87479610442</v>
      </c>
      <c r="H1031" s="15" t="n">
        <v>0.0942867290025973</v>
      </c>
      <c r="I1031" s="15" t="n">
        <v>0.0942867290025974</v>
      </c>
      <c r="J1031" s="16" t="n">
        <v>2016</v>
      </c>
      <c r="K1031" s="16" t="n">
        <v>10</v>
      </c>
      <c r="L1031" s="16" t="n">
        <v>43</v>
      </c>
      <c r="M1031" s="16" t="s">
        <v>32</v>
      </c>
      <c r="N1031" s="17" t="b">
        <f aca="false">FALSE()</f>
        <v>0</v>
      </c>
      <c r="O1031" s="14" t="n">
        <v>42.3094633642942</v>
      </c>
      <c r="P1031" s="13" t="n">
        <v>1329.85714285714</v>
      </c>
      <c r="Q1031" s="15" t="n">
        <v>0.00906889180460813</v>
      </c>
      <c r="R1031" s="15" t="n">
        <v>-0.293157159737888</v>
      </c>
      <c r="S1031" s="17" t="b">
        <f aca="false">FALSE()</f>
        <v>0</v>
      </c>
    </row>
    <row r="1032" customFormat="false" ht="15" hidden="false" customHeight="true" outlineLevel="0" collapsed="false">
      <c r="A1032" s="12" t="n">
        <v>42668</v>
      </c>
      <c r="B1032" s="13" t="n">
        <v>70402.9919264254</v>
      </c>
      <c r="C1032" s="13" t="n">
        <v>63452.7610378137</v>
      </c>
      <c r="D1032" s="13" t="n">
        <v>1650</v>
      </c>
      <c r="E1032" s="14" t="n">
        <v>42.6684799554093</v>
      </c>
      <c r="F1032" s="14" t="n">
        <v>38.4562188107962</v>
      </c>
      <c r="G1032" s="13" t="n">
        <v>6950.23088861165</v>
      </c>
      <c r="H1032" s="15" t="n">
        <v>0.0987206750513528</v>
      </c>
      <c r="I1032" s="15" t="n">
        <v>0.0987206750513528</v>
      </c>
      <c r="J1032" s="16" t="n">
        <v>2016</v>
      </c>
      <c r="K1032" s="16" t="n">
        <v>10</v>
      </c>
      <c r="L1032" s="16" t="n">
        <v>43</v>
      </c>
      <c r="M1032" s="16" t="s">
        <v>33</v>
      </c>
      <c r="N1032" s="17" t="b">
        <f aca="false">FALSE()</f>
        <v>0</v>
      </c>
      <c r="O1032" s="14" t="n">
        <v>42.4783629269281</v>
      </c>
      <c r="P1032" s="13" t="n">
        <v>1306.78571428571</v>
      </c>
      <c r="Q1032" s="15" t="n">
        <v>0.00447562041899433</v>
      </c>
      <c r="R1032" s="15" t="n">
        <v>0.262640065591692</v>
      </c>
      <c r="S1032" s="17" t="b">
        <f aca="false">FALSE()</f>
        <v>0</v>
      </c>
    </row>
    <row r="1033" customFormat="false" ht="15" hidden="false" customHeight="true" outlineLevel="0" collapsed="false">
      <c r="A1033" s="12" t="n">
        <v>42669</v>
      </c>
      <c r="B1033" s="13" t="n">
        <v>62501.7406987603</v>
      </c>
      <c r="C1033" s="13" t="n">
        <v>56100.8742886079</v>
      </c>
      <c r="D1033" s="13" t="n">
        <v>1467</v>
      </c>
      <c r="E1033" s="14" t="n">
        <v>42.6051402172872</v>
      </c>
      <c r="F1033" s="14" t="n">
        <v>38.2419047638773</v>
      </c>
      <c r="G1033" s="13" t="n">
        <v>6400.86641015232</v>
      </c>
      <c r="H1033" s="15" t="n">
        <v>0.102411010294939</v>
      </c>
      <c r="I1033" s="15" t="n">
        <v>0.102411010294939</v>
      </c>
      <c r="J1033" s="16" t="n">
        <v>2016</v>
      </c>
      <c r="K1033" s="16" t="n">
        <v>10</v>
      </c>
      <c r="L1033" s="16" t="n">
        <v>43</v>
      </c>
      <c r="M1033" s="16" t="s">
        <v>34</v>
      </c>
      <c r="N1033" s="17" t="b">
        <f aca="false">FALSE()</f>
        <v>0</v>
      </c>
      <c r="O1033" s="14" t="n">
        <v>42.6471307176947</v>
      </c>
      <c r="P1033" s="13" t="n">
        <v>1360.64285714286</v>
      </c>
      <c r="Q1033" s="15" t="n">
        <v>-0.000984603177304878</v>
      </c>
      <c r="R1033" s="15" t="n">
        <v>0.0781668329046144</v>
      </c>
      <c r="S1033" s="17" t="b">
        <f aca="false">FALSE()</f>
        <v>0</v>
      </c>
    </row>
    <row r="1034" customFormat="false" ht="15" hidden="false" customHeight="true" outlineLevel="0" collapsed="false">
      <c r="A1034" s="12" t="n">
        <v>42670</v>
      </c>
      <c r="B1034" s="13" t="n">
        <v>53675.2182803</v>
      </c>
      <c r="C1034" s="13" t="n">
        <v>48201.940975749</v>
      </c>
      <c r="D1034" s="13" t="n">
        <v>1257</v>
      </c>
      <c r="E1034" s="14" t="n">
        <v>42.7010487512331</v>
      </c>
      <c r="F1034" s="14" t="n">
        <v>38.3468106410096</v>
      </c>
      <c r="G1034" s="13" t="n">
        <v>5473.27730455098</v>
      </c>
      <c r="H1034" s="15" t="n">
        <v>0.101970284982703</v>
      </c>
      <c r="I1034" s="15" t="n">
        <v>0.101970284982703</v>
      </c>
      <c r="J1034" s="16" t="n">
        <v>2016</v>
      </c>
      <c r="K1034" s="16" t="n">
        <v>10</v>
      </c>
      <c r="L1034" s="16" t="n">
        <v>43</v>
      </c>
      <c r="M1034" s="16" t="s">
        <v>35</v>
      </c>
      <c r="N1034" s="17" t="b">
        <f aca="false">FALSE()</f>
        <v>0</v>
      </c>
      <c r="O1034" s="14" t="n">
        <v>42.8049978979125</v>
      </c>
      <c r="P1034" s="13" t="n">
        <v>1410.57142857143</v>
      </c>
      <c r="Q1034" s="15" t="n">
        <v>-0.00242843480397554</v>
      </c>
      <c r="R1034" s="15" t="n">
        <v>-0.108871784484505</v>
      </c>
      <c r="S1034" s="17" t="b">
        <f aca="false">FALSE()</f>
        <v>0</v>
      </c>
    </row>
    <row r="1035" customFormat="false" ht="15" hidden="false" customHeight="true" outlineLevel="0" collapsed="false">
      <c r="A1035" s="12" t="n">
        <v>42671</v>
      </c>
      <c r="B1035" s="13" t="n">
        <v>102606.326981947</v>
      </c>
      <c r="C1035" s="13" t="n">
        <v>92657.699525096</v>
      </c>
      <c r="D1035" s="13" t="n">
        <v>2405</v>
      </c>
      <c r="E1035" s="14" t="n">
        <v>42.663753422847</v>
      </c>
      <c r="F1035" s="14" t="n">
        <v>38.5271099896449</v>
      </c>
      <c r="G1035" s="13" t="n">
        <v>9948.62745685104</v>
      </c>
      <c r="H1035" s="15" t="n">
        <v>0.0969592007576827</v>
      </c>
      <c r="I1035" s="15" t="n">
        <v>0.0969592007576827</v>
      </c>
      <c r="J1035" s="16" t="n">
        <v>2016</v>
      </c>
      <c r="K1035" s="16" t="n">
        <v>10</v>
      </c>
      <c r="L1035" s="16" t="n">
        <v>43</v>
      </c>
      <c r="M1035" s="16" t="s">
        <v>36</v>
      </c>
      <c r="N1035" s="17" t="b">
        <f aca="false">FALSE()</f>
        <v>0</v>
      </c>
      <c r="O1035" s="14" t="n">
        <v>42.7930749295457</v>
      </c>
      <c r="P1035" s="13" t="n">
        <v>1463.14285714286</v>
      </c>
      <c r="Q1035" s="15" t="n">
        <v>-0.00302201949524732</v>
      </c>
      <c r="R1035" s="15" t="n">
        <v>0.643721929310682</v>
      </c>
      <c r="S1035" s="17" t="b">
        <f aca="false">FALSE()</f>
        <v>0</v>
      </c>
    </row>
    <row r="1036" customFormat="false" ht="15" hidden="false" customHeight="true" outlineLevel="0" collapsed="false">
      <c r="A1036" s="12" t="n">
        <v>42672</v>
      </c>
      <c r="B1036" s="13" t="n">
        <v>124988.155467189</v>
      </c>
      <c r="C1036" s="13" t="n">
        <v>113187.846022975</v>
      </c>
      <c r="D1036" s="13" t="n">
        <v>2929</v>
      </c>
      <c r="E1036" s="14" t="n">
        <v>42.6726375784188</v>
      </c>
      <c r="F1036" s="14" t="n">
        <v>38.6438532000599</v>
      </c>
      <c r="G1036" s="13" t="n">
        <v>11800.3094442133</v>
      </c>
      <c r="H1036" s="15" t="n">
        <v>0.0944114216271564</v>
      </c>
      <c r="I1036" s="15" t="n">
        <v>0.0944114216271562</v>
      </c>
      <c r="J1036" s="16" t="n">
        <v>2016</v>
      </c>
      <c r="K1036" s="16" t="n">
        <v>10</v>
      </c>
      <c r="L1036" s="16" t="n">
        <v>43</v>
      </c>
      <c r="M1036" s="16" t="s">
        <v>37</v>
      </c>
      <c r="N1036" s="17" t="b">
        <f aca="false">TRUE()</f>
        <v>1</v>
      </c>
      <c r="O1036" s="14" t="n">
        <v>42.7749319065445</v>
      </c>
      <c r="P1036" s="13" t="n">
        <v>1519.35714285714</v>
      </c>
      <c r="Q1036" s="15" t="n">
        <v>-0.00239145507815527</v>
      </c>
      <c r="R1036" s="15" t="n">
        <v>0.927789008509238</v>
      </c>
      <c r="S1036" s="17" t="b">
        <f aca="false">FALSE()</f>
        <v>0</v>
      </c>
    </row>
    <row r="1037" customFormat="false" ht="15" hidden="false" customHeight="true" outlineLevel="0" collapsed="false">
      <c r="A1037" s="12" t="n">
        <v>42673</v>
      </c>
      <c r="B1037" s="13" t="n">
        <v>67521.0374889254</v>
      </c>
      <c r="C1037" s="13" t="n">
        <v>61233.7188741851</v>
      </c>
      <c r="D1037" s="13" t="n">
        <v>1582</v>
      </c>
      <c r="E1037" s="14" t="n">
        <v>42.6808075151235</v>
      </c>
      <c r="F1037" s="14" t="n">
        <v>38.706522676476</v>
      </c>
      <c r="G1037" s="13" t="n">
        <v>6287.31861474028</v>
      </c>
      <c r="H1037" s="15" t="n">
        <v>0.0931164396840246</v>
      </c>
      <c r="I1037" s="15" t="n">
        <v>0.0931164396840245</v>
      </c>
      <c r="J1037" s="16" t="n">
        <v>2016</v>
      </c>
      <c r="K1037" s="16" t="n">
        <v>10</v>
      </c>
      <c r="L1037" s="16" t="n">
        <v>43</v>
      </c>
      <c r="M1037" s="16" t="s">
        <v>38</v>
      </c>
      <c r="N1037" s="17" t="b">
        <f aca="false">TRUE()</f>
        <v>1</v>
      </c>
      <c r="O1037" s="14" t="n">
        <v>42.7569374654437</v>
      </c>
      <c r="P1037" s="13" t="n">
        <v>1575.21428571429</v>
      </c>
      <c r="Q1037" s="15" t="n">
        <v>-0.00178052860735693</v>
      </c>
      <c r="R1037" s="15" t="n">
        <v>0.00430780392690333</v>
      </c>
      <c r="S1037" s="17" t="b">
        <f aca="false">FALSE()</f>
        <v>0</v>
      </c>
    </row>
    <row r="1038" customFormat="false" ht="15" hidden="false" customHeight="true" outlineLevel="0" collapsed="false">
      <c r="A1038" s="12" t="n">
        <v>42674</v>
      </c>
      <c r="B1038" s="13" t="n">
        <v>70020.5960098404</v>
      </c>
      <c r="C1038" s="13" t="n">
        <v>62316.1513382018</v>
      </c>
      <c r="D1038" s="13" t="n">
        <v>1639</v>
      </c>
      <c r="E1038" s="14" t="n">
        <v>42.7215350883712</v>
      </c>
      <c r="F1038" s="14" t="n">
        <v>38.0208366920084</v>
      </c>
      <c r="G1038" s="13" t="n">
        <v>7704.44467163859</v>
      </c>
      <c r="H1038" s="15" t="n">
        <v>0.110031120994112</v>
      </c>
      <c r="I1038" s="15" t="n">
        <v>0.110031120994112</v>
      </c>
      <c r="J1038" s="16" t="n">
        <v>2016</v>
      </c>
      <c r="K1038" s="16" t="n">
        <v>10</v>
      </c>
      <c r="L1038" s="16" t="n">
        <v>44</v>
      </c>
      <c r="M1038" s="16" t="s">
        <v>32</v>
      </c>
      <c r="N1038" s="17" t="b">
        <f aca="false">FALSE()</f>
        <v>0</v>
      </c>
      <c r="O1038" s="14" t="n">
        <v>42.7399545964731</v>
      </c>
      <c r="P1038" s="13" t="n">
        <v>1592.85714285714</v>
      </c>
      <c r="Q1038" s="15" t="n">
        <v>-0.000430966955295763</v>
      </c>
      <c r="R1038" s="15" t="n">
        <v>0.0289686098654708</v>
      </c>
      <c r="S1038" s="17" t="b">
        <f aca="false">FALSE()</f>
        <v>0</v>
      </c>
    </row>
    <row r="1039" customFormat="false" ht="15" hidden="false" customHeight="true" outlineLevel="0" collapsed="false">
      <c r="A1039" s="12" t="n">
        <v>42675</v>
      </c>
      <c r="B1039" s="13" t="n">
        <v>126954.170178997</v>
      </c>
      <c r="C1039" s="13" t="n">
        <v>110698.742897542</v>
      </c>
      <c r="D1039" s="13" t="n">
        <v>2971</v>
      </c>
      <c r="E1039" s="14" t="n">
        <v>42.7311242608541</v>
      </c>
      <c r="F1039" s="14" t="n">
        <v>37.2597586326294</v>
      </c>
      <c r="G1039" s="13" t="n">
        <v>16255.4272814554</v>
      </c>
      <c r="H1039" s="15" t="n">
        <v>0.128041696137561</v>
      </c>
      <c r="I1039" s="15" t="n">
        <v>0.128041696137561</v>
      </c>
      <c r="J1039" s="16" t="n">
        <v>2016</v>
      </c>
      <c r="K1039" s="16" t="n">
        <v>11</v>
      </c>
      <c r="L1039" s="16" t="n">
        <v>44</v>
      </c>
      <c r="M1039" s="16" t="s">
        <v>33</v>
      </c>
      <c r="N1039" s="17" t="b">
        <f aca="false">FALSE()</f>
        <v>0</v>
      </c>
      <c r="O1039" s="14" t="n">
        <v>42.7249472749845</v>
      </c>
      <c r="P1039" s="13" t="n">
        <v>1614.78571428571</v>
      </c>
      <c r="Q1039" s="15" t="n">
        <v>0.000144575622992131</v>
      </c>
      <c r="R1039" s="15" t="n">
        <v>0.839872605830053</v>
      </c>
      <c r="S1039" s="17" t="b">
        <f aca="false">FALSE()</f>
        <v>0</v>
      </c>
    </row>
    <row r="1040" customFormat="false" ht="15" hidden="false" customHeight="true" outlineLevel="0" collapsed="false">
      <c r="A1040" s="12" t="n">
        <v>42676</v>
      </c>
      <c r="B1040" s="13" t="n">
        <v>97558.2470510415</v>
      </c>
      <c r="C1040" s="13" t="n">
        <v>86203.8752037195</v>
      </c>
      <c r="D1040" s="13" t="n">
        <v>2284</v>
      </c>
      <c r="E1040" s="14" t="n">
        <v>42.713768411139</v>
      </c>
      <c r="F1040" s="14" t="n">
        <v>37.742502278336</v>
      </c>
      <c r="G1040" s="13" t="n">
        <v>11354.371847322</v>
      </c>
      <c r="H1040" s="15" t="n">
        <v>0.11638556647478</v>
      </c>
      <c r="I1040" s="15" t="n">
        <v>0.11638556647478</v>
      </c>
      <c r="J1040" s="16" t="n">
        <v>2016</v>
      </c>
      <c r="K1040" s="16" t="n">
        <v>11</v>
      </c>
      <c r="L1040" s="16" t="n">
        <v>44</v>
      </c>
      <c r="M1040" s="16" t="s">
        <v>34</v>
      </c>
      <c r="N1040" s="17" t="b">
        <f aca="false">FALSE()</f>
        <v>0</v>
      </c>
      <c r="O1040" s="14" t="n">
        <v>42.7110500204116</v>
      </c>
      <c r="P1040" s="13" t="n">
        <v>1758.85714285714</v>
      </c>
      <c r="Q1040" s="15" t="n">
        <v>6.36460758063209E-005</v>
      </c>
      <c r="R1040" s="15" t="n">
        <v>0.298570500324886</v>
      </c>
      <c r="S1040" s="17" t="b">
        <f aca="false">FALSE()</f>
        <v>0</v>
      </c>
    </row>
    <row r="1041" customFormat="false" ht="15" hidden="false" customHeight="true" outlineLevel="0" collapsed="false">
      <c r="A1041" s="12" t="n">
        <v>42677</v>
      </c>
      <c r="B1041" s="13" t="n">
        <v>97039.0098704916</v>
      </c>
      <c r="C1041" s="13" t="n">
        <v>89413.4159660191</v>
      </c>
      <c r="D1041" s="13" t="n">
        <v>2266</v>
      </c>
      <c r="E1041" s="14" t="n">
        <v>42.8239231555568</v>
      </c>
      <c r="F1041" s="14" t="n">
        <v>39.4587007793553</v>
      </c>
      <c r="G1041" s="13" t="n">
        <v>7625.5939044725</v>
      </c>
      <c r="H1041" s="15" t="n">
        <v>0.078582767019672</v>
      </c>
      <c r="I1041" s="15" t="n">
        <v>0.0785827670196721</v>
      </c>
      <c r="J1041" s="16" t="n">
        <v>2016</v>
      </c>
      <c r="K1041" s="16" t="n">
        <v>11</v>
      </c>
      <c r="L1041" s="16" t="n">
        <v>44</v>
      </c>
      <c r="M1041" s="16" t="s">
        <v>35</v>
      </c>
      <c r="N1041" s="17" t="b">
        <f aca="false">FALSE()</f>
        <v>0</v>
      </c>
      <c r="O1041" s="14" t="n">
        <v>42.6937448894684</v>
      </c>
      <c r="P1041" s="13" t="n">
        <v>1859.35714285714</v>
      </c>
      <c r="Q1041" s="15" t="n">
        <v>0.00304911800136905</v>
      </c>
      <c r="R1041" s="15" t="n">
        <v>0.218700779839422</v>
      </c>
      <c r="S1041" s="17" t="b">
        <f aca="false">FALSE()</f>
        <v>0</v>
      </c>
    </row>
    <row r="1042" customFormat="false" ht="15" hidden="false" customHeight="true" outlineLevel="0" collapsed="false">
      <c r="A1042" s="12" t="n">
        <v>42678</v>
      </c>
      <c r="B1042" s="13" t="n">
        <v>168349.265322936</v>
      </c>
      <c r="C1042" s="13" t="n">
        <v>156675.590124404</v>
      </c>
      <c r="D1042" s="13" t="n">
        <v>3938</v>
      </c>
      <c r="E1042" s="14" t="n">
        <v>42.7499404070432</v>
      </c>
      <c r="F1042" s="14" t="n">
        <v>39.7855739269691</v>
      </c>
      <c r="G1042" s="13" t="n">
        <v>11673.6751985319</v>
      </c>
      <c r="H1042" s="15" t="n">
        <v>0.0693420026285165</v>
      </c>
      <c r="I1042" s="15" t="n">
        <v>0.0693420026285165</v>
      </c>
      <c r="J1042" s="16" t="n">
        <v>2016</v>
      </c>
      <c r="K1042" s="16" t="n">
        <v>11</v>
      </c>
      <c r="L1042" s="16" t="n">
        <v>44</v>
      </c>
      <c r="M1042" s="16" t="s">
        <v>36</v>
      </c>
      <c r="N1042" s="17" t="b">
        <f aca="false">FALSE()</f>
        <v>0</v>
      </c>
      <c r="O1042" s="14" t="n">
        <v>42.7055973697093</v>
      </c>
      <c r="P1042" s="13" t="n">
        <v>1956.5</v>
      </c>
      <c r="Q1042" s="15" t="n">
        <v>0.00103834251398133</v>
      </c>
      <c r="R1042" s="15" t="n">
        <v>1.01277791975466</v>
      </c>
      <c r="S1042" s="17" t="b">
        <f aca="false">FALSE()</f>
        <v>0</v>
      </c>
    </row>
    <row r="1043" customFormat="false" ht="15" hidden="false" customHeight="true" outlineLevel="0" collapsed="false">
      <c r="A1043" s="12" t="n">
        <v>42679</v>
      </c>
      <c r="B1043" s="13" t="n">
        <v>202017.421978132</v>
      </c>
      <c r="C1043" s="13" t="n">
        <v>189394.693737749</v>
      </c>
      <c r="D1043" s="13" t="n">
        <v>4720</v>
      </c>
      <c r="E1043" s="14" t="n">
        <v>42.8003012665535</v>
      </c>
      <c r="F1043" s="14" t="n">
        <v>40.1259944359638</v>
      </c>
      <c r="G1043" s="13" t="n">
        <v>12622.7282403833</v>
      </c>
      <c r="H1043" s="15" t="n">
        <v>0.0624833646364901</v>
      </c>
      <c r="I1043" s="15" t="n">
        <v>0.06248336463649</v>
      </c>
      <c r="J1043" s="16" t="n">
        <v>2016</v>
      </c>
      <c r="K1043" s="16" t="n">
        <v>11</v>
      </c>
      <c r="L1043" s="16" t="n">
        <v>44</v>
      </c>
      <c r="M1043" s="16" t="s">
        <v>37</v>
      </c>
      <c r="N1043" s="17" t="b">
        <f aca="false">TRUE()</f>
        <v>1</v>
      </c>
      <c r="O1043" s="14" t="n">
        <v>42.7095378702918</v>
      </c>
      <c r="P1043" s="13" t="n">
        <v>2077.14285714286</v>
      </c>
      <c r="Q1043" s="15" t="n">
        <v>0.00212513178056999</v>
      </c>
      <c r="R1043" s="15" t="n">
        <v>1.27235213204952</v>
      </c>
      <c r="S1043" s="17" t="b">
        <f aca="false">FALSE()</f>
        <v>0</v>
      </c>
    </row>
    <row r="1044" customFormat="false" ht="15" hidden="false" customHeight="true" outlineLevel="0" collapsed="false">
      <c r="A1044" s="12" t="n">
        <v>42680</v>
      </c>
      <c r="B1044" s="13" t="n">
        <v>108459.000053622</v>
      </c>
      <c r="C1044" s="13" t="n">
        <v>102250.167775968</v>
      </c>
      <c r="D1044" s="13" t="n">
        <v>2537</v>
      </c>
      <c r="E1044" s="14" t="n">
        <v>42.750886895397</v>
      </c>
      <c r="F1044" s="14" t="n">
        <v>40.3035742120489</v>
      </c>
      <c r="G1044" s="13" t="n">
        <v>6208.83227765402</v>
      </c>
      <c r="H1044" s="15" t="n">
        <v>0.0572458926837272</v>
      </c>
      <c r="I1044" s="15" t="n">
        <v>0.0572458926837273</v>
      </c>
      <c r="J1044" s="16" t="n">
        <v>2016</v>
      </c>
      <c r="K1044" s="16" t="n">
        <v>11</v>
      </c>
      <c r="L1044" s="16" t="n">
        <v>44</v>
      </c>
      <c r="M1044" s="16" t="s">
        <v>38</v>
      </c>
      <c r="N1044" s="17" t="b">
        <f aca="false">TRUE()</f>
        <v>1</v>
      </c>
      <c r="O1044" s="14" t="n">
        <v>42.7135759705157</v>
      </c>
      <c r="P1044" s="13" t="n">
        <v>2237.71428571429</v>
      </c>
      <c r="Q1044" s="15" t="n">
        <v>0.000873514427990098</v>
      </c>
      <c r="R1044" s="15" t="n">
        <v>0.133746169560776</v>
      </c>
      <c r="S1044" s="17" t="b">
        <f aca="false">FALSE()</f>
        <v>0</v>
      </c>
    </row>
    <row r="1045" customFormat="false" ht="15" hidden="false" customHeight="true" outlineLevel="0" collapsed="false">
      <c r="A1045" s="12" t="n">
        <v>42681</v>
      </c>
      <c r="B1045" s="13" t="n">
        <v>112536.377057253</v>
      </c>
      <c r="C1045" s="13" t="n">
        <v>105978.482478313</v>
      </c>
      <c r="D1045" s="13" t="n">
        <v>2621</v>
      </c>
      <c r="E1045" s="14" t="n">
        <v>42.9364277211952</v>
      </c>
      <c r="F1045" s="14" t="n">
        <v>40.4343695071777</v>
      </c>
      <c r="G1045" s="13" t="n">
        <v>6557.89457893978</v>
      </c>
      <c r="H1045" s="15" t="n">
        <v>0.0582735534093431</v>
      </c>
      <c r="I1045" s="15" t="n">
        <v>0.0582735534093431</v>
      </c>
      <c r="J1045" s="16" t="n">
        <v>2016</v>
      </c>
      <c r="K1045" s="16" t="n">
        <v>11</v>
      </c>
      <c r="L1045" s="16" t="n">
        <v>45</v>
      </c>
      <c r="M1045" s="16" t="s">
        <v>32</v>
      </c>
      <c r="N1045" s="17" t="b">
        <f aca="false">FALSE()</f>
        <v>0</v>
      </c>
      <c r="O1045" s="14" t="n">
        <v>42.712607873935</v>
      </c>
      <c r="P1045" s="13" t="n">
        <v>2327.5</v>
      </c>
      <c r="Q1045" s="15" t="n">
        <v>0.00524013536988423</v>
      </c>
      <c r="R1045" s="15" t="n">
        <v>0.126100966702471</v>
      </c>
      <c r="S1045" s="17" t="b">
        <f aca="false">FALSE()</f>
        <v>0</v>
      </c>
    </row>
    <row r="1046" customFormat="false" ht="15" hidden="false" customHeight="true" outlineLevel="0" collapsed="false">
      <c r="A1046" s="12" t="n">
        <v>42682</v>
      </c>
      <c r="B1046" s="13" t="n">
        <v>100479.929988872</v>
      </c>
      <c r="C1046" s="13" t="n">
        <v>94692.479289428</v>
      </c>
      <c r="D1046" s="13" t="n">
        <v>2341</v>
      </c>
      <c r="E1046" s="14" t="n">
        <v>42.9217983720085</v>
      </c>
      <c r="F1046" s="14" t="n">
        <v>40.4495853436258</v>
      </c>
      <c r="G1046" s="13" t="n">
        <v>5787.45069944381</v>
      </c>
      <c r="H1046" s="15" t="n">
        <v>0.0575980765520515</v>
      </c>
      <c r="I1046" s="15" t="n">
        <v>0.0575980765520515</v>
      </c>
      <c r="J1046" s="16" t="n">
        <v>2016</v>
      </c>
      <c r="K1046" s="16" t="n">
        <v>11</v>
      </c>
      <c r="L1046" s="16" t="n">
        <v>45</v>
      </c>
      <c r="M1046" s="16" t="s">
        <v>33</v>
      </c>
      <c r="N1046" s="17" t="b">
        <f aca="false">FALSE()</f>
        <v>0</v>
      </c>
      <c r="O1046" s="14" t="n">
        <v>42.7299839033163</v>
      </c>
      <c r="P1046" s="13" t="n">
        <v>2447.57142857143</v>
      </c>
      <c r="Q1046" s="15" t="n">
        <v>0.00448898995904472</v>
      </c>
      <c r="R1046" s="15" t="n">
        <v>-0.0435417031459756</v>
      </c>
      <c r="S1046" s="17" t="b">
        <f aca="false">FALSE()</f>
        <v>0</v>
      </c>
    </row>
    <row r="1047" customFormat="false" ht="15" hidden="false" customHeight="true" outlineLevel="0" collapsed="false">
      <c r="A1047" s="12" t="n">
        <v>42683</v>
      </c>
      <c r="B1047" s="13" t="n">
        <v>81649.6886724109</v>
      </c>
      <c r="C1047" s="13" t="n">
        <v>77081.6605739504</v>
      </c>
      <c r="D1047" s="13" t="n">
        <v>1901</v>
      </c>
      <c r="E1047" s="14" t="n">
        <v>42.9509146093692</v>
      </c>
      <c r="F1047" s="14" t="n">
        <v>40.5479540104947</v>
      </c>
      <c r="G1047" s="13" t="n">
        <v>4568.02809846042</v>
      </c>
      <c r="H1047" s="15" t="n">
        <v>0.0559466689063315</v>
      </c>
      <c r="I1047" s="15" t="n">
        <v>0.0559466689063315</v>
      </c>
      <c r="J1047" s="16" t="n">
        <v>2016</v>
      </c>
      <c r="K1047" s="16" t="n">
        <v>11</v>
      </c>
      <c r="L1047" s="16" t="n">
        <v>45</v>
      </c>
      <c r="M1047" s="16" t="s">
        <v>34</v>
      </c>
      <c r="N1047" s="17" t="b">
        <f aca="false">FALSE()</f>
        <v>0</v>
      </c>
      <c r="O1047" s="14" t="n">
        <v>42.7480780759306</v>
      </c>
      <c r="P1047" s="13" t="n">
        <v>2496.92857142857</v>
      </c>
      <c r="Q1047" s="15" t="n">
        <v>0.00474492755155816</v>
      </c>
      <c r="R1047" s="15" t="n">
        <v>-0.238664645135452</v>
      </c>
      <c r="S1047" s="17" t="b">
        <f aca="false">FALSE()</f>
        <v>0</v>
      </c>
    </row>
    <row r="1048" customFormat="false" ht="15" hidden="false" customHeight="true" outlineLevel="0" collapsed="false">
      <c r="A1048" s="12" t="n">
        <v>42684</v>
      </c>
      <c r="B1048" s="13" t="n">
        <v>71529.1626442405</v>
      </c>
      <c r="C1048" s="13" t="n">
        <v>67551.2509710929</v>
      </c>
      <c r="D1048" s="13" t="n">
        <v>1666</v>
      </c>
      <c r="E1048" s="14" t="n">
        <v>42.9346714551264</v>
      </c>
      <c r="F1048" s="14" t="n">
        <v>40.5469693704039</v>
      </c>
      <c r="G1048" s="13" t="n">
        <v>3977.91167314757</v>
      </c>
      <c r="H1048" s="15" t="n">
        <v>0.0556124456948031</v>
      </c>
      <c r="I1048" s="15" t="n">
        <v>0.0556124456948031</v>
      </c>
      <c r="J1048" s="16" t="n">
        <v>2016</v>
      </c>
      <c r="K1048" s="16" t="n">
        <v>11</v>
      </c>
      <c r="L1048" s="16" t="n">
        <v>45</v>
      </c>
      <c r="M1048" s="16" t="s">
        <v>35</v>
      </c>
      <c r="N1048" s="17" t="b">
        <f aca="false">FALSE()</f>
        <v>0</v>
      </c>
      <c r="O1048" s="14" t="n">
        <v>42.7727762467936</v>
      </c>
      <c r="P1048" s="13" t="n">
        <v>2527.92857142857</v>
      </c>
      <c r="Q1048" s="15" t="n">
        <v>0.00378500585041924</v>
      </c>
      <c r="R1048" s="15" t="n">
        <v>-0.340962391568478</v>
      </c>
      <c r="S1048" s="17" t="b">
        <f aca="false">FALSE()</f>
        <v>0</v>
      </c>
    </row>
    <row r="1049" customFormat="false" ht="15" hidden="false" customHeight="true" outlineLevel="0" collapsed="false">
      <c r="A1049" s="12" t="n">
        <v>42685</v>
      </c>
      <c r="B1049" s="13" t="n">
        <v>160938.601615075</v>
      </c>
      <c r="C1049" s="13" t="n">
        <v>152555.417337231</v>
      </c>
      <c r="D1049" s="13" t="n">
        <v>3748</v>
      </c>
      <c r="E1049" s="14" t="n">
        <v>42.9398616902548</v>
      </c>
      <c r="F1049" s="14" t="n">
        <v>40.703152971513</v>
      </c>
      <c r="G1049" s="13" t="n">
        <v>8383.1842778443</v>
      </c>
      <c r="H1049" s="15" t="n">
        <v>0.0520893321659075</v>
      </c>
      <c r="I1049" s="15" t="n">
        <v>0.0520893321659076</v>
      </c>
      <c r="J1049" s="16" t="n">
        <v>2016</v>
      </c>
      <c r="K1049" s="16" t="n">
        <v>11</v>
      </c>
      <c r="L1049" s="16" t="n">
        <v>45</v>
      </c>
      <c r="M1049" s="16" t="s">
        <v>36</v>
      </c>
      <c r="N1049" s="17" t="b">
        <f aca="false">FALSE()</f>
        <v>0</v>
      </c>
      <c r="O1049" s="14" t="n">
        <v>42.7894635827859</v>
      </c>
      <c r="P1049" s="13" t="n">
        <v>2557.14285714286</v>
      </c>
      <c r="Q1049" s="15" t="n">
        <v>0.0035148397496935</v>
      </c>
      <c r="R1049" s="15" t="n">
        <v>0.465698324022346</v>
      </c>
      <c r="S1049" s="17" t="b">
        <f aca="false">FALSE()</f>
        <v>0</v>
      </c>
    </row>
    <row r="1050" customFormat="false" ht="15" hidden="false" customHeight="true" outlineLevel="0" collapsed="false">
      <c r="A1050" s="12" t="n">
        <v>42686</v>
      </c>
      <c r="B1050" s="13" t="n">
        <v>164998.844641165</v>
      </c>
      <c r="C1050" s="13" t="n">
        <v>156263.14947391</v>
      </c>
      <c r="D1050" s="13" t="n">
        <v>3843</v>
      </c>
      <c r="E1050" s="14" t="n">
        <v>42.9349062298113</v>
      </c>
      <c r="F1050" s="14" t="n">
        <v>40.6617615076528</v>
      </c>
      <c r="G1050" s="13" t="n">
        <v>8735.69516725515</v>
      </c>
      <c r="H1050" s="15" t="n">
        <v>0.0529439777972586</v>
      </c>
      <c r="I1050" s="15" t="n">
        <v>0.0529439777972585</v>
      </c>
      <c r="J1050" s="16" t="n">
        <v>2016</v>
      </c>
      <c r="K1050" s="16" t="n">
        <v>11</v>
      </c>
      <c r="L1050" s="16" t="n">
        <v>45</v>
      </c>
      <c r="M1050" s="16" t="s">
        <v>37</v>
      </c>
      <c r="N1050" s="17" t="b">
        <f aca="false">TRUE()</f>
        <v>1</v>
      </c>
      <c r="O1050" s="14" t="n">
        <v>42.8091856018865</v>
      </c>
      <c r="P1050" s="13" t="n">
        <v>2653.07142857143</v>
      </c>
      <c r="Q1050" s="15" t="n">
        <v>0.00293676756885731</v>
      </c>
      <c r="R1050" s="15" t="n">
        <v>0.448509813423795</v>
      </c>
      <c r="S1050" s="17" t="b">
        <f aca="false">FALSE()</f>
        <v>0</v>
      </c>
    </row>
    <row r="1051" customFormat="false" ht="15" hidden="false" customHeight="true" outlineLevel="0" collapsed="false">
      <c r="A1051" s="12" t="n">
        <v>42687</v>
      </c>
      <c r="B1051" s="13" t="n">
        <v>97946.7830473968</v>
      </c>
      <c r="C1051" s="13" t="n">
        <v>93112.6089092733</v>
      </c>
      <c r="D1051" s="13" t="n">
        <v>2281</v>
      </c>
      <c r="E1051" s="14" t="n">
        <v>42.9402819146851</v>
      </c>
      <c r="F1051" s="14" t="n">
        <v>40.8209596270379</v>
      </c>
      <c r="G1051" s="13" t="n">
        <v>4834.17413812349</v>
      </c>
      <c r="H1051" s="15" t="n">
        <v>0.0493551088429746</v>
      </c>
      <c r="I1051" s="15" t="n">
        <v>0.0493551088429745</v>
      </c>
      <c r="J1051" s="16" t="n">
        <v>2016</v>
      </c>
      <c r="K1051" s="16" t="n">
        <v>11</v>
      </c>
      <c r="L1051" s="16" t="n">
        <v>45</v>
      </c>
      <c r="M1051" s="16" t="s">
        <v>38</v>
      </c>
      <c r="N1051" s="17" t="b">
        <f aca="false">TRUE()</f>
        <v>1</v>
      </c>
      <c r="O1051" s="14" t="n">
        <v>42.827919076986</v>
      </c>
      <c r="P1051" s="13" t="n">
        <v>2718.35714285714</v>
      </c>
      <c r="Q1051" s="15" t="n">
        <v>0.00262358854039133</v>
      </c>
      <c r="R1051" s="15" t="n">
        <v>-0.160890243581995</v>
      </c>
      <c r="S1051" s="17" t="b">
        <f aca="false">FALSE()</f>
        <v>0</v>
      </c>
    </row>
    <row r="1052" customFormat="false" ht="15" hidden="false" customHeight="true" outlineLevel="0" collapsed="false">
      <c r="A1052" s="12" t="n">
        <v>42688</v>
      </c>
      <c r="B1052" s="13" t="n">
        <v>87834.2536843813</v>
      </c>
      <c r="C1052" s="13" t="n">
        <v>83068.2690265072</v>
      </c>
      <c r="D1052" s="13" t="n">
        <v>2046</v>
      </c>
      <c r="E1052" s="14" t="n">
        <v>42.9297427587397</v>
      </c>
      <c r="F1052" s="14" t="n">
        <v>40.6003269924278</v>
      </c>
      <c r="G1052" s="13" t="n">
        <v>4765.98465787417</v>
      </c>
      <c r="H1052" s="15" t="n">
        <v>0.0542611163407842</v>
      </c>
      <c r="I1052" s="15" t="n">
        <v>0.0542611163407842</v>
      </c>
      <c r="J1052" s="16" t="n">
        <v>2016</v>
      </c>
      <c r="K1052" s="16" t="n">
        <v>11</v>
      </c>
      <c r="L1052" s="16" t="n">
        <v>46</v>
      </c>
      <c r="M1052" s="16" t="s">
        <v>32</v>
      </c>
      <c r="N1052" s="17" t="b">
        <f aca="false">FALSE()</f>
        <v>0</v>
      </c>
      <c r="O1052" s="14" t="n">
        <v>42.8464529626689</v>
      </c>
      <c r="P1052" s="13" t="n">
        <v>2768.28571428571</v>
      </c>
      <c r="Q1052" s="15" t="n">
        <v>0.00194391344700788</v>
      </c>
      <c r="R1052" s="15" t="n">
        <v>-0.260914439054598</v>
      </c>
      <c r="S1052" s="17" t="b">
        <f aca="false">FALSE()</f>
        <v>0</v>
      </c>
    </row>
    <row r="1053" customFormat="false" ht="15" hidden="false" customHeight="true" outlineLevel="0" collapsed="false">
      <c r="A1053" s="12" t="n">
        <v>42689</v>
      </c>
      <c r="B1053" s="13" t="n">
        <v>95509.13497507</v>
      </c>
      <c r="C1053" s="13" t="n">
        <v>88104.2045304005</v>
      </c>
      <c r="D1053" s="13" t="n">
        <v>2181</v>
      </c>
      <c r="E1053" s="14" t="n">
        <v>43.7914419876525</v>
      </c>
      <c r="F1053" s="14" t="n">
        <v>40.3962423339755</v>
      </c>
      <c r="G1053" s="13" t="n">
        <v>7404.93044466956</v>
      </c>
      <c r="H1053" s="15" t="n">
        <v>0.0775311225109767</v>
      </c>
      <c r="I1053" s="15" t="n">
        <v>0.0775311225109767</v>
      </c>
      <c r="J1053" s="16" t="n">
        <v>2016</v>
      </c>
      <c r="K1053" s="16" t="n">
        <v>11</v>
      </c>
      <c r="L1053" s="16" t="n">
        <v>46</v>
      </c>
      <c r="M1053" s="16" t="s">
        <v>33</v>
      </c>
      <c r="N1053" s="17" t="b">
        <f aca="false">FALSE()</f>
        <v>0</v>
      </c>
      <c r="O1053" s="14" t="n">
        <v>42.8613249391238</v>
      </c>
      <c r="P1053" s="13" t="n">
        <v>2797.35714285714</v>
      </c>
      <c r="Q1053" s="15" t="n">
        <v>0.0217006135449543</v>
      </c>
      <c r="R1053" s="15" t="n">
        <v>-0.220335520772157</v>
      </c>
      <c r="S1053" s="17" t="b">
        <f aca="false">FALSE()</f>
        <v>0</v>
      </c>
    </row>
    <row r="1054" customFormat="false" ht="15" hidden="false" customHeight="true" outlineLevel="0" collapsed="false">
      <c r="A1054" s="12" t="n">
        <v>42690</v>
      </c>
      <c r="B1054" s="13" t="n">
        <v>77229.9718852395</v>
      </c>
      <c r="C1054" s="13" t="n">
        <v>71428.8700021723</v>
      </c>
      <c r="D1054" s="13" t="n">
        <v>1763</v>
      </c>
      <c r="E1054" s="14" t="n">
        <v>43.8059965316163</v>
      </c>
      <c r="F1054" s="14" t="n">
        <v>40.5155246750836</v>
      </c>
      <c r="G1054" s="13" t="n">
        <v>5801.10188306721</v>
      </c>
      <c r="H1054" s="15" t="n">
        <v>0.0751146445021035</v>
      </c>
      <c r="I1054" s="15" t="n">
        <v>0.0751146445021034</v>
      </c>
      <c r="J1054" s="16" t="n">
        <v>2016</v>
      </c>
      <c r="K1054" s="16" t="n">
        <v>11</v>
      </c>
      <c r="L1054" s="16" t="n">
        <v>46</v>
      </c>
      <c r="M1054" s="16" t="s">
        <v>34</v>
      </c>
      <c r="N1054" s="17" t="b">
        <f aca="false">FALSE()</f>
        <v>0</v>
      </c>
      <c r="O1054" s="14" t="n">
        <v>42.9370619196094</v>
      </c>
      <c r="P1054" s="13" t="n">
        <v>2740.92857142857</v>
      </c>
      <c r="Q1054" s="15" t="n">
        <v>0.0202374026810165</v>
      </c>
      <c r="R1054" s="15" t="n">
        <v>-0.356787324420817</v>
      </c>
      <c r="S1054" s="17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8"/>
  </cols>
  <sheetData>
    <row r="2" customFormat="false" ht="19.5" hidden="false" customHeight="true" outlineLevel="0" collapsed="false">
      <c r="B2" s="18" t="s">
        <v>39</v>
      </c>
      <c r="C2" s="18"/>
      <c r="D2" s="18"/>
      <c r="E2" s="18"/>
      <c r="F2" s="18"/>
    </row>
    <row r="3" customFormat="false" ht="15" hidden="false" customHeight="true" outlineLevel="0" collapsed="false">
      <c r="B3" s="19" t="s">
        <v>40</v>
      </c>
      <c r="C3" s="19"/>
      <c r="D3" s="19"/>
      <c r="E3" s="19"/>
      <c r="F3" s="19"/>
    </row>
    <row r="5" customFormat="false" ht="19.5" hidden="false" customHeight="true" outlineLevel="0" collapsed="false">
      <c r="B5" s="20" t="s">
        <v>41</v>
      </c>
      <c r="C5" s="20" t="s">
        <v>42</v>
      </c>
      <c r="D5" s="20" t="s">
        <v>43</v>
      </c>
    </row>
    <row r="6" customFormat="false" ht="15" hidden="false" customHeight="true" outlineLevel="0" collapsed="false">
      <c r="B6" s="21" t="s">
        <v>44</v>
      </c>
      <c r="C6" s="22" t="str">
        <f aca="false">TEXT('Raw Data'!A2,"yyyy-mm-dd") &amp; " to " &amp; TEXT('Raw Data'!A1054,"yyyy-mm-dd")</f>
        <v>2013-12-30 to 2016-11-16</v>
      </c>
      <c r="D6" s="23" t="s">
        <v>45</v>
      </c>
      <c r="E6" s="23"/>
      <c r="F6" s="23"/>
    </row>
    <row r="7" customFormat="false" ht="15" hidden="false" customHeight="true" outlineLevel="0" collapsed="false">
      <c r="B7" s="24" t="s">
        <v>46</v>
      </c>
      <c r="C7" s="25" t="n">
        <f aca="false">COUNT('Raw Data'!A2:A1054)</f>
        <v>1053</v>
      </c>
      <c r="D7" s="23" t="s">
        <v>47</v>
      </c>
      <c r="E7" s="23"/>
      <c r="F7" s="23"/>
    </row>
    <row r="8" customFormat="false" ht="15" hidden="false" customHeight="true" outlineLevel="0" collapsed="false">
      <c r="B8" s="21" t="s">
        <v>48</v>
      </c>
      <c r="C8" s="26" t="n">
        <f aca="false">SUM('Raw Data'!B2:B1054)</f>
        <v>186909828.256483</v>
      </c>
      <c r="D8" s="23" t="s">
        <v>49</v>
      </c>
      <c r="E8" s="23"/>
      <c r="F8" s="23"/>
    </row>
    <row r="9" customFormat="false" ht="15" hidden="false" customHeight="true" outlineLevel="0" collapsed="false">
      <c r="B9" s="24" t="s">
        <v>50</v>
      </c>
      <c r="C9" s="25" t="n">
        <f aca="false">SUM('Raw Data'!C2:C1054)</f>
        <v>194026109.446509</v>
      </c>
      <c r="D9" s="23" t="s">
        <v>51</v>
      </c>
      <c r="E9" s="23"/>
      <c r="F9" s="23"/>
    </row>
    <row r="10" customFormat="false" ht="15" hidden="false" customHeight="true" outlineLevel="0" collapsed="false">
      <c r="B10" s="21" t="s">
        <v>52</v>
      </c>
      <c r="C10" s="26" t="n">
        <f aca="false">SUM('Raw Data'!D2:D1054)</f>
        <v>5279872</v>
      </c>
      <c r="D10" s="23" t="s">
        <v>53</v>
      </c>
      <c r="E10" s="23"/>
      <c r="F10" s="23"/>
    </row>
    <row r="11" customFormat="false" ht="15" hidden="false" customHeight="true" outlineLevel="0" collapsed="false">
      <c r="B11" s="24" t="s">
        <v>54</v>
      </c>
      <c r="C11" s="25" t="n">
        <f aca="false">SUM('Raw Data'!G2:G1054)</f>
        <v>-7116281.190026</v>
      </c>
      <c r="D11" s="23" t="s">
        <v>55</v>
      </c>
      <c r="E11" s="23"/>
      <c r="F11" s="23"/>
    </row>
    <row r="12" customFormat="false" ht="15" hidden="false" customHeight="true" outlineLevel="0" collapsed="false">
      <c r="B12" s="21" t="s">
        <v>4</v>
      </c>
      <c r="C12" s="27" t="n">
        <f aca="false">SUM('Raw Data'!G2:G1054)/SUM('Raw Data'!B2:B1054)</f>
        <v>-0.0380733386596495</v>
      </c>
      <c r="D12" s="23" t="s">
        <v>56</v>
      </c>
      <c r="E12" s="23"/>
      <c r="F12" s="23"/>
    </row>
    <row r="13" customFormat="false" ht="15" hidden="false" customHeight="true" outlineLevel="0" collapsed="false">
      <c r="B13" s="24" t="s">
        <v>57</v>
      </c>
      <c r="C13" s="28" t="n">
        <f aca="false">AVERAGE('Raw Data'!E2:E1054)</f>
        <v>37.0728515815071</v>
      </c>
      <c r="D13" s="23" t="s">
        <v>58</v>
      </c>
      <c r="E13" s="23"/>
      <c r="F13" s="23"/>
    </row>
    <row r="14" customFormat="false" ht="15" hidden="false" customHeight="true" outlineLevel="0" collapsed="false">
      <c r="B14" s="21" t="s">
        <v>59</v>
      </c>
      <c r="C14" s="29" t="n">
        <f aca="false">AVERAGE('Raw Data'!E2:E1054)</f>
        <v>37.0728515815071</v>
      </c>
      <c r="D14" s="23" t="s">
        <v>60</v>
      </c>
      <c r="E14" s="23"/>
      <c r="F14" s="23"/>
    </row>
    <row r="15" customFormat="false" ht="15" hidden="false" customHeight="true" outlineLevel="0" collapsed="false">
      <c r="B15" s="24" t="s">
        <v>61</v>
      </c>
      <c r="C15" s="28" t="n">
        <f aca="false">SUM('Raw Data'!B2:B1054)/SUM('Raw Data'!D2:D1054)</f>
        <v>35.4004468775916</v>
      </c>
      <c r="D15" s="23" t="s">
        <v>62</v>
      </c>
      <c r="E15" s="23"/>
      <c r="F15" s="23"/>
    </row>
    <row r="16" customFormat="false" ht="15" hidden="false" customHeight="true" outlineLevel="0" collapsed="false">
      <c r="B16" s="21" t="s">
        <v>63</v>
      </c>
      <c r="C16" s="27" t="n">
        <f aca="false">AVERAGE('Raw Data'!H2:H1054)</f>
        <v>-0.00874976653540862</v>
      </c>
      <c r="D16" s="23" t="s">
        <v>64</v>
      </c>
      <c r="E16" s="23"/>
      <c r="F16" s="23"/>
    </row>
    <row r="17" customFormat="false" ht="15" hidden="false" customHeight="true" outlineLevel="0" collapsed="false">
      <c r="B17" s="24" t="s">
        <v>65</v>
      </c>
      <c r="C17" s="30" t="n">
        <f aca="false">AVERAGE('Raw Data'!I2:I1054)</f>
        <v>-0.00874976653540862</v>
      </c>
      <c r="D17" s="23" t="s">
        <v>66</v>
      </c>
      <c r="E17" s="23"/>
      <c r="F17" s="23"/>
    </row>
    <row r="19" customFormat="false" ht="15" hidden="false" customHeight="true" outlineLevel="0" collapsed="false">
      <c r="B19" s="19" t="s">
        <v>67</v>
      </c>
      <c r="C19" s="19"/>
      <c r="D19" s="19"/>
      <c r="E19" s="19"/>
      <c r="F19" s="19"/>
    </row>
  </sheetData>
  <mergeCells count="15">
    <mergeCell ref="B2:F2"/>
    <mergeCell ref="B3:F3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4" min="3" style="1" width="18"/>
    <col collapsed="false" customWidth="true" hidden="false" outlineLevel="0" max="5" min="5" style="1" width="22"/>
    <col collapsed="false" customWidth="true" hidden="false" outlineLevel="0" max="6" min="6" style="1" width="14"/>
  </cols>
  <sheetData>
    <row r="1" customFormat="false" ht="19.5" hidden="false" customHeight="true" outlineLevel="0" collapsed="false">
      <c r="A1" s="18" t="s">
        <v>68</v>
      </c>
      <c r="B1" s="18"/>
      <c r="C1" s="18"/>
      <c r="D1" s="18"/>
      <c r="E1" s="18"/>
      <c r="F1" s="18"/>
    </row>
    <row r="2" customFormat="false" ht="15" hidden="false" customHeight="true" outlineLevel="0" collapsed="false">
      <c r="A2" s="19" t="s">
        <v>69</v>
      </c>
      <c r="B2" s="19"/>
      <c r="C2" s="19"/>
      <c r="D2" s="19"/>
      <c r="E2" s="19"/>
      <c r="F2" s="19"/>
    </row>
    <row r="4" customFormat="false" ht="30" hidden="false" customHeight="true" outlineLevel="0" collapsed="false">
      <c r="A4" s="31" t="s">
        <v>70</v>
      </c>
      <c r="B4" s="31" t="s">
        <v>71</v>
      </c>
      <c r="C4" s="31" t="s">
        <v>72</v>
      </c>
      <c r="D4" s="31" t="s">
        <v>73</v>
      </c>
      <c r="E4" s="31" t="s">
        <v>74</v>
      </c>
      <c r="F4" s="31" t="s">
        <v>75</v>
      </c>
    </row>
    <row r="5" customFormat="false" ht="15" hidden="false" customHeight="true" outlineLevel="0" collapsed="false">
      <c r="A5" s="12" t="n">
        <f aca="false">'Raw Data'!A2</f>
        <v>41638</v>
      </c>
      <c r="B5" s="32" t="n">
        <f aca="false">'Raw Data'!E2</f>
        <v>32.8018116112094</v>
      </c>
      <c r="C5" s="32" t="n">
        <f aca="false">'Raw Data'!F2</f>
        <v>33.7014239069061</v>
      </c>
      <c r="D5" s="15" t="n">
        <f aca="false">'Raw Data'!H2</f>
        <v>-0.0274256893600747</v>
      </c>
      <c r="E5" s="15" t="n">
        <f aca="false">'Raw Data'!I2</f>
        <v>-0.0274256893600747</v>
      </c>
      <c r="F5" s="17" t="b">
        <f aca="false">'Raw Data'!S2</f>
        <v>0</v>
      </c>
    </row>
    <row r="6" customFormat="false" ht="15" hidden="false" customHeight="true" outlineLevel="0" collapsed="false">
      <c r="A6" s="12" t="n">
        <f aca="false">'Raw Data'!A3</f>
        <v>41639</v>
      </c>
      <c r="B6" s="32" t="n">
        <f aca="false">'Raw Data'!E3</f>
        <v>32.4067203888634</v>
      </c>
      <c r="C6" s="32" t="n">
        <f aca="false">'Raw Data'!F3</f>
        <v>33.1232326806521</v>
      </c>
      <c r="D6" s="15" t="n">
        <f aca="false">'Raw Data'!H3</f>
        <v>-0.0221099908658118</v>
      </c>
      <c r="E6" s="15" t="n">
        <f aca="false">'Raw Data'!I3</f>
        <v>-0.0221099908658119</v>
      </c>
      <c r="F6" s="17" t="b">
        <f aca="false">'Raw Data'!S3</f>
        <v>0</v>
      </c>
    </row>
    <row r="7" customFormat="false" ht="15" hidden="false" customHeight="true" outlineLevel="0" collapsed="false">
      <c r="A7" s="12" t="n">
        <f aca="false">'Raw Data'!A4</f>
        <v>41640</v>
      </c>
      <c r="B7" s="32" t="n">
        <f aca="false">'Raw Data'!E4</f>
        <v>32.4057011678184</v>
      </c>
      <c r="C7" s="32" t="n">
        <f aca="false">'Raw Data'!F4</f>
        <v>32.8552345834391</v>
      </c>
      <c r="D7" s="15" t="n">
        <f aca="false">'Raw Data'!H4</f>
        <v>-0.0138720471836934</v>
      </c>
      <c r="E7" s="15" t="n">
        <f aca="false">'Raw Data'!I4</f>
        <v>-0.0138720471836935</v>
      </c>
      <c r="F7" s="17" t="b">
        <f aca="false">'Raw Data'!S4</f>
        <v>0</v>
      </c>
    </row>
    <row r="8" customFormat="false" ht="15" hidden="false" customHeight="true" outlineLevel="0" collapsed="false">
      <c r="A8" s="12" t="n">
        <f aca="false">'Raw Data'!A5</f>
        <v>41641</v>
      </c>
      <c r="B8" s="32" t="n">
        <f aca="false">'Raw Data'!E5</f>
        <v>32.4166990692595</v>
      </c>
      <c r="C8" s="32" t="n">
        <f aca="false">'Raw Data'!F5</f>
        <v>32.855251450402</v>
      </c>
      <c r="D8" s="15" t="n">
        <f aca="false">'Raw Data'!H5</f>
        <v>-0.013528594635919</v>
      </c>
      <c r="E8" s="15" t="n">
        <f aca="false">'Raw Data'!I5</f>
        <v>-0.0135285946359191</v>
      </c>
      <c r="F8" s="17" t="b">
        <f aca="false">'Raw Data'!S5</f>
        <v>0</v>
      </c>
    </row>
    <row r="9" customFormat="false" ht="15" hidden="false" customHeight="true" outlineLevel="0" collapsed="false">
      <c r="A9" s="12" t="n">
        <f aca="false">'Raw Data'!A6</f>
        <v>41642</v>
      </c>
      <c r="B9" s="32" t="n">
        <f aca="false">'Raw Data'!E6</f>
        <v>32.418293750132</v>
      </c>
      <c r="C9" s="32" t="n">
        <f aca="false">'Raw Data'!F6</f>
        <v>33.1025676193331</v>
      </c>
      <c r="D9" s="15" t="n">
        <f aca="false">'Raw Data'!H6</f>
        <v>-0.0211076460246568</v>
      </c>
      <c r="E9" s="15" t="n">
        <f aca="false">'Raw Data'!I6</f>
        <v>-0.0211076460246568</v>
      </c>
      <c r="F9" s="17" t="b">
        <f aca="false">'Raw Data'!S6</f>
        <v>0</v>
      </c>
    </row>
    <row r="10" customFormat="false" ht="15" hidden="false" customHeight="true" outlineLevel="0" collapsed="false">
      <c r="A10" s="12" t="n">
        <f aca="false">'Raw Data'!A7</f>
        <v>41643</v>
      </c>
      <c r="B10" s="32" t="n">
        <f aca="false">'Raw Data'!E7</f>
        <v>32.4228020509147</v>
      </c>
      <c r="C10" s="32" t="n">
        <f aca="false">'Raw Data'!F7</f>
        <v>33.1206281174618</v>
      </c>
      <c r="D10" s="15" t="n">
        <f aca="false">'Raw Data'!H7</f>
        <v>-0.0215226945978125</v>
      </c>
      <c r="E10" s="15" t="n">
        <f aca="false">'Raw Data'!I7</f>
        <v>-0.0215226945978125</v>
      </c>
      <c r="F10" s="17" t="b">
        <f aca="false">'Raw Data'!S7</f>
        <v>0</v>
      </c>
    </row>
    <row r="11" customFormat="false" ht="15" hidden="false" customHeight="true" outlineLevel="0" collapsed="false">
      <c r="A11" s="12" t="n">
        <f aca="false">'Raw Data'!A8</f>
        <v>41644</v>
      </c>
      <c r="B11" s="32" t="n">
        <f aca="false">'Raw Data'!E8</f>
        <v>32.4382484590532</v>
      </c>
      <c r="C11" s="32" t="n">
        <f aca="false">'Raw Data'!F8</f>
        <v>33.1432449283177</v>
      </c>
      <c r="D11" s="15" t="n">
        <f aca="false">'Raw Data'!H8</f>
        <v>-0.0217334937228329</v>
      </c>
      <c r="E11" s="15" t="n">
        <f aca="false">'Raw Data'!I8</f>
        <v>-0.021733493722833</v>
      </c>
      <c r="F11" s="17" t="b">
        <f aca="false">'Raw Data'!S8</f>
        <v>0</v>
      </c>
    </row>
    <row r="12" customFormat="false" ht="15" hidden="false" customHeight="true" outlineLevel="0" collapsed="false">
      <c r="A12" s="12" t="n">
        <f aca="false">'Raw Data'!A9</f>
        <v>41645</v>
      </c>
      <c r="B12" s="32" t="n">
        <f aca="false">'Raw Data'!E9</f>
        <v>32.4250583042964</v>
      </c>
      <c r="C12" s="32" t="n">
        <f aca="false">'Raw Data'!F9</f>
        <v>33.175917458599</v>
      </c>
      <c r="D12" s="15" t="n">
        <f aca="false">'Raw Data'!H9</f>
        <v>-0.0231567557182504</v>
      </c>
      <c r="E12" s="15" t="n">
        <f aca="false">'Raw Data'!I9</f>
        <v>-0.0231567557182504</v>
      </c>
      <c r="F12" s="17" t="b">
        <f aca="false">'Raw Data'!S9</f>
        <v>0</v>
      </c>
    </row>
    <row r="13" customFormat="false" ht="15" hidden="false" customHeight="true" outlineLevel="0" collapsed="false">
      <c r="A13" s="12" t="n">
        <f aca="false">'Raw Data'!A10</f>
        <v>41646</v>
      </c>
      <c r="B13" s="32" t="n">
        <f aca="false">'Raw Data'!E10</f>
        <v>32.4150499158556</v>
      </c>
      <c r="C13" s="32" t="n">
        <f aca="false">'Raw Data'!F10</f>
        <v>33.212845279754</v>
      </c>
      <c r="D13" s="15" t="n">
        <f aca="false">'Raw Data'!H10</f>
        <v>-0.0246118813936513</v>
      </c>
      <c r="E13" s="15" t="n">
        <f aca="false">'Raw Data'!I10</f>
        <v>-0.0246118813936515</v>
      </c>
      <c r="F13" s="17" t="b">
        <f aca="false">'Raw Data'!S10</f>
        <v>0</v>
      </c>
    </row>
    <row r="14" customFormat="false" ht="15" hidden="false" customHeight="true" outlineLevel="0" collapsed="false">
      <c r="A14" s="12" t="n">
        <f aca="false">'Raw Data'!A11</f>
        <v>41647</v>
      </c>
      <c r="B14" s="32" t="n">
        <f aca="false">'Raw Data'!E11</f>
        <v>34.0589974034238</v>
      </c>
      <c r="C14" s="32" t="n">
        <f aca="false">'Raw Data'!F11</f>
        <v>33.2381162264966</v>
      </c>
      <c r="D14" s="15" t="n">
        <f aca="false">'Raw Data'!H11</f>
        <v>0.024101742256354</v>
      </c>
      <c r="E14" s="15" t="n">
        <f aca="false">'Raw Data'!I11</f>
        <v>0.0241017422563541</v>
      </c>
      <c r="F14" s="17" t="b">
        <f aca="false">'Raw Data'!S11</f>
        <v>0</v>
      </c>
    </row>
    <row r="15" customFormat="false" ht="15" hidden="false" customHeight="true" outlineLevel="0" collapsed="false">
      <c r="A15" s="12" t="n">
        <f aca="false">'Raw Data'!A12</f>
        <v>41648</v>
      </c>
      <c r="B15" s="32" t="n">
        <f aca="false">'Raw Data'!E12</f>
        <v>34.1260857699372</v>
      </c>
      <c r="C15" s="32" t="n">
        <f aca="false">'Raw Data'!F12</f>
        <v>33.1802654360724</v>
      </c>
      <c r="D15" s="15" t="n">
        <f aca="false">'Raw Data'!H12</f>
        <v>0.0277154649449443</v>
      </c>
      <c r="E15" s="15" t="n">
        <f aca="false">'Raw Data'!I12</f>
        <v>0.0277154649449443</v>
      </c>
      <c r="F15" s="17" t="b">
        <f aca="false">'Raw Data'!S12</f>
        <v>0</v>
      </c>
    </row>
    <row r="16" customFormat="false" ht="15" hidden="false" customHeight="true" outlineLevel="0" collapsed="false">
      <c r="A16" s="12" t="n">
        <f aca="false">'Raw Data'!A13</f>
        <v>41649</v>
      </c>
      <c r="B16" s="32" t="n">
        <f aca="false">'Raw Data'!E13</f>
        <v>34.1097401610764</v>
      </c>
      <c r="C16" s="32" t="n">
        <f aca="false">'Raw Data'!F13</f>
        <v>33.2863863126454</v>
      </c>
      <c r="D16" s="15" t="n">
        <f aca="false">'Raw Data'!H13</f>
        <v>0.0241383793761777</v>
      </c>
      <c r="E16" s="15" t="n">
        <f aca="false">'Raw Data'!I13</f>
        <v>0.0241383793761777</v>
      </c>
      <c r="F16" s="17" t="b">
        <f aca="false">'Raw Data'!S13</f>
        <v>0</v>
      </c>
    </row>
    <row r="17" customFormat="false" ht="15" hidden="false" customHeight="true" outlineLevel="0" collapsed="false">
      <c r="A17" s="12" t="n">
        <f aca="false">'Raw Data'!A14</f>
        <v>41650</v>
      </c>
      <c r="B17" s="32" t="n">
        <f aca="false">'Raw Data'!E14</f>
        <v>34.1101890512544</v>
      </c>
      <c r="C17" s="32" t="n">
        <f aca="false">'Raw Data'!F14</f>
        <v>33.3208447727235</v>
      </c>
      <c r="D17" s="15" t="n">
        <f aca="false">'Raw Data'!H14</f>
        <v>0.0231410115418836</v>
      </c>
      <c r="E17" s="15" t="n">
        <f aca="false">'Raw Data'!I14</f>
        <v>0.0231410115418835</v>
      </c>
      <c r="F17" s="17" t="b">
        <f aca="false">'Raw Data'!S14</f>
        <v>0</v>
      </c>
    </row>
    <row r="18" customFormat="false" ht="15" hidden="false" customHeight="true" outlineLevel="0" collapsed="false">
      <c r="A18" s="12" t="n">
        <f aca="false">'Raw Data'!A15</f>
        <v>41651</v>
      </c>
      <c r="B18" s="32" t="n">
        <f aca="false">'Raw Data'!E15</f>
        <v>34.1281734543337</v>
      </c>
      <c r="C18" s="32" t="n">
        <f aca="false">'Raw Data'!F15</f>
        <v>33.3069196131417</v>
      </c>
      <c r="D18" s="15" t="n">
        <f aca="false">'Raw Data'!H15</f>
        <v>0.0240638088144676</v>
      </c>
      <c r="E18" s="15" t="n">
        <f aca="false">'Raw Data'!I15</f>
        <v>0.0240638088144676</v>
      </c>
      <c r="F18" s="17" t="b">
        <f aca="false">'Raw Data'!S15</f>
        <v>0</v>
      </c>
    </row>
    <row r="19" customFormat="false" ht="15" hidden="false" customHeight="true" outlineLevel="0" collapsed="false">
      <c r="A19" s="12" t="n">
        <f aca="false">'Raw Data'!A16</f>
        <v>41652</v>
      </c>
      <c r="B19" s="32" t="n">
        <f aca="false">'Raw Data'!E16</f>
        <v>34.1000812677816</v>
      </c>
      <c r="C19" s="32" t="n">
        <f aca="false">'Raw Data'!F16</f>
        <v>33.2995870178251</v>
      </c>
      <c r="D19" s="15" t="n">
        <f aca="false">'Raw Data'!H16</f>
        <v>0.023474848745092</v>
      </c>
      <c r="E19" s="15" t="n">
        <f aca="false">'Raw Data'!I16</f>
        <v>0.0234748487450921</v>
      </c>
      <c r="F19" s="17" t="b">
        <f aca="false">'Raw Data'!S16</f>
        <v>0</v>
      </c>
    </row>
    <row r="20" customFormat="false" ht="15" hidden="false" customHeight="true" outlineLevel="0" collapsed="false">
      <c r="A20" s="12" t="n">
        <f aca="false">'Raw Data'!A17</f>
        <v>41653</v>
      </c>
      <c r="B20" s="32" t="n">
        <f aca="false">'Raw Data'!E17</f>
        <v>34.1102214991025</v>
      </c>
      <c r="C20" s="32" t="n">
        <f aca="false">'Raw Data'!F17</f>
        <v>33.260971116802</v>
      </c>
      <c r="D20" s="15" t="n">
        <f aca="false">'Raw Data'!H17</f>
        <v>0.0248972403278835</v>
      </c>
      <c r="E20" s="15" t="n">
        <f aca="false">'Raw Data'!I17</f>
        <v>0.0248972403278834</v>
      </c>
      <c r="F20" s="17" t="b">
        <f aca="false">'Raw Data'!S17</f>
        <v>0</v>
      </c>
    </row>
    <row r="21" customFormat="false" ht="15" hidden="false" customHeight="true" outlineLevel="0" collapsed="false">
      <c r="A21" s="12" t="n">
        <f aca="false">'Raw Data'!A18</f>
        <v>41654</v>
      </c>
      <c r="B21" s="32" t="n">
        <f aca="false">'Raw Data'!E18</f>
        <v>34.0838343641329</v>
      </c>
      <c r="C21" s="32" t="n">
        <f aca="false">'Raw Data'!F18</f>
        <v>33.4684817729487</v>
      </c>
      <c r="D21" s="15" t="n">
        <f aca="false">'Raw Data'!H18</f>
        <v>0.0180540893553863</v>
      </c>
      <c r="E21" s="15" t="n">
        <f aca="false">'Raw Data'!I18</f>
        <v>0.0180540893553863</v>
      </c>
      <c r="F21" s="17" t="b">
        <f aca="false">'Raw Data'!S18</f>
        <v>0</v>
      </c>
    </row>
    <row r="22" customFormat="false" ht="15" hidden="false" customHeight="true" outlineLevel="0" collapsed="false">
      <c r="A22" s="12" t="n">
        <f aca="false">'Raw Data'!A19</f>
        <v>41655</v>
      </c>
      <c r="B22" s="32" t="n">
        <f aca="false">'Raw Data'!E19</f>
        <v>34.0846654813761</v>
      </c>
      <c r="C22" s="32" t="n">
        <f aca="false">'Raw Data'!F19</f>
        <v>33.4606315370633</v>
      </c>
      <c r="D22" s="15" t="n">
        <f aca="false">'Raw Data'!H19</f>
        <v>0.0183083487984885</v>
      </c>
      <c r="E22" s="15" t="n">
        <f aca="false">'Raw Data'!I19</f>
        <v>0.0183083487984885</v>
      </c>
      <c r="F22" s="17" t="b">
        <f aca="false">'Raw Data'!S19</f>
        <v>0</v>
      </c>
    </row>
    <row r="23" customFormat="false" ht="15" hidden="false" customHeight="true" outlineLevel="0" collapsed="false">
      <c r="A23" s="12" t="n">
        <f aca="false">'Raw Data'!A20</f>
        <v>41656</v>
      </c>
      <c r="B23" s="32" t="n">
        <f aca="false">'Raw Data'!E20</f>
        <v>34.1382610141092</v>
      </c>
      <c r="C23" s="32" t="n">
        <f aca="false">'Raw Data'!F20</f>
        <v>33.4433809021602</v>
      </c>
      <c r="D23" s="15" t="n">
        <f aca="false">'Raw Data'!H20</f>
        <v>0.0203548772347184</v>
      </c>
      <c r="E23" s="15" t="n">
        <f aca="false">'Raw Data'!I20</f>
        <v>0.0203548772347185</v>
      </c>
      <c r="F23" s="17" t="b">
        <f aca="false">'Raw Data'!S20</f>
        <v>0</v>
      </c>
    </row>
    <row r="24" customFormat="false" ht="15" hidden="false" customHeight="true" outlineLevel="0" collapsed="false">
      <c r="A24" s="12" t="n">
        <f aca="false">'Raw Data'!A21</f>
        <v>41657</v>
      </c>
      <c r="B24" s="32" t="n">
        <f aca="false">'Raw Data'!E21</f>
        <v>34.1283290884988</v>
      </c>
      <c r="C24" s="32" t="n">
        <f aca="false">'Raw Data'!F21</f>
        <v>33.4460304531965</v>
      </c>
      <c r="D24" s="15" t="n">
        <f aca="false">'Raw Data'!H21</f>
        <v>0.0199921488547819</v>
      </c>
      <c r="E24" s="15" t="n">
        <f aca="false">'Raw Data'!I21</f>
        <v>0.019992148854782</v>
      </c>
      <c r="F24" s="17" t="b">
        <f aca="false">'Raw Data'!S21</f>
        <v>0</v>
      </c>
    </row>
    <row r="25" customFormat="false" ht="15" hidden="false" customHeight="true" outlineLevel="0" collapsed="false">
      <c r="A25" s="12" t="n">
        <f aca="false">'Raw Data'!A22</f>
        <v>41658</v>
      </c>
      <c r="B25" s="32" t="n">
        <f aca="false">'Raw Data'!E22</f>
        <v>34.1439830809664</v>
      </c>
      <c r="C25" s="32" t="n">
        <f aca="false">'Raw Data'!F22</f>
        <v>33.4477409565271</v>
      </c>
      <c r="D25" s="15" t="n">
        <f aca="false">'Raw Data'!H22</f>
        <v>0.0203913562980724</v>
      </c>
      <c r="E25" s="15" t="n">
        <f aca="false">'Raw Data'!I22</f>
        <v>0.0203913562980725</v>
      </c>
      <c r="F25" s="17" t="b">
        <f aca="false">'Raw Data'!S22</f>
        <v>0</v>
      </c>
    </row>
    <row r="26" customFormat="false" ht="15" hidden="false" customHeight="true" outlineLevel="0" collapsed="false">
      <c r="A26" s="12" t="n">
        <f aca="false">'Raw Data'!A23</f>
        <v>41659</v>
      </c>
      <c r="B26" s="32" t="n">
        <f aca="false">'Raw Data'!E23</f>
        <v>34.1205176263621</v>
      </c>
      <c r="C26" s="32" t="n">
        <f aca="false">'Raw Data'!F23</f>
        <v>33.478975080783</v>
      </c>
      <c r="D26" s="15" t="n">
        <f aca="false">'Raw Data'!H23</f>
        <v>0.0188022512613794</v>
      </c>
      <c r="E26" s="15" t="n">
        <f aca="false">'Raw Data'!I23</f>
        <v>0.0188022512613794</v>
      </c>
      <c r="F26" s="17" t="b">
        <f aca="false">'Raw Data'!S23</f>
        <v>0</v>
      </c>
    </row>
    <row r="27" customFormat="false" ht="15" hidden="false" customHeight="true" outlineLevel="0" collapsed="false">
      <c r="A27" s="12" t="n">
        <f aca="false">'Raw Data'!A24</f>
        <v>41660</v>
      </c>
      <c r="B27" s="32" t="n">
        <f aca="false">'Raw Data'!E24</f>
        <v>34.0871926786098</v>
      </c>
      <c r="C27" s="32" t="n">
        <f aca="false">'Raw Data'!F24</f>
        <v>33.5060333848217</v>
      </c>
      <c r="D27" s="15" t="n">
        <f aca="false">'Raw Data'!H24</f>
        <v>0.0170491978986797</v>
      </c>
      <c r="E27" s="15" t="n">
        <f aca="false">'Raw Data'!I24</f>
        <v>0.0170491978986798</v>
      </c>
      <c r="F27" s="17" t="b">
        <f aca="false">'Raw Data'!S24</f>
        <v>0</v>
      </c>
    </row>
    <row r="28" customFormat="false" ht="15" hidden="false" customHeight="true" outlineLevel="0" collapsed="false">
      <c r="A28" s="12" t="n">
        <f aca="false">'Raw Data'!A25</f>
        <v>41661</v>
      </c>
      <c r="B28" s="32" t="n">
        <f aca="false">'Raw Data'!E25</f>
        <v>33.9238866080393</v>
      </c>
      <c r="C28" s="32" t="n">
        <f aca="false">'Raw Data'!F25</f>
        <v>33.5430061878476</v>
      </c>
      <c r="D28" s="15" t="n">
        <f aca="false">'Raw Data'!H25</f>
        <v>0.0112274995077212</v>
      </c>
      <c r="E28" s="15" t="n">
        <f aca="false">'Raw Data'!I25</f>
        <v>0.011227499507721</v>
      </c>
      <c r="F28" s="17" t="b">
        <f aca="false">'Raw Data'!S25</f>
        <v>0</v>
      </c>
    </row>
    <row r="29" customFormat="false" ht="15" hidden="false" customHeight="true" outlineLevel="0" collapsed="false">
      <c r="A29" s="12" t="n">
        <f aca="false">'Raw Data'!A26</f>
        <v>41662</v>
      </c>
      <c r="B29" s="32" t="n">
        <f aca="false">'Raw Data'!E26</f>
        <v>34.1761486906643</v>
      </c>
      <c r="C29" s="32" t="n">
        <f aca="false">'Raw Data'!F26</f>
        <v>33.5811897644567</v>
      </c>
      <c r="D29" s="15" t="n">
        <f aca="false">'Raw Data'!H26</f>
        <v>0.0174086007054998</v>
      </c>
      <c r="E29" s="15" t="n">
        <f aca="false">'Raw Data'!I26</f>
        <v>0.0174086007054999</v>
      </c>
      <c r="F29" s="17" t="b">
        <f aca="false">'Raw Data'!S26</f>
        <v>0</v>
      </c>
    </row>
    <row r="30" customFormat="false" ht="15" hidden="false" customHeight="true" outlineLevel="0" collapsed="false">
      <c r="A30" s="12" t="n">
        <f aca="false">'Raw Data'!A27</f>
        <v>41663</v>
      </c>
      <c r="B30" s="32" t="n">
        <f aca="false">'Raw Data'!E27</f>
        <v>34.1685071130447</v>
      </c>
      <c r="C30" s="32" t="n">
        <f aca="false">'Raw Data'!F27</f>
        <v>33.5447838807516</v>
      </c>
      <c r="D30" s="15" t="n">
        <f aca="false">'Raw Data'!H27</f>
        <v>0.0182543308149095</v>
      </c>
      <c r="E30" s="15" t="n">
        <f aca="false">'Raw Data'!I27</f>
        <v>0.0182543308149094</v>
      </c>
      <c r="F30" s="17" t="b">
        <f aca="false">'Raw Data'!S27</f>
        <v>0</v>
      </c>
    </row>
    <row r="31" customFormat="false" ht="15" hidden="false" customHeight="true" outlineLevel="0" collapsed="false">
      <c r="A31" s="12" t="n">
        <f aca="false">'Raw Data'!A28</f>
        <v>41664</v>
      </c>
      <c r="B31" s="32" t="n">
        <f aca="false">'Raw Data'!E28</f>
        <v>34.1709561631779</v>
      </c>
      <c r="C31" s="32" t="n">
        <f aca="false">'Raw Data'!F28</f>
        <v>33.5907298772812</v>
      </c>
      <c r="D31" s="15" t="n">
        <f aca="false">'Raw Data'!H28</f>
        <v>0.0169801009701292</v>
      </c>
      <c r="E31" s="15" t="n">
        <f aca="false">'Raw Data'!I28</f>
        <v>0.0169801009701293</v>
      </c>
      <c r="F31" s="17" t="b">
        <f aca="false">'Raw Data'!S28</f>
        <v>0</v>
      </c>
    </row>
    <row r="32" customFormat="false" ht="15" hidden="false" customHeight="true" outlineLevel="0" collapsed="false">
      <c r="A32" s="12" t="n">
        <f aca="false">'Raw Data'!A29</f>
        <v>41665</v>
      </c>
      <c r="B32" s="32" t="n">
        <f aca="false">'Raw Data'!E29</f>
        <v>34.1653816610728</v>
      </c>
      <c r="C32" s="32" t="n">
        <f aca="false">'Raw Data'!F29</f>
        <v>33.6286755770211</v>
      </c>
      <c r="D32" s="15" t="n">
        <f aca="false">'Raw Data'!H29</f>
        <v>0.01570906156928</v>
      </c>
      <c r="E32" s="15" t="n">
        <f aca="false">'Raw Data'!I29</f>
        <v>0.01570906156928</v>
      </c>
      <c r="F32" s="17" t="b">
        <f aca="false">'Raw Data'!S29</f>
        <v>0</v>
      </c>
    </row>
    <row r="33" customFormat="false" ht="15" hidden="false" customHeight="true" outlineLevel="0" collapsed="false">
      <c r="A33" s="12" t="n">
        <f aca="false">'Raw Data'!A30</f>
        <v>41666</v>
      </c>
      <c r="B33" s="32" t="n">
        <f aca="false">'Raw Data'!E30</f>
        <v>34.1773386312959</v>
      </c>
      <c r="C33" s="32" t="n">
        <f aca="false">'Raw Data'!F30</f>
        <v>33.7161816038906</v>
      </c>
      <c r="D33" s="15" t="n">
        <f aca="false">'Raw Data'!H30</f>
        <v>0.0134930642897687</v>
      </c>
      <c r="E33" s="15" t="n">
        <f aca="false">'Raw Data'!I30</f>
        <v>0.0134930642897687</v>
      </c>
      <c r="F33" s="17" t="b">
        <f aca="false">'Raw Data'!S30</f>
        <v>0</v>
      </c>
    </row>
    <row r="34" customFormat="false" ht="15" hidden="false" customHeight="true" outlineLevel="0" collapsed="false">
      <c r="A34" s="12" t="n">
        <f aca="false">'Raw Data'!A31</f>
        <v>41667</v>
      </c>
      <c r="B34" s="32" t="n">
        <f aca="false">'Raw Data'!E31</f>
        <v>34.1571163701824</v>
      </c>
      <c r="C34" s="32" t="n">
        <f aca="false">'Raw Data'!F31</f>
        <v>33.7189012486472</v>
      </c>
      <c r="D34" s="15" t="n">
        <f aca="false">'Raw Data'!H31</f>
        <v>0.0128293945187284</v>
      </c>
      <c r="E34" s="15" t="n">
        <f aca="false">'Raw Data'!I31</f>
        <v>0.0128293945187284</v>
      </c>
      <c r="F34" s="17" t="b">
        <f aca="false">'Raw Data'!S31</f>
        <v>0</v>
      </c>
    </row>
    <row r="35" customFormat="false" ht="15" hidden="false" customHeight="true" outlineLevel="0" collapsed="false">
      <c r="A35" s="12" t="n">
        <f aca="false">'Raw Data'!A32</f>
        <v>41668</v>
      </c>
      <c r="B35" s="32" t="n">
        <f aca="false">'Raw Data'!E32</f>
        <v>34.1734052134112</v>
      </c>
      <c r="C35" s="32" t="n">
        <f aca="false">'Raw Data'!F32</f>
        <v>33.7028581542713</v>
      </c>
      <c r="D35" s="15" t="n">
        <f aca="false">'Raw Data'!H32</f>
        <v>0.0137693933689502</v>
      </c>
      <c r="E35" s="15" t="n">
        <f aca="false">'Raw Data'!I32</f>
        <v>0.0137693933689503</v>
      </c>
      <c r="F35" s="17" t="b">
        <f aca="false">'Raw Data'!S32</f>
        <v>0</v>
      </c>
    </row>
    <row r="36" customFormat="false" ht="15" hidden="false" customHeight="true" outlineLevel="0" collapsed="false">
      <c r="A36" s="12" t="n">
        <f aca="false">'Raw Data'!A33</f>
        <v>41669</v>
      </c>
      <c r="B36" s="32" t="n">
        <f aca="false">'Raw Data'!E33</f>
        <v>34.1651000598276</v>
      </c>
      <c r="C36" s="32" t="n">
        <f aca="false">'Raw Data'!F33</f>
        <v>33.6986468649324</v>
      </c>
      <c r="D36" s="15" t="n">
        <f aca="false">'Raw Data'!H33</f>
        <v>0.0136529146432582</v>
      </c>
      <c r="E36" s="15" t="n">
        <f aca="false">'Raw Data'!I33</f>
        <v>0.0136529146432582</v>
      </c>
      <c r="F36" s="17" t="b">
        <f aca="false">'Raw Data'!S33</f>
        <v>0</v>
      </c>
    </row>
    <row r="37" customFormat="false" ht="15" hidden="false" customHeight="true" outlineLevel="0" collapsed="false">
      <c r="A37" s="12" t="n">
        <f aca="false">'Raw Data'!A34</f>
        <v>41670</v>
      </c>
      <c r="B37" s="32" t="n">
        <f aca="false">'Raw Data'!E34</f>
        <v>34.1672142680723</v>
      </c>
      <c r="C37" s="32" t="n">
        <f aca="false">'Raw Data'!F34</f>
        <v>33.6500018814019</v>
      </c>
      <c r="D37" s="15" t="n">
        <f aca="false">'Raw Data'!H34</f>
        <v>0.0151376808952702</v>
      </c>
      <c r="E37" s="15" t="n">
        <f aca="false">'Raw Data'!I34</f>
        <v>0.0151376808952702</v>
      </c>
      <c r="F37" s="17" t="b">
        <f aca="false">'Raw Data'!S34</f>
        <v>0</v>
      </c>
    </row>
    <row r="38" customFormat="false" ht="15" hidden="false" customHeight="true" outlineLevel="0" collapsed="false">
      <c r="A38" s="12" t="n">
        <f aca="false">'Raw Data'!A35</f>
        <v>41671</v>
      </c>
      <c r="B38" s="32" t="n">
        <f aca="false">'Raw Data'!E35</f>
        <v>34.1646169836374</v>
      </c>
      <c r="C38" s="32" t="n">
        <f aca="false">'Raw Data'!F35</f>
        <v>33.6417261210023</v>
      </c>
      <c r="D38" s="15" t="n">
        <f aca="false">'Raw Data'!H35</f>
        <v>0.0153050409693031</v>
      </c>
      <c r="E38" s="15" t="n">
        <f aca="false">'Raw Data'!I35</f>
        <v>0.015305040969303</v>
      </c>
      <c r="F38" s="17" t="b">
        <f aca="false">'Raw Data'!S35</f>
        <v>0</v>
      </c>
    </row>
    <row r="39" customFormat="false" ht="15" hidden="false" customHeight="true" outlineLevel="0" collapsed="false">
      <c r="A39" s="12" t="n">
        <f aca="false">'Raw Data'!A36</f>
        <v>41672</v>
      </c>
      <c r="B39" s="32" t="n">
        <f aca="false">'Raw Data'!E36</f>
        <v>34.1667412787521</v>
      </c>
      <c r="C39" s="32" t="n">
        <f aca="false">'Raw Data'!F36</f>
        <v>33.5742520625112</v>
      </c>
      <c r="D39" s="15" t="n">
        <f aca="false">'Raw Data'!H36</f>
        <v>0.017341109923449</v>
      </c>
      <c r="E39" s="15" t="n">
        <f aca="false">'Raw Data'!I36</f>
        <v>0.0173411099234489</v>
      </c>
      <c r="F39" s="17" t="b">
        <f aca="false">'Raw Data'!S36</f>
        <v>0</v>
      </c>
    </row>
    <row r="40" customFormat="false" ht="15" hidden="false" customHeight="true" outlineLevel="0" collapsed="false">
      <c r="A40" s="12" t="n">
        <f aca="false">'Raw Data'!A37</f>
        <v>41673</v>
      </c>
      <c r="B40" s="32" t="n">
        <f aca="false">'Raw Data'!E37</f>
        <v>34.1666746256684</v>
      </c>
      <c r="C40" s="32" t="n">
        <f aca="false">'Raw Data'!F37</f>
        <v>33.525563045336</v>
      </c>
      <c r="D40" s="15" t="n">
        <f aca="false">'Raw Data'!H37</f>
        <v>0.0187642370045215</v>
      </c>
      <c r="E40" s="15" t="n">
        <f aca="false">'Raw Data'!I37</f>
        <v>0.0187642370045215</v>
      </c>
      <c r="F40" s="17" t="b">
        <f aca="false">'Raw Data'!S37</f>
        <v>0</v>
      </c>
    </row>
    <row r="41" customFormat="false" ht="15" hidden="false" customHeight="true" outlineLevel="0" collapsed="false">
      <c r="A41" s="12" t="n">
        <f aca="false">'Raw Data'!A38</f>
        <v>41674</v>
      </c>
      <c r="B41" s="32" t="n">
        <f aca="false">'Raw Data'!E38</f>
        <v>34.1629430015441</v>
      </c>
      <c r="C41" s="32" t="n">
        <f aca="false">'Raw Data'!F38</f>
        <v>33.7349140722428</v>
      </c>
      <c r="D41" s="15" t="n">
        <f aca="false">'Raw Data'!H38</f>
        <v>0.0125290414611516</v>
      </c>
      <c r="E41" s="15" t="n">
        <f aca="false">'Raw Data'!I38</f>
        <v>0.0125290414611516</v>
      </c>
      <c r="F41" s="17" t="b">
        <f aca="false">'Raw Data'!S38</f>
        <v>0</v>
      </c>
    </row>
    <row r="42" customFormat="false" ht="15" hidden="false" customHeight="true" outlineLevel="0" collapsed="false">
      <c r="A42" s="12" t="n">
        <f aca="false">'Raw Data'!A39</f>
        <v>41675</v>
      </c>
      <c r="B42" s="32" t="n">
        <f aca="false">'Raw Data'!E39</f>
        <v>32.4697898240354</v>
      </c>
      <c r="C42" s="32" t="n">
        <f aca="false">'Raw Data'!F39</f>
        <v>33.844310085174</v>
      </c>
      <c r="D42" s="15" t="n">
        <f aca="false">'Raw Data'!H39</f>
        <v>-0.0423322808243481</v>
      </c>
      <c r="E42" s="15" t="n">
        <f aca="false">'Raw Data'!I39</f>
        <v>-0.0423322808243482</v>
      </c>
      <c r="F42" s="17" t="b">
        <f aca="false">'Raw Data'!S39</f>
        <v>0</v>
      </c>
    </row>
    <row r="43" customFormat="false" ht="15" hidden="false" customHeight="true" outlineLevel="0" collapsed="false">
      <c r="A43" s="12" t="n">
        <f aca="false">'Raw Data'!A40</f>
        <v>41676</v>
      </c>
      <c r="B43" s="32" t="n">
        <f aca="false">'Raw Data'!E40</f>
        <v>33.7895342128481</v>
      </c>
      <c r="C43" s="32" t="n">
        <f aca="false">'Raw Data'!F40</f>
        <v>33.6783322177307</v>
      </c>
      <c r="D43" s="15" t="n">
        <f aca="false">'Raw Data'!H40</f>
        <v>0.00329101888226421</v>
      </c>
      <c r="E43" s="15" t="n">
        <f aca="false">'Raw Data'!I40</f>
        <v>0.00329101888226427</v>
      </c>
      <c r="F43" s="17" t="b">
        <f aca="false">'Raw Data'!S40</f>
        <v>0</v>
      </c>
    </row>
    <row r="44" customFormat="false" ht="15" hidden="false" customHeight="true" outlineLevel="0" collapsed="false">
      <c r="A44" s="12" t="n">
        <f aca="false">'Raw Data'!A41</f>
        <v>41677</v>
      </c>
      <c r="B44" s="32" t="n">
        <f aca="false">'Raw Data'!E41</f>
        <v>32.4810256952916</v>
      </c>
      <c r="C44" s="32" t="n">
        <f aca="false">'Raw Data'!F41</f>
        <v>33.7709163882718</v>
      </c>
      <c r="D44" s="15" t="n">
        <f aca="false">'Raw Data'!H41</f>
        <v>-0.0397121293237747</v>
      </c>
      <c r="E44" s="15" t="n">
        <f aca="false">'Raw Data'!I41</f>
        <v>-0.0397121293237746</v>
      </c>
      <c r="F44" s="17" t="b">
        <f aca="false">'Raw Data'!S41</f>
        <v>0</v>
      </c>
    </row>
    <row r="45" customFormat="false" ht="15" hidden="false" customHeight="true" outlineLevel="0" collapsed="false">
      <c r="A45" s="12" t="n">
        <f aca="false">'Raw Data'!A42</f>
        <v>41678</v>
      </c>
      <c r="B45" s="32" t="n">
        <f aca="false">'Raw Data'!E42</f>
        <v>32.461043190859</v>
      </c>
      <c r="C45" s="32" t="n">
        <f aca="false">'Raw Data'!F42</f>
        <v>33.8661578991047</v>
      </c>
      <c r="D45" s="15" t="n">
        <f aca="false">'Raw Data'!H42</f>
        <v>-0.043286184611631</v>
      </c>
      <c r="E45" s="15" t="n">
        <f aca="false">'Raw Data'!I42</f>
        <v>-0.0432861846116309</v>
      </c>
      <c r="F45" s="17" t="b">
        <f aca="false">'Raw Data'!S42</f>
        <v>0</v>
      </c>
    </row>
    <row r="46" customFormat="false" ht="15" hidden="false" customHeight="true" outlineLevel="0" collapsed="false">
      <c r="A46" s="12" t="n">
        <f aca="false">'Raw Data'!A43</f>
        <v>41679</v>
      </c>
      <c r="B46" s="32" t="n">
        <f aca="false">'Raw Data'!E43</f>
        <v>32.4713049614658</v>
      </c>
      <c r="C46" s="32" t="n">
        <f aca="false">'Raw Data'!F43</f>
        <v>33.9972876971634</v>
      </c>
      <c r="D46" s="15" t="n">
        <f aca="false">'Raw Data'!H43</f>
        <v>-0.0469948078005634</v>
      </c>
      <c r="E46" s="15" t="n">
        <f aca="false">'Raw Data'!I43</f>
        <v>-0.0469948078005634</v>
      </c>
      <c r="F46" s="17" t="b">
        <f aca="false">'Raw Data'!S43</f>
        <v>0</v>
      </c>
    </row>
    <row r="47" customFormat="false" ht="15" hidden="false" customHeight="true" outlineLevel="0" collapsed="false">
      <c r="A47" s="12" t="n">
        <f aca="false">'Raw Data'!A44</f>
        <v>41680</v>
      </c>
      <c r="B47" s="32" t="n">
        <f aca="false">'Raw Data'!E44</f>
        <v>32.4533207790671</v>
      </c>
      <c r="C47" s="32" t="n">
        <f aca="false">'Raw Data'!F44</f>
        <v>34.0133314092875</v>
      </c>
      <c r="D47" s="15" t="n">
        <f aca="false">'Raw Data'!H44</f>
        <v>-0.0480693683349227</v>
      </c>
      <c r="E47" s="15" t="n">
        <f aca="false">'Raw Data'!I44</f>
        <v>-0.0480693683349226</v>
      </c>
      <c r="F47" s="17" t="b">
        <f aca="false">'Raw Data'!S44</f>
        <v>0</v>
      </c>
    </row>
    <row r="48" customFormat="false" ht="15" hidden="false" customHeight="true" outlineLevel="0" collapsed="false">
      <c r="A48" s="12" t="n">
        <f aca="false">'Raw Data'!A45</f>
        <v>41681</v>
      </c>
      <c r="B48" s="32" t="n">
        <f aca="false">'Raw Data'!E45</f>
        <v>32.4781271439085</v>
      </c>
      <c r="C48" s="32" t="n">
        <f aca="false">'Raw Data'!F45</f>
        <v>33.5148997221986</v>
      </c>
      <c r="D48" s="15" t="n">
        <f aca="false">'Raw Data'!H45</f>
        <v>-0.0319221786926416</v>
      </c>
      <c r="E48" s="15" t="n">
        <f aca="false">'Raw Data'!I45</f>
        <v>-0.0319221786926415</v>
      </c>
      <c r="F48" s="17" t="b">
        <f aca="false">'Raw Data'!S45</f>
        <v>0</v>
      </c>
    </row>
    <row r="49" customFormat="false" ht="15" hidden="false" customHeight="true" outlineLevel="0" collapsed="false">
      <c r="A49" s="12" t="n">
        <f aca="false">'Raw Data'!A46</f>
        <v>41682</v>
      </c>
      <c r="B49" s="32" t="n">
        <f aca="false">'Raw Data'!E46</f>
        <v>32.4464651985869</v>
      </c>
      <c r="C49" s="32" t="n">
        <f aca="false">'Raw Data'!F46</f>
        <v>33.1334859874936</v>
      </c>
      <c r="D49" s="15" t="n">
        <f aca="false">'Raw Data'!H46</f>
        <v>-0.0211739794982836</v>
      </c>
      <c r="E49" s="15" t="n">
        <f aca="false">'Raw Data'!I46</f>
        <v>-0.0211739794982836</v>
      </c>
      <c r="F49" s="17" t="b">
        <f aca="false">'Raw Data'!S46</f>
        <v>0</v>
      </c>
    </row>
    <row r="50" customFormat="false" ht="15" hidden="false" customHeight="true" outlineLevel="0" collapsed="false">
      <c r="A50" s="12" t="n">
        <f aca="false">'Raw Data'!A47</f>
        <v>41683</v>
      </c>
      <c r="B50" s="32" t="n">
        <f aca="false">'Raw Data'!E47</f>
        <v>32.4704468940094</v>
      </c>
      <c r="C50" s="32" t="n">
        <f aca="false">'Raw Data'!F47</f>
        <v>33.1128045211743</v>
      </c>
      <c r="D50" s="15" t="n">
        <f aca="false">'Raw Data'!H47</f>
        <v>-0.0197828391232702</v>
      </c>
      <c r="E50" s="15" t="n">
        <f aca="false">'Raw Data'!I47</f>
        <v>-0.0197828391232702</v>
      </c>
      <c r="F50" s="17" t="b">
        <f aca="false">'Raw Data'!S47</f>
        <v>0</v>
      </c>
    </row>
    <row r="51" customFormat="false" ht="15" hidden="false" customHeight="true" outlineLevel="0" collapsed="false">
      <c r="A51" s="12" t="n">
        <f aca="false">'Raw Data'!A48</f>
        <v>41684</v>
      </c>
      <c r="B51" s="32" t="n">
        <f aca="false">'Raw Data'!E48</f>
        <v>32.4536529910509</v>
      </c>
      <c r="C51" s="32" t="n">
        <f aca="false">'Raw Data'!F48</f>
        <v>33.09121236364</v>
      </c>
      <c r="D51" s="15" t="n">
        <f aca="false">'Raw Data'!H48</f>
        <v>-0.0196452267720027</v>
      </c>
      <c r="E51" s="15" t="n">
        <f aca="false">'Raw Data'!I48</f>
        <v>-0.0196452267720028</v>
      </c>
      <c r="F51" s="17" t="b">
        <f aca="false">'Raw Data'!S48</f>
        <v>0</v>
      </c>
    </row>
    <row r="52" customFormat="false" ht="15" hidden="false" customHeight="true" outlineLevel="0" collapsed="false">
      <c r="A52" s="12" t="n">
        <f aca="false">'Raw Data'!A49</f>
        <v>41685</v>
      </c>
      <c r="B52" s="32" t="n">
        <f aca="false">'Raw Data'!E49</f>
        <v>32.4505178445475</v>
      </c>
      <c r="C52" s="32" t="n">
        <f aca="false">'Raw Data'!F49</f>
        <v>33.0015525357265</v>
      </c>
      <c r="D52" s="15" t="n">
        <f aca="false">'Raw Data'!H49</f>
        <v>-0.0169807672659857</v>
      </c>
      <c r="E52" s="15" t="n">
        <f aca="false">'Raw Data'!I49</f>
        <v>-0.0169807672659857</v>
      </c>
      <c r="F52" s="17" t="b">
        <f aca="false">'Raw Data'!S49</f>
        <v>0</v>
      </c>
    </row>
    <row r="53" customFormat="false" ht="15" hidden="false" customHeight="true" outlineLevel="0" collapsed="false">
      <c r="A53" s="12" t="n">
        <f aca="false">'Raw Data'!A50</f>
        <v>41686</v>
      </c>
      <c r="B53" s="32" t="n">
        <f aca="false">'Raw Data'!E50</f>
        <v>32.448229073756</v>
      </c>
      <c r="C53" s="32" t="n">
        <f aca="false">'Raw Data'!F50</f>
        <v>33.1468566440884</v>
      </c>
      <c r="D53" s="15" t="n">
        <f aca="false">'Raw Data'!H50</f>
        <v>-0.0215305300250549</v>
      </c>
      <c r="E53" s="15" t="n">
        <f aca="false">'Raw Data'!I50</f>
        <v>-0.0215305300250549</v>
      </c>
      <c r="F53" s="17" t="b">
        <f aca="false">'Raw Data'!S50</f>
        <v>0</v>
      </c>
    </row>
    <row r="54" customFormat="false" ht="15" hidden="false" customHeight="true" outlineLevel="0" collapsed="false">
      <c r="A54" s="12" t="n">
        <f aca="false">'Raw Data'!A51</f>
        <v>41687</v>
      </c>
      <c r="B54" s="32" t="n">
        <f aca="false">'Raw Data'!E51</f>
        <v>32.4371578869999</v>
      </c>
      <c r="C54" s="32" t="n">
        <f aca="false">'Raw Data'!F51</f>
        <v>32.8860198751302</v>
      </c>
      <c r="D54" s="15" t="n">
        <f aca="false">'Raw Data'!H51</f>
        <v>-0.0138378950983947</v>
      </c>
      <c r="E54" s="15" t="n">
        <f aca="false">'Raw Data'!I51</f>
        <v>-0.0138378950983948</v>
      </c>
      <c r="F54" s="17" t="b">
        <f aca="false">'Raw Data'!S51</f>
        <v>0</v>
      </c>
    </row>
    <row r="55" customFormat="false" ht="15" hidden="false" customHeight="true" outlineLevel="0" collapsed="false">
      <c r="A55" s="12" t="n">
        <f aca="false">'Raw Data'!A52</f>
        <v>41688</v>
      </c>
      <c r="B55" s="32" t="n">
        <f aca="false">'Raw Data'!E52</f>
        <v>34.1683652954972</v>
      </c>
      <c r="C55" s="32" t="n">
        <f aca="false">'Raw Data'!F52</f>
        <v>32.8600148813727</v>
      </c>
      <c r="D55" s="15" t="n">
        <f aca="false">'Raw Data'!H52</f>
        <v>0.0382912791645011</v>
      </c>
      <c r="E55" s="15" t="n">
        <f aca="false">'Raw Data'!I52</f>
        <v>0.0382912791645011</v>
      </c>
      <c r="F55" s="17" t="b">
        <f aca="false">'Raw Data'!S52</f>
        <v>0</v>
      </c>
    </row>
    <row r="56" customFormat="false" ht="15" hidden="false" customHeight="true" outlineLevel="0" collapsed="false">
      <c r="A56" s="12" t="n">
        <f aca="false">'Raw Data'!A53</f>
        <v>41689</v>
      </c>
      <c r="B56" s="32" t="n">
        <f aca="false">'Raw Data'!E53</f>
        <v>32.4374251261274</v>
      </c>
      <c r="C56" s="32" t="n">
        <f aca="false">'Raw Data'!F53</f>
        <v>32.8364657348243</v>
      </c>
      <c r="D56" s="15" t="n">
        <f aca="false">'Raw Data'!H53</f>
        <v>-0.0123018583363296</v>
      </c>
      <c r="E56" s="15" t="n">
        <f aca="false">'Raw Data'!I53</f>
        <v>-0.0123018583363295</v>
      </c>
      <c r="F56" s="17" t="b">
        <f aca="false">'Raw Data'!S53</f>
        <v>0</v>
      </c>
    </row>
    <row r="57" customFormat="false" ht="15" hidden="false" customHeight="true" outlineLevel="0" collapsed="false">
      <c r="A57" s="12" t="n">
        <f aca="false">'Raw Data'!A54</f>
        <v>41690</v>
      </c>
      <c r="B57" s="32" t="n">
        <f aca="false">'Raw Data'!E54</f>
        <v>34.1734001838952</v>
      </c>
      <c r="C57" s="32" t="n">
        <f aca="false">'Raw Data'!F54</f>
        <v>32.8720323904933</v>
      </c>
      <c r="D57" s="15" t="n">
        <f aca="false">'Raw Data'!H54</f>
        <v>0.038081308456253</v>
      </c>
      <c r="E57" s="15" t="n">
        <f aca="false">'Raw Data'!I54</f>
        <v>0.038081308456253</v>
      </c>
      <c r="F57" s="17" t="b">
        <f aca="false">'Raw Data'!S54</f>
        <v>0</v>
      </c>
    </row>
    <row r="58" customFormat="false" ht="15" hidden="false" customHeight="true" outlineLevel="0" collapsed="false">
      <c r="A58" s="12" t="n">
        <f aca="false">'Raw Data'!A55</f>
        <v>41691</v>
      </c>
      <c r="B58" s="32" t="n">
        <f aca="false">'Raw Data'!E55</f>
        <v>32.4338214505748</v>
      </c>
      <c r="C58" s="32" t="n">
        <f aca="false">'Raw Data'!F55</f>
        <v>32.8595989548502</v>
      </c>
      <c r="D58" s="15" t="n">
        <f aca="false">'Raw Data'!H55</f>
        <v>-0.0131275774864902</v>
      </c>
      <c r="E58" s="15" t="n">
        <f aca="false">'Raw Data'!I55</f>
        <v>-0.0131275774864902</v>
      </c>
      <c r="F58" s="17" t="b">
        <f aca="false">'Raw Data'!S55</f>
        <v>0</v>
      </c>
    </row>
    <row r="59" customFormat="false" ht="15" hidden="false" customHeight="true" outlineLevel="0" collapsed="false">
      <c r="A59" s="12" t="n">
        <f aca="false">'Raw Data'!A56</f>
        <v>41692</v>
      </c>
      <c r="B59" s="32" t="n">
        <f aca="false">'Raw Data'!E56</f>
        <v>31.6432537415602</v>
      </c>
      <c r="C59" s="32" t="n">
        <f aca="false">'Raw Data'!F56</f>
        <v>32.7585882442978</v>
      </c>
      <c r="D59" s="15" t="n">
        <f aca="false">'Raw Data'!H56</f>
        <v>-0.0352471497351965</v>
      </c>
      <c r="E59" s="15" t="n">
        <f aca="false">'Raw Data'!I56</f>
        <v>-0.0352471497351965</v>
      </c>
      <c r="F59" s="17" t="b">
        <f aca="false">'Raw Data'!S56</f>
        <v>0</v>
      </c>
    </row>
    <row r="60" customFormat="false" ht="15" hidden="false" customHeight="true" outlineLevel="0" collapsed="false">
      <c r="A60" s="12" t="n">
        <f aca="false">'Raw Data'!A57</f>
        <v>41693</v>
      </c>
      <c r="B60" s="32" t="n">
        <f aca="false">'Raw Data'!E57</f>
        <v>32.4336182553776</v>
      </c>
      <c r="C60" s="32" t="n">
        <f aca="false">'Raw Data'!F57</f>
        <v>32.9631385460579</v>
      </c>
      <c r="D60" s="15" t="n">
        <f aca="false">'Raw Data'!H57</f>
        <v>-0.016326278693636</v>
      </c>
      <c r="E60" s="15" t="n">
        <f aca="false">'Raw Data'!I57</f>
        <v>-0.016326278693636</v>
      </c>
      <c r="F60" s="17" t="b">
        <f aca="false">'Raw Data'!S57</f>
        <v>0</v>
      </c>
    </row>
    <row r="61" customFormat="false" ht="15" hidden="false" customHeight="true" outlineLevel="0" collapsed="false">
      <c r="A61" s="12" t="n">
        <f aca="false">'Raw Data'!A58</f>
        <v>41694</v>
      </c>
      <c r="B61" s="32" t="n">
        <f aca="false">'Raw Data'!E58</f>
        <v>32.4272338541734</v>
      </c>
      <c r="C61" s="32" t="n">
        <f aca="false">'Raw Data'!F58</f>
        <v>32.7582572391122</v>
      </c>
      <c r="D61" s="15" t="n">
        <f aca="false">'Raw Data'!H58</f>
        <v>-0.0102081906346814</v>
      </c>
      <c r="E61" s="15" t="n">
        <f aca="false">'Raw Data'!I58</f>
        <v>-0.0102081906346816</v>
      </c>
      <c r="F61" s="17" t="b">
        <f aca="false">'Raw Data'!S58</f>
        <v>0</v>
      </c>
    </row>
    <row r="62" customFormat="false" ht="15" hidden="false" customHeight="true" outlineLevel="0" collapsed="false">
      <c r="A62" s="12" t="n">
        <f aca="false">'Raw Data'!A59</f>
        <v>41695</v>
      </c>
      <c r="B62" s="32" t="n">
        <f aca="false">'Raw Data'!E59</f>
        <v>32.4339997380557</v>
      </c>
      <c r="C62" s="32" t="n">
        <f aca="false">'Raw Data'!F59</f>
        <v>32.8018518898084</v>
      </c>
      <c r="D62" s="15" t="n">
        <f aca="false">'Raw Data'!H59</f>
        <v>-0.0113415599285799</v>
      </c>
      <c r="E62" s="15" t="n">
        <f aca="false">'Raw Data'!I59</f>
        <v>-0.0113415599285798</v>
      </c>
      <c r="F62" s="17" t="b">
        <f aca="false">'Raw Data'!S59</f>
        <v>0</v>
      </c>
    </row>
    <row r="63" customFormat="false" ht="15" hidden="false" customHeight="true" outlineLevel="0" collapsed="false">
      <c r="A63" s="12" t="n">
        <f aca="false">'Raw Data'!A60</f>
        <v>41696</v>
      </c>
      <c r="B63" s="32" t="n">
        <f aca="false">'Raw Data'!E60</f>
        <v>32.4562433614122</v>
      </c>
      <c r="C63" s="32" t="n">
        <f aca="false">'Raw Data'!F60</f>
        <v>32.9123366194738</v>
      </c>
      <c r="D63" s="15" t="n">
        <f aca="false">'Raw Data'!H60</f>
        <v>-0.0140525584856772</v>
      </c>
      <c r="E63" s="15" t="n">
        <f aca="false">'Raw Data'!I60</f>
        <v>-0.0140525584856773</v>
      </c>
      <c r="F63" s="17" t="b">
        <f aca="false">'Raw Data'!S60</f>
        <v>0</v>
      </c>
    </row>
    <row r="64" customFormat="false" ht="15" hidden="false" customHeight="true" outlineLevel="0" collapsed="false">
      <c r="A64" s="12" t="n">
        <f aca="false">'Raw Data'!A61</f>
        <v>41697</v>
      </c>
      <c r="B64" s="32" t="n">
        <f aca="false">'Raw Data'!E61</f>
        <v>31.0683705505441</v>
      </c>
      <c r="C64" s="32" t="n">
        <f aca="false">'Raw Data'!F61</f>
        <v>33.0207230604517</v>
      </c>
      <c r="D64" s="15" t="n">
        <f aca="false">'Raw Data'!H61</f>
        <v>-0.0628405183571308</v>
      </c>
      <c r="E64" s="15" t="n">
        <f aca="false">'Raw Data'!I61</f>
        <v>-0.0628405183571309</v>
      </c>
      <c r="F64" s="17" t="b">
        <f aca="false">'Raw Data'!S61</f>
        <v>0</v>
      </c>
    </row>
    <row r="65" customFormat="false" ht="15" hidden="false" customHeight="true" outlineLevel="0" collapsed="false">
      <c r="A65" s="12" t="n">
        <f aca="false">'Raw Data'!A62</f>
        <v>41698</v>
      </c>
      <c r="B65" s="32" t="n">
        <f aca="false">'Raw Data'!E62</f>
        <v>31.8133381398534</v>
      </c>
      <c r="C65" s="32" t="n">
        <f aca="false">'Raw Data'!F62</f>
        <v>33.0044119679005</v>
      </c>
      <c r="D65" s="15" t="n">
        <f aca="false">'Raw Data'!H62</f>
        <v>-0.0374394482845885</v>
      </c>
      <c r="E65" s="15" t="n">
        <f aca="false">'Raw Data'!I62</f>
        <v>-0.0374394482845886</v>
      </c>
      <c r="F65" s="17" t="b">
        <f aca="false">'Raw Data'!S62</f>
        <v>0</v>
      </c>
    </row>
    <row r="66" customFormat="false" ht="15" hidden="false" customHeight="true" outlineLevel="0" collapsed="false">
      <c r="A66" s="12" t="n">
        <f aca="false">'Raw Data'!A63</f>
        <v>41699</v>
      </c>
      <c r="B66" s="32" t="n">
        <f aca="false">'Raw Data'!E63</f>
        <v>32.0590075032489</v>
      </c>
      <c r="C66" s="32" t="n">
        <f aca="false">'Raw Data'!F63</f>
        <v>33.0208854601863</v>
      </c>
      <c r="D66" s="15" t="n">
        <f aca="false">'Raw Data'!H63</f>
        <v>-0.0300033604234296</v>
      </c>
      <c r="E66" s="15" t="n">
        <f aca="false">'Raw Data'!I63</f>
        <v>-0.0300033604234297</v>
      </c>
      <c r="F66" s="17" t="b">
        <f aca="false">'Raw Data'!S63</f>
        <v>0</v>
      </c>
    </row>
    <row r="67" customFormat="false" ht="15" hidden="false" customHeight="true" outlineLevel="0" collapsed="false">
      <c r="A67" s="12" t="n">
        <f aca="false">'Raw Data'!A64</f>
        <v>41700</v>
      </c>
      <c r="B67" s="32" t="n">
        <f aca="false">'Raw Data'!E64</f>
        <v>31.9183087757813</v>
      </c>
      <c r="C67" s="32" t="n">
        <f aca="false">'Raw Data'!F64</f>
        <v>33.0281558200406</v>
      </c>
      <c r="D67" s="15" t="n">
        <f aca="false">'Raw Data'!H64</f>
        <v>-0.0347714865488529</v>
      </c>
      <c r="E67" s="15" t="n">
        <f aca="false">'Raw Data'!I64</f>
        <v>-0.0347714865488528</v>
      </c>
      <c r="F67" s="17" t="b">
        <f aca="false">'Raw Data'!S64</f>
        <v>0</v>
      </c>
    </row>
    <row r="68" customFormat="false" ht="15" hidden="false" customHeight="true" outlineLevel="0" collapsed="false">
      <c r="A68" s="12" t="n">
        <f aca="false">'Raw Data'!A65</f>
        <v>41701</v>
      </c>
      <c r="B68" s="32" t="n">
        <f aca="false">'Raw Data'!E65</f>
        <v>31.9134803442634</v>
      </c>
      <c r="C68" s="32" t="n">
        <f aca="false">'Raw Data'!F65</f>
        <v>33.0234030434028</v>
      </c>
      <c r="D68" s="15" t="n">
        <f aca="false">'Raw Data'!H65</f>
        <v>-0.0347791180142777</v>
      </c>
      <c r="E68" s="15" t="n">
        <f aca="false">'Raw Data'!I65</f>
        <v>-0.0347791180142777</v>
      </c>
      <c r="F68" s="17" t="b">
        <f aca="false">'Raw Data'!S65</f>
        <v>0</v>
      </c>
    </row>
    <row r="69" customFormat="false" ht="15" hidden="false" customHeight="true" outlineLevel="0" collapsed="false">
      <c r="A69" s="12" t="n">
        <f aca="false">'Raw Data'!A66</f>
        <v>41702</v>
      </c>
      <c r="B69" s="32" t="n">
        <f aca="false">'Raw Data'!E66</f>
        <v>31.7035571853657</v>
      </c>
      <c r="C69" s="32" t="n">
        <f aca="false">'Raw Data'!F66</f>
        <v>33.0294238356344</v>
      </c>
      <c r="D69" s="15" t="n">
        <f aca="false">'Raw Data'!H66</f>
        <v>-0.0418207535046154</v>
      </c>
      <c r="E69" s="15" t="n">
        <f aca="false">'Raw Data'!I66</f>
        <v>-0.0418207535046154</v>
      </c>
      <c r="F69" s="17" t="b">
        <f aca="false">'Raw Data'!S66</f>
        <v>0</v>
      </c>
    </row>
    <row r="70" customFormat="false" ht="15" hidden="false" customHeight="true" outlineLevel="0" collapsed="false">
      <c r="A70" s="12" t="n">
        <f aca="false">'Raw Data'!A67</f>
        <v>41703</v>
      </c>
      <c r="B70" s="32" t="n">
        <f aca="false">'Raw Data'!E67</f>
        <v>31.7354279255443</v>
      </c>
      <c r="C70" s="32" t="n">
        <f aca="false">'Raw Data'!F67</f>
        <v>33.086830929906</v>
      </c>
      <c r="D70" s="15" t="n">
        <f aca="false">'Raw Data'!H67</f>
        <v>-0.0425834183655022</v>
      </c>
      <c r="E70" s="15" t="n">
        <f aca="false">'Raw Data'!I67</f>
        <v>-0.0425834183655023</v>
      </c>
      <c r="F70" s="17" t="b">
        <f aca="false">'Raw Data'!S67</f>
        <v>0</v>
      </c>
    </row>
    <row r="71" customFormat="false" ht="15" hidden="false" customHeight="true" outlineLevel="0" collapsed="false">
      <c r="A71" s="12" t="n">
        <f aca="false">'Raw Data'!A68</f>
        <v>41704</v>
      </c>
      <c r="B71" s="32" t="n">
        <f aca="false">'Raw Data'!E68</f>
        <v>33.0843177791983</v>
      </c>
      <c r="C71" s="32" t="n">
        <f aca="false">'Raw Data'!F68</f>
        <v>33.1497811526266</v>
      </c>
      <c r="D71" s="15" t="n">
        <f aca="false">'Raw Data'!H68</f>
        <v>-0.00197868288731681</v>
      </c>
      <c r="E71" s="15" t="n">
        <f aca="false">'Raw Data'!I68</f>
        <v>-0.00197868288731682</v>
      </c>
      <c r="F71" s="17" t="b">
        <f aca="false">'Raw Data'!S68</f>
        <v>0</v>
      </c>
    </row>
    <row r="72" customFormat="false" ht="15" hidden="false" customHeight="true" outlineLevel="0" collapsed="false">
      <c r="A72" s="12" t="n">
        <f aca="false">'Raw Data'!A69</f>
        <v>41705</v>
      </c>
      <c r="B72" s="32" t="n">
        <f aca="false">'Raw Data'!E69</f>
        <v>31.9784222054544</v>
      </c>
      <c r="C72" s="32" t="n">
        <f aca="false">'Raw Data'!F69</f>
        <v>33.2468281709362</v>
      </c>
      <c r="D72" s="15" t="n">
        <f aca="false">'Raw Data'!H69</f>
        <v>-0.0396644323892092</v>
      </c>
      <c r="E72" s="15" t="n">
        <f aca="false">'Raw Data'!I69</f>
        <v>-0.0396644323892093</v>
      </c>
      <c r="F72" s="17" t="b">
        <f aca="false">'Raw Data'!S69</f>
        <v>0</v>
      </c>
    </row>
    <row r="73" customFormat="false" ht="15" hidden="false" customHeight="true" outlineLevel="0" collapsed="false">
      <c r="A73" s="12" t="n">
        <f aca="false">'Raw Data'!A70</f>
        <v>41706</v>
      </c>
      <c r="B73" s="32" t="n">
        <f aca="false">'Raw Data'!E70</f>
        <v>31.9854107514199</v>
      </c>
      <c r="C73" s="32" t="n">
        <f aca="false">'Raw Data'!F70</f>
        <v>33.2984232102199</v>
      </c>
      <c r="D73" s="15" t="n">
        <f aca="false">'Raw Data'!H70</f>
        <v>-0.0410503547696888</v>
      </c>
      <c r="E73" s="15" t="n">
        <f aca="false">'Raw Data'!I70</f>
        <v>-0.0410503547696888</v>
      </c>
      <c r="F73" s="17" t="b">
        <f aca="false">'Raw Data'!S70</f>
        <v>0</v>
      </c>
    </row>
    <row r="74" customFormat="false" ht="15" hidden="false" customHeight="true" outlineLevel="0" collapsed="false">
      <c r="A74" s="12" t="n">
        <f aca="false">'Raw Data'!A71</f>
        <v>41707</v>
      </c>
      <c r="B74" s="32" t="n">
        <f aca="false">'Raw Data'!E71</f>
        <v>32.0358216166827</v>
      </c>
      <c r="C74" s="32" t="n">
        <f aca="false">'Raw Data'!F71</f>
        <v>33.3033907853322</v>
      </c>
      <c r="D74" s="15" t="n">
        <f aca="false">'Raw Data'!H71</f>
        <v>-0.0395672439376254</v>
      </c>
      <c r="E74" s="15" t="n">
        <f aca="false">'Raw Data'!I71</f>
        <v>-0.0395672439376254</v>
      </c>
      <c r="F74" s="17" t="b">
        <f aca="false">'Raw Data'!S71</f>
        <v>0</v>
      </c>
    </row>
    <row r="75" customFormat="false" ht="15" hidden="false" customHeight="true" outlineLevel="0" collapsed="false">
      <c r="A75" s="12" t="n">
        <f aca="false">'Raw Data'!A72</f>
        <v>41708</v>
      </c>
      <c r="B75" s="32" t="n">
        <f aca="false">'Raw Data'!E72</f>
        <v>32.0455305526577</v>
      </c>
      <c r="C75" s="32" t="n">
        <f aca="false">'Raw Data'!F72</f>
        <v>33.3232077291155</v>
      </c>
      <c r="D75" s="15" t="n">
        <f aca="false">'Raw Data'!H72</f>
        <v>-0.0398706825701733</v>
      </c>
      <c r="E75" s="15" t="n">
        <f aca="false">'Raw Data'!I72</f>
        <v>-0.0398706825701732</v>
      </c>
      <c r="F75" s="17" t="b">
        <f aca="false">'Raw Data'!S72</f>
        <v>0</v>
      </c>
    </row>
    <row r="76" customFormat="false" ht="15" hidden="false" customHeight="true" outlineLevel="0" collapsed="false">
      <c r="A76" s="12" t="n">
        <f aca="false">'Raw Data'!A73</f>
        <v>41709</v>
      </c>
      <c r="B76" s="32" t="n">
        <f aca="false">'Raw Data'!E73</f>
        <v>32.6203622211231</v>
      </c>
      <c r="C76" s="32" t="n">
        <f aca="false">'Raw Data'!F73</f>
        <v>33.3796483899613</v>
      </c>
      <c r="D76" s="15" t="n">
        <f aca="false">'Raw Data'!H73</f>
        <v>-0.0232764481182389</v>
      </c>
      <c r="E76" s="15" t="n">
        <f aca="false">'Raw Data'!I73</f>
        <v>-0.023276448118239</v>
      </c>
      <c r="F76" s="17" t="b">
        <f aca="false">'Raw Data'!S73</f>
        <v>0</v>
      </c>
    </row>
    <row r="77" customFormat="false" ht="15" hidden="false" customHeight="true" outlineLevel="0" collapsed="false">
      <c r="A77" s="12" t="n">
        <f aca="false">'Raw Data'!A74</f>
        <v>41710</v>
      </c>
      <c r="B77" s="32" t="n">
        <f aca="false">'Raw Data'!E74</f>
        <v>32.4750786258233</v>
      </c>
      <c r="C77" s="32" t="n">
        <f aca="false">'Raw Data'!F74</f>
        <v>33.398852112326</v>
      </c>
      <c r="D77" s="15" t="n">
        <f aca="false">'Raw Data'!H74</f>
        <v>-0.0284456120074836</v>
      </c>
      <c r="E77" s="15" t="n">
        <f aca="false">'Raw Data'!I74</f>
        <v>-0.0284456120074837</v>
      </c>
      <c r="F77" s="17" t="b">
        <f aca="false">'Raw Data'!S74</f>
        <v>0</v>
      </c>
    </row>
    <row r="78" customFormat="false" ht="15" hidden="false" customHeight="true" outlineLevel="0" collapsed="false">
      <c r="A78" s="12" t="n">
        <f aca="false">'Raw Data'!A75</f>
        <v>41711</v>
      </c>
      <c r="B78" s="32" t="n">
        <f aca="false">'Raw Data'!E75</f>
        <v>32.56803156701</v>
      </c>
      <c r="C78" s="32" t="n">
        <f aca="false">'Raw Data'!F75</f>
        <v>33.4207227146837</v>
      </c>
      <c r="D78" s="15" t="n">
        <f aca="false">'Raw Data'!H75</f>
        <v>-0.0261818447921639</v>
      </c>
      <c r="E78" s="15" t="n">
        <f aca="false">'Raw Data'!I75</f>
        <v>-0.026181844792164</v>
      </c>
      <c r="F78" s="17" t="b">
        <f aca="false">'Raw Data'!S75</f>
        <v>0</v>
      </c>
    </row>
    <row r="79" customFormat="false" ht="15" hidden="false" customHeight="true" outlineLevel="0" collapsed="false">
      <c r="A79" s="12" t="n">
        <f aca="false">'Raw Data'!A76</f>
        <v>41712</v>
      </c>
      <c r="B79" s="32" t="n">
        <f aca="false">'Raw Data'!E76</f>
        <v>32.5422326894191</v>
      </c>
      <c r="C79" s="32" t="n">
        <f aca="false">'Raw Data'!F76</f>
        <v>33.4318989031005</v>
      </c>
      <c r="D79" s="15" t="n">
        <f aca="false">'Raw Data'!H76</f>
        <v>-0.0273388191330412</v>
      </c>
      <c r="E79" s="15" t="n">
        <f aca="false">'Raw Data'!I76</f>
        <v>-0.0273388191330413</v>
      </c>
      <c r="F79" s="17" t="b">
        <f aca="false">'Raw Data'!S76</f>
        <v>0</v>
      </c>
    </row>
    <row r="80" customFormat="false" ht="15" hidden="false" customHeight="true" outlineLevel="0" collapsed="false">
      <c r="A80" s="12" t="n">
        <f aca="false">'Raw Data'!A77</f>
        <v>41713</v>
      </c>
      <c r="B80" s="32" t="n">
        <f aca="false">'Raw Data'!E77</f>
        <v>32.4452576779735</v>
      </c>
      <c r="C80" s="32" t="n">
        <f aca="false">'Raw Data'!F77</f>
        <v>33.4595919553321</v>
      </c>
      <c r="D80" s="15" t="n">
        <f aca="false">'Raw Data'!H77</f>
        <v>-0.0312629441080756</v>
      </c>
      <c r="E80" s="15" t="n">
        <f aca="false">'Raw Data'!I77</f>
        <v>-0.0312629441080755</v>
      </c>
      <c r="F80" s="17" t="b">
        <f aca="false">'Raw Data'!S77</f>
        <v>0</v>
      </c>
    </row>
    <row r="81" customFormat="false" ht="15" hidden="false" customHeight="true" outlineLevel="0" collapsed="false">
      <c r="A81" s="12" t="n">
        <f aca="false">'Raw Data'!A78</f>
        <v>41714</v>
      </c>
      <c r="B81" s="32" t="n">
        <f aca="false">'Raw Data'!E78</f>
        <v>32.5226686194418</v>
      </c>
      <c r="C81" s="32" t="n">
        <f aca="false">'Raw Data'!F78</f>
        <v>33.4660023774717</v>
      </c>
      <c r="D81" s="15" t="n">
        <f aca="false">'Raw Data'!H78</f>
        <v>-0.0290054229272549</v>
      </c>
      <c r="E81" s="15" t="n">
        <f aca="false">'Raw Data'!I78</f>
        <v>-0.0290054229272549</v>
      </c>
      <c r="F81" s="17" t="b">
        <f aca="false">'Raw Data'!S78</f>
        <v>0</v>
      </c>
    </row>
    <row r="82" customFormat="false" ht="15" hidden="false" customHeight="true" outlineLevel="0" collapsed="false">
      <c r="A82" s="12" t="n">
        <f aca="false">'Raw Data'!A79</f>
        <v>41715</v>
      </c>
      <c r="B82" s="32" t="n">
        <f aca="false">'Raw Data'!E79</f>
        <v>32.5203992457135</v>
      </c>
      <c r="C82" s="32" t="n">
        <f aca="false">'Raw Data'!F79</f>
        <v>33.4660023037223</v>
      </c>
      <c r="D82" s="15" t="n">
        <f aca="false">'Raw Data'!H79</f>
        <v>-0.0290772278305717</v>
      </c>
      <c r="E82" s="15" t="n">
        <f aca="false">'Raw Data'!I79</f>
        <v>-0.0290772278305717</v>
      </c>
      <c r="F82" s="17" t="b">
        <f aca="false">'Raw Data'!S79</f>
        <v>0</v>
      </c>
    </row>
    <row r="83" customFormat="false" ht="15" hidden="false" customHeight="true" outlineLevel="0" collapsed="false">
      <c r="A83" s="12" t="n">
        <f aca="false">'Raw Data'!A80</f>
        <v>41716</v>
      </c>
      <c r="B83" s="32" t="n">
        <f aca="false">'Raw Data'!E80</f>
        <v>35.0386936829592</v>
      </c>
      <c r="C83" s="32" t="n">
        <f aca="false">'Raw Data'!F80</f>
        <v>33.458289221639</v>
      </c>
      <c r="D83" s="15" t="n">
        <f aca="false">'Raw Data'!H80</f>
        <v>0.0451045485776417</v>
      </c>
      <c r="E83" s="15" t="n">
        <f aca="false">'Raw Data'!I80</f>
        <v>0.0451045485776416</v>
      </c>
      <c r="F83" s="17" t="b">
        <f aca="false">'Raw Data'!S80</f>
        <v>0</v>
      </c>
    </row>
    <row r="84" customFormat="false" ht="15" hidden="false" customHeight="true" outlineLevel="0" collapsed="false">
      <c r="A84" s="12" t="n">
        <f aca="false">'Raw Data'!A81</f>
        <v>41717</v>
      </c>
      <c r="B84" s="32" t="n">
        <f aca="false">'Raw Data'!E81</f>
        <v>35.0348058652164</v>
      </c>
      <c r="C84" s="32" t="n">
        <f aca="false">'Raw Data'!F81</f>
        <v>33.4682749305248</v>
      </c>
      <c r="D84" s="15" t="n">
        <f aca="false">'Raw Data'!H81</f>
        <v>0.0447135611573886</v>
      </c>
      <c r="E84" s="15" t="n">
        <f aca="false">'Raw Data'!I81</f>
        <v>0.0447135611573887</v>
      </c>
      <c r="F84" s="17" t="b">
        <f aca="false">'Raw Data'!S81</f>
        <v>0</v>
      </c>
    </row>
    <row r="85" customFormat="false" ht="15" hidden="false" customHeight="true" outlineLevel="0" collapsed="false">
      <c r="A85" s="12" t="n">
        <f aca="false">'Raw Data'!A82</f>
        <v>41718</v>
      </c>
      <c r="B85" s="32" t="n">
        <f aca="false">'Raw Data'!E82</f>
        <v>35.0349247823733</v>
      </c>
      <c r="C85" s="32" t="n">
        <f aca="false">'Raw Data'!F82</f>
        <v>33.4714127868481</v>
      </c>
      <c r="D85" s="15" t="n">
        <f aca="false">'Raw Data'!H82</f>
        <v>0.0446272399680398</v>
      </c>
      <c r="E85" s="15" t="n">
        <f aca="false">'Raw Data'!I82</f>
        <v>0.04462723996804</v>
      </c>
      <c r="F85" s="17" t="b">
        <f aca="false">'Raw Data'!S82</f>
        <v>0</v>
      </c>
    </row>
    <row r="86" customFormat="false" ht="15" hidden="false" customHeight="true" outlineLevel="0" collapsed="false">
      <c r="A86" s="12" t="n">
        <f aca="false">'Raw Data'!A83</f>
        <v>41719</v>
      </c>
      <c r="B86" s="32" t="n">
        <f aca="false">'Raw Data'!E83</f>
        <v>35.0374354601472</v>
      </c>
      <c r="C86" s="32" t="n">
        <f aca="false">'Raw Data'!F83</f>
        <v>33.481978077581</v>
      </c>
      <c r="D86" s="15" t="n">
        <f aca="false">'Raw Data'!H83</f>
        <v>0.0443941561971735</v>
      </c>
      <c r="E86" s="15" t="n">
        <f aca="false">'Raw Data'!I83</f>
        <v>0.0443941561971736</v>
      </c>
      <c r="F86" s="17" t="b">
        <f aca="false">'Raw Data'!S83</f>
        <v>0</v>
      </c>
    </row>
    <row r="87" customFormat="false" ht="15" hidden="false" customHeight="true" outlineLevel="0" collapsed="false">
      <c r="A87" s="12" t="n">
        <f aca="false">'Raw Data'!A84</f>
        <v>41720</v>
      </c>
      <c r="B87" s="32" t="n">
        <f aca="false">'Raw Data'!E84</f>
        <v>35.0392878262642</v>
      </c>
      <c r="C87" s="32" t="n">
        <f aca="false">'Raw Data'!F84</f>
        <v>33.4686598497791</v>
      </c>
      <c r="D87" s="15" t="n">
        <f aca="false">'Raw Data'!H84</f>
        <v>0.0448247688215793</v>
      </c>
      <c r="E87" s="15" t="n">
        <f aca="false">'Raw Data'!I84</f>
        <v>0.0448247688215793</v>
      </c>
      <c r="F87" s="17" t="b">
        <f aca="false">'Raw Data'!S84</f>
        <v>0</v>
      </c>
    </row>
    <row r="88" customFormat="false" ht="15" hidden="false" customHeight="true" outlineLevel="0" collapsed="false">
      <c r="A88" s="12" t="n">
        <f aca="false">'Raw Data'!A85</f>
        <v>41721</v>
      </c>
      <c r="B88" s="32" t="n">
        <f aca="false">'Raw Data'!E85</f>
        <v>35.0448325201504</v>
      </c>
      <c r="C88" s="32" t="n">
        <f aca="false">'Raw Data'!F85</f>
        <v>33.4805904690199</v>
      </c>
      <c r="D88" s="15" t="n">
        <f aca="false">'Raw Data'!H85</f>
        <v>0.0446354551767668</v>
      </c>
      <c r="E88" s="15" t="n">
        <f aca="false">'Raw Data'!I85</f>
        <v>0.0446354551767668</v>
      </c>
      <c r="F88" s="17" t="b">
        <f aca="false">'Raw Data'!S85</f>
        <v>0</v>
      </c>
    </row>
    <row r="89" customFormat="false" ht="15" hidden="false" customHeight="true" outlineLevel="0" collapsed="false">
      <c r="A89" s="12" t="n">
        <f aca="false">'Raw Data'!A86</f>
        <v>41722</v>
      </c>
      <c r="B89" s="32" t="n">
        <f aca="false">'Raw Data'!E86</f>
        <v>35.0315172757947</v>
      </c>
      <c r="C89" s="32" t="n">
        <f aca="false">'Raw Data'!F86</f>
        <v>33.4496970872508</v>
      </c>
      <c r="D89" s="15" t="n">
        <f aca="false">'Raw Data'!H86</f>
        <v>0.0451542014606621</v>
      </c>
      <c r="E89" s="15" t="n">
        <f aca="false">'Raw Data'!I86</f>
        <v>0.045154201460662</v>
      </c>
      <c r="F89" s="17" t="b">
        <f aca="false">'Raw Data'!S86</f>
        <v>0</v>
      </c>
    </row>
    <row r="90" customFormat="false" ht="15" hidden="false" customHeight="true" outlineLevel="0" collapsed="false">
      <c r="A90" s="12" t="n">
        <f aca="false">'Raw Data'!A87</f>
        <v>41723</v>
      </c>
      <c r="B90" s="32" t="n">
        <f aca="false">'Raw Data'!E87</f>
        <v>34.0730022801096</v>
      </c>
      <c r="C90" s="32" t="n">
        <f aca="false">'Raw Data'!F87</f>
        <v>33.3318391528352</v>
      </c>
      <c r="D90" s="15" t="n">
        <f aca="false">'Raw Data'!H87</f>
        <v>0.0217522107732499</v>
      </c>
      <c r="E90" s="15" t="n">
        <f aca="false">'Raw Data'!I87</f>
        <v>0.0217522107732499</v>
      </c>
      <c r="F90" s="17" t="b">
        <f aca="false">'Raw Data'!S87</f>
        <v>0</v>
      </c>
    </row>
    <row r="91" customFormat="false" ht="15" hidden="false" customHeight="true" outlineLevel="0" collapsed="false">
      <c r="A91" s="12" t="n">
        <f aca="false">'Raw Data'!A88</f>
        <v>41724</v>
      </c>
      <c r="B91" s="32" t="n">
        <f aca="false">'Raw Data'!E88</f>
        <v>34.1816793256557</v>
      </c>
      <c r="C91" s="32" t="n">
        <f aca="false">'Raw Data'!F88</f>
        <v>33.3538195805176</v>
      </c>
      <c r="D91" s="15" t="n">
        <f aca="false">'Raw Data'!H88</f>
        <v>0.0242193994405872</v>
      </c>
      <c r="E91" s="15" t="n">
        <f aca="false">'Raw Data'!I88</f>
        <v>0.0242193994405871</v>
      </c>
      <c r="F91" s="17" t="b">
        <f aca="false">'Raw Data'!S88</f>
        <v>0</v>
      </c>
    </row>
    <row r="92" customFormat="false" ht="15" hidden="false" customHeight="true" outlineLevel="0" collapsed="false">
      <c r="A92" s="12" t="n">
        <f aca="false">'Raw Data'!A89</f>
        <v>41725</v>
      </c>
      <c r="B92" s="32" t="n">
        <f aca="false">'Raw Data'!E89</f>
        <v>33.7150267102879</v>
      </c>
      <c r="C92" s="32" t="n">
        <f aca="false">'Raw Data'!F89</f>
        <v>33.3577688516023</v>
      </c>
      <c r="D92" s="15" t="n">
        <f aca="false">'Raw Data'!H89</f>
        <v>0.0105963985066786</v>
      </c>
      <c r="E92" s="15" t="n">
        <f aca="false">'Raw Data'!I89</f>
        <v>0.0105963985066785</v>
      </c>
      <c r="F92" s="17" t="b">
        <f aca="false">'Raw Data'!S89</f>
        <v>0</v>
      </c>
    </row>
    <row r="93" customFormat="false" ht="15" hidden="false" customHeight="true" outlineLevel="0" collapsed="false">
      <c r="A93" s="12" t="n">
        <f aca="false">'Raw Data'!A90</f>
        <v>41726</v>
      </c>
      <c r="B93" s="32" t="n">
        <f aca="false">'Raw Data'!E90</f>
        <v>33.9698363247581</v>
      </c>
      <c r="C93" s="32" t="n">
        <f aca="false">'Raw Data'!F90</f>
        <v>33.4010941673828</v>
      </c>
      <c r="D93" s="15" t="n">
        <f aca="false">'Raw Data'!H90</f>
        <v>0.0167425639599204</v>
      </c>
      <c r="E93" s="15" t="n">
        <f aca="false">'Raw Data'!I90</f>
        <v>0.0167425639599206</v>
      </c>
      <c r="F93" s="17" t="b">
        <f aca="false">'Raw Data'!S90</f>
        <v>0</v>
      </c>
    </row>
    <row r="94" customFormat="false" ht="15" hidden="false" customHeight="true" outlineLevel="0" collapsed="false">
      <c r="A94" s="12" t="n">
        <f aca="false">'Raw Data'!A91</f>
        <v>41727</v>
      </c>
      <c r="B94" s="32" t="n">
        <f aca="false">'Raw Data'!E91</f>
        <v>33.9769221278429</v>
      </c>
      <c r="C94" s="32" t="n">
        <f aca="false">'Raw Data'!F91</f>
        <v>33.4902861831734</v>
      </c>
      <c r="D94" s="15" t="n">
        <f aca="false">'Raw Data'!H91</f>
        <v>0.0143225434852055</v>
      </c>
      <c r="E94" s="15" t="n">
        <f aca="false">'Raw Data'!I91</f>
        <v>0.0143225434852054</v>
      </c>
      <c r="F94" s="17" t="b">
        <f aca="false">'Raw Data'!S91</f>
        <v>0</v>
      </c>
    </row>
    <row r="95" customFormat="false" ht="15" hidden="false" customHeight="true" outlineLevel="0" collapsed="false">
      <c r="A95" s="12" t="n">
        <f aca="false">'Raw Data'!A92</f>
        <v>41728</v>
      </c>
      <c r="B95" s="32" t="n">
        <f aca="false">'Raw Data'!E92</f>
        <v>34.2027740080784</v>
      </c>
      <c r="C95" s="32" t="n">
        <f aca="false">'Raw Data'!F92</f>
        <v>33.5056203042608</v>
      </c>
      <c r="D95" s="15" t="n">
        <f aca="false">'Raw Data'!H92</f>
        <v>0.0203829579335574</v>
      </c>
      <c r="E95" s="15" t="n">
        <f aca="false">'Raw Data'!I92</f>
        <v>0.0203829579335574</v>
      </c>
      <c r="F95" s="17" t="b">
        <f aca="false">'Raw Data'!S92</f>
        <v>0</v>
      </c>
    </row>
    <row r="96" customFormat="false" ht="15" hidden="false" customHeight="true" outlineLevel="0" collapsed="false">
      <c r="A96" s="12" t="n">
        <f aca="false">'Raw Data'!A93</f>
        <v>41729</v>
      </c>
      <c r="B96" s="32" t="n">
        <f aca="false">'Raw Data'!E93</f>
        <v>34.1607763798316</v>
      </c>
      <c r="C96" s="32" t="n">
        <f aca="false">'Raw Data'!F93</f>
        <v>33.507539894311</v>
      </c>
      <c r="D96" s="15" t="n">
        <f aca="false">'Raw Data'!H93</f>
        <v>0.0191224133274179</v>
      </c>
      <c r="E96" s="15" t="n">
        <f aca="false">'Raw Data'!I93</f>
        <v>0.0191224133274177</v>
      </c>
      <c r="F96" s="17" t="b">
        <f aca="false">'Raw Data'!S93</f>
        <v>0</v>
      </c>
    </row>
    <row r="97" customFormat="false" ht="15" hidden="false" customHeight="true" outlineLevel="0" collapsed="false">
      <c r="A97" s="12" t="n">
        <f aca="false">'Raw Data'!A94</f>
        <v>41730</v>
      </c>
      <c r="B97" s="32" t="n">
        <f aca="false">'Raw Data'!E94</f>
        <v>34.1768281237545</v>
      </c>
      <c r="C97" s="32" t="n">
        <f aca="false">'Raw Data'!F94</f>
        <v>33.5011439269879</v>
      </c>
      <c r="D97" s="15" t="n">
        <f aca="false">'Raw Data'!H94</f>
        <v>0.0197702429938769</v>
      </c>
      <c r="E97" s="15" t="n">
        <f aca="false">'Raw Data'!I94</f>
        <v>0.019770242993877</v>
      </c>
      <c r="F97" s="17" t="b">
        <f aca="false">'Raw Data'!S94</f>
        <v>0</v>
      </c>
    </row>
    <row r="98" customFormat="false" ht="15" hidden="false" customHeight="true" outlineLevel="0" collapsed="false">
      <c r="A98" s="12" t="n">
        <f aca="false">'Raw Data'!A95</f>
        <v>41731</v>
      </c>
      <c r="B98" s="32" t="n">
        <f aca="false">'Raw Data'!E95</f>
        <v>34.0154106642246</v>
      </c>
      <c r="C98" s="32" t="n">
        <f aca="false">'Raw Data'!F95</f>
        <v>33.5226270624158</v>
      </c>
      <c r="D98" s="15" t="n">
        <f aca="false">'Raw Data'!H95</f>
        <v>0.0144870690133127</v>
      </c>
      <c r="E98" s="15" t="n">
        <f aca="false">'Raw Data'!I95</f>
        <v>0.0144870690133128</v>
      </c>
      <c r="F98" s="17" t="b">
        <f aca="false">'Raw Data'!S95</f>
        <v>0</v>
      </c>
    </row>
    <row r="99" customFormat="false" ht="15" hidden="false" customHeight="true" outlineLevel="0" collapsed="false">
      <c r="A99" s="12" t="n">
        <f aca="false">'Raw Data'!A96</f>
        <v>41732</v>
      </c>
      <c r="B99" s="32" t="n">
        <f aca="false">'Raw Data'!E96</f>
        <v>34.0260140505573</v>
      </c>
      <c r="C99" s="32" t="n">
        <f aca="false">'Raw Data'!F96</f>
        <v>33.6560091653041</v>
      </c>
      <c r="D99" s="15" t="n">
        <f aca="false">'Raw Data'!H96</f>
        <v>0.0108741765845227</v>
      </c>
      <c r="E99" s="15" t="n">
        <f aca="false">'Raw Data'!I96</f>
        <v>0.0108741765845227</v>
      </c>
      <c r="F99" s="17" t="b">
        <f aca="false">'Raw Data'!S96</f>
        <v>0</v>
      </c>
    </row>
    <row r="100" customFormat="false" ht="15" hidden="false" customHeight="true" outlineLevel="0" collapsed="false">
      <c r="A100" s="12" t="n">
        <f aca="false">'Raw Data'!A97</f>
        <v>41733</v>
      </c>
      <c r="B100" s="32" t="n">
        <f aca="false">'Raw Data'!E97</f>
        <v>34.2856940469175</v>
      </c>
      <c r="C100" s="32" t="n">
        <f aca="false">'Raw Data'!F97</f>
        <v>33.7787513515208</v>
      </c>
      <c r="D100" s="15" t="n">
        <f aca="false">'Raw Data'!H97</f>
        <v>0.0147858373437908</v>
      </c>
      <c r="E100" s="15" t="n">
        <f aca="false">'Raw Data'!I97</f>
        <v>0.0147858373437907</v>
      </c>
      <c r="F100" s="17" t="b">
        <f aca="false">'Raw Data'!S97</f>
        <v>0</v>
      </c>
    </row>
    <row r="101" customFormat="false" ht="15" hidden="false" customHeight="true" outlineLevel="0" collapsed="false">
      <c r="A101" s="12" t="n">
        <f aca="false">'Raw Data'!A98</f>
        <v>41734</v>
      </c>
      <c r="B101" s="32" t="n">
        <f aca="false">'Raw Data'!E98</f>
        <v>34.3529276153673</v>
      </c>
      <c r="C101" s="32" t="n">
        <f aca="false">'Raw Data'!F98</f>
        <v>33.7880908519294</v>
      </c>
      <c r="D101" s="15" t="n">
        <f aca="false">'Raw Data'!H98</f>
        <v>0.0164421725496612</v>
      </c>
      <c r="E101" s="15" t="n">
        <f aca="false">'Raw Data'!I98</f>
        <v>0.0164421725496612</v>
      </c>
      <c r="F101" s="17" t="b">
        <f aca="false">'Raw Data'!S98</f>
        <v>0</v>
      </c>
    </row>
    <row r="102" customFormat="false" ht="15" hidden="false" customHeight="true" outlineLevel="0" collapsed="false">
      <c r="A102" s="12" t="n">
        <f aca="false">'Raw Data'!A99</f>
        <v>41735</v>
      </c>
      <c r="B102" s="32" t="n">
        <f aca="false">'Raw Data'!E99</f>
        <v>34.5779228263871</v>
      </c>
      <c r="C102" s="32" t="n">
        <f aca="false">'Raw Data'!F99</f>
        <v>33.9008745614785</v>
      </c>
      <c r="D102" s="15" t="n">
        <f aca="false">'Raw Data'!H99</f>
        <v>0.0195803625425407</v>
      </c>
      <c r="E102" s="15" t="n">
        <f aca="false">'Raw Data'!I99</f>
        <v>0.0195803625425406</v>
      </c>
      <c r="F102" s="17" t="b">
        <f aca="false">'Raw Data'!S99</f>
        <v>0</v>
      </c>
    </row>
    <row r="103" customFormat="false" ht="15" hidden="false" customHeight="true" outlineLevel="0" collapsed="false">
      <c r="A103" s="12" t="n">
        <f aca="false">'Raw Data'!A100</f>
        <v>41736</v>
      </c>
      <c r="B103" s="32" t="n">
        <f aca="false">'Raw Data'!E100</f>
        <v>34.2268286070401</v>
      </c>
      <c r="C103" s="32" t="n">
        <f aca="false">'Raw Data'!F100</f>
        <v>33.9347287776506</v>
      </c>
      <c r="D103" s="15" t="n">
        <f aca="false">'Raw Data'!H100</f>
        <v>0.00853423589848578</v>
      </c>
      <c r="E103" s="15" t="n">
        <f aca="false">'Raw Data'!I100</f>
        <v>0.00853423589848577</v>
      </c>
      <c r="F103" s="17" t="b">
        <f aca="false">'Raw Data'!S100</f>
        <v>0</v>
      </c>
    </row>
    <row r="104" customFormat="false" ht="15" hidden="false" customHeight="true" outlineLevel="0" collapsed="false">
      <c r="A104" s="12" t="n">
        <f aca="false">'Raw Data'!A101</f>
        <v>41737</v>
      </c>
      <c r="B104" s="32" t="n">
        <f aca="false">'Raw Data'!E101</f>
        <v>35.0386881780374</v>
      </c>
      <c r="C104" s="32" t="n">
        <f aca="false">'Raw Data'!F101</f>
        <v>33.97342521669</v>
      </c>
      <c r="D104" s="15" t="n">
        <f aca="false">'Raw Data'!H101</f>
        <v>0.0304024784242667</v>
      </c>
      <c r="E104" s="15" t="n">
        <f aca="false">'Raw Data'!I101</f>
        <v>0.0304024784242666</v>
      </c>
      <c r="F104" s="17" t="b">
        <f aca="false">'Raw Data'!S101</f>
        <v>0</v>
      </c>
    </row>
    <row r="105" customFormat="false" ht="15" hidden="false" customHeight="true" outlineLevel="0" collapsed="false">
      <c r="A105" s="12" t="n">
        <f aca="false">'Raw Data'!A102</f>
        <v>41738</v>
      </c>
      <c r="B105" s="32" t="n">
        <f aca="false">'Raw Data'!E102</f>
        <v>35.0346008523179</v>
      </c>
      <c r="C105" s="32" t="n">
        <f aca="false">'Raw Data'!F102</f>
        <v>34.0344381471128</v>
      </c>
      <c r="D105" s="15" t="n">
        <f aca="false">'Raw Data'!H102</f>
        <v>0.0285478550025778</v>
      </c>
      <c r="E105" s="15" t="n">
        <f aca="false">'Raw Data'!I102</f>
        <v>0.0285478550025777</v>
      </c>
      <c r="F105" s="17" t="b">
        <f aca="false">'Raw Data'!S102</f>
        <v>0</v>
      </c>
    </row>
    <row r="106" customFormat="false" ht="15" hidden="false" customHeight="true" outlineLevel="0" collapsed="false">
      <c r="A106" s="12" t="n">
        <f aca="false">'Raw Data'!A103</f>
        <v>41739</v>
      </c>
      <c r="B106" s="32" t="n">
        <f aca="false">'Raw Data'!E103</f>
        <v>33.3320613806871</v>
      </c>
      <c r="C106" s="32" t="n">
        <f aca="false">'Raw Data'!F103</f>
        <v>34.0666361388451</v>
      </c>
      <c r="D106" s="15" t="n">
        <f aca="false">'Raw Data'!H103</f>
        <v>-0.0220380836867061</v>
      </c>
      <c r="E106" s="15" t="n">
        <f aca="false">'Raw Data'!I103</f>
        <v>-0.0220380836867061</v>
      </c>
      <c r="F106" s="17" t="b">
        <f aca="false">'Raw Data'!S103</f>
        <v>0</v>
      </c>
    </row>
    <row r="107" customFormat="false" ht="15" hidden="false" customHeight="true" outlineLevel="0" collapsed="false">
      <c r="A107" s="12" t="n">
        <f aca="false">'Raw Data'!A104</f>
        <v>41740</v>
      </c>
      <c r="B107" s="32" t="n">
        <f aca="false">'Raw Data'!E104</f>
        <v>33.3176451536781</v>
      </c>
      <c r="C107" s="32" t="n">
        <f aca="false">'Raw Data'!F104</f>
        <v>34.0878017353244</v>
      </c>
      <c r="D107" s="15" t="n">
        <f aca="false">'Raw Data'!H104</f>
        <v>-0.0231155766889876</v>
      </c>
      <c r="E107" s="15" t="n">
        <f aca="false">'Raw Data'!I104</f>
        <v>-0.0231155766889875</v>
      </c>
      <c r="F107" s="17" t="b">
        <f aca="false">'Raw Data'!S104</f>
        <v>0</v>
      </c>
    </row>
    <row r="108" customFormat="false" ht="15" hidden="false" customHeight="true" outlineLevel="0" collapsed="false">
      <c r="A108" s="12" t="n">
        <f aca="false">'Raw Data'!A105</f>
        <v>41741</v>
      </c>
      <c r="B108" s="32" t="n">
        <f aca="false">'Raw Data'!E105</f>
        <v>33.3360986064612</v>
      </c>
      <c r="C108" s="32" t="n">
        <f aca="false">'Raw Data'!F105</f>
        <v>34.1090839122599</v>
      </c>
      <c r="D108" s="15" t="n">
        <f aca="false">'Raw Data'!H105</f>
        <v>-0.0231876355695945</v>
      </c>
      <c r="E108" s="15" t="n">
        <f aca="false">'Raw Data'!I105</f>
        <v>-0.0231876355695945</v>
      </c>
      <c r="F108" s="17" t="b">
        <f aca="false">'Raw Data'!S105</f>
        <v>0</v>
      </c>
    </row>
    <row r="109" customFormat="false" ht="15" hidden="false" customHeight="true" outlineLevel="0" collapsed="false">
      <c r="A109" s="12" t="n">
        <f aca="false">'Raw Data'!A106</f>
        <v>41742</v>
      </c>
      <c r="B109" s="32" t="n">
        <f aca="false">'Raw Data'!E106</f>
        <v>33.3453989389324</v>
      </c>
      <c r="C109" s="32" t="n">
        <f aca="false">'Raw Data'!F106</f>
        <v>34.0805338970987</v>
      </c>
      <c r="D109" s="15" t="n">
        <f aca="false">'Raw Data'!H106</f>
        <v>-0.0220460687698661</v>
      </c>
      <c r="E109" s="15" t="n">
        <f aca="false">'Raw Data'!I106</f>
        <v>-0.022046068769866</v>
      </c>
      <c r="F109" s="17" t="b">
        <f aca="false">'Raw Data'!S106</f>
        <v>0</v>
      </c>
    </row>
    <row r="110" customFormat="false" ht="15" hidden="false" customHeight="true" outlineLevel="0" collapsed="false">
      <c r="A110" s="12" t="n">
        <f aca="false">'Raw Data'!A107</f>
        <v>41743</v>
      </c>
      <c r="B110" s="32" t="n">
        <f aca="false">'Raw Data'!E107</f>
        <v>33.3308653645145</v>
      </c>
      <c r="C110" s="32" t="n">
        <f aca="false">'Raw Data'!F107</f>
        <v>34.1156744802011</v>
      </c>
      <c r="D110" s="15" t="n">
        <f aca="false">'Raw Data'!H107</f>
        <v>-0.0235460167956572</v>
      </c>
      <c r="E110" s="15" t="n">
        <f aca="false">'Raw Data'!I107</f>
        <v>-0.0235460167956571</v>
      </c>
      <c r="F110" s="17" t="b">
        <f aca="false">'Raw Data'!S107</f>
        <v>0</v>
      </c>
    </row>
    <row r="111" customFormat="false" ht="15" hidden="false" customHeight="true" outlineLevel="0" collapsed="false">
      <c r="A111" s="12" t="n">
        <f aca="false">'Raw Data'!A108</f>
        <v>41744</v>
      </c>
      <c r="B111" s="32" t="n">
        <f aca="false">'Raw Data'!E108</f>
        <v>33.3207305873671</v>
      </c>
      <c r="C111" s="32" t="n">
        <f aca="false">'Raw Data'!F108</f>
        <v>34.141210355514</v>
      </c>
      <c r="D111" s="15" t="n">
        <f aca="false">'Raw Data'!H108</f>
        <v>-0.0246237028325527</v>
      </c>
      <c r="E111" s="15" t="n">
        <f aca="false">'Raw Data'!I108</f>
        <v>-0.0246237028325526</v>
      </c>
      <c r="F111" s="17" t="b">
        <f aca="false">'Raw Data'!S108</f>
        <v>0</v>
      </c>
    </row>
    <row r="112" customFormat="false" ht="15" hidden="false" customHeight="true" outlineLevel="0" collapsed="false">
      <c r="A112" s="12" t="n">
        <f aca="false">'Raw Data'!A109</f>
        <v>41745</v>
      </c>
      <c r="B112" s="32" t="n">
        <f aca="false">'Raw Data'!E109</f>
        <v>33.3322084670729</v>
      </c>
      <c r="C112" s="32" t="n">
        <f aca="false">'Raw Data'!F109</f>
        <v>34.1823321907234</v>
      </c>
      <c r="D112" s="15" t="n">
        <f aca="false">'Raw Data'!H109</f>
        <v>-0.0255045723865045</v>
      </c>
      <c r="E112" s="15" t="n">
        <f aca="false">'Raw Data'!I109</f>
        <v>-0.0255045723865045</v>
      </c>
      <c r="F112" s="17" t="b">
        <f aca="false">'Raw Data'!S109</f>
        <v>0</v>
      </c>
    </row>
    <row r="113" customFormat="false" ht="15" hidden="false" customHeight="true" outlineLevel="0" collapsed="false">
      <c r="A113" s="12" t="n">
        <f aca="false">'Raw Data'!A110</f>
        <v>41746</v>
      </c>
      <c r="B113" s="32" t="n">
        <f aca="false">'Raw Data'!E110</f>
        <v>33.3352937927278</v>
      </c>
      <c r="C113" s="32" t="n">
        <f aca="false">'Raw Data'!F110</f>
        <v>34.1896852158004</v>
      </c>
      <c r="D113" s="15" t="n">
        <f aca="false">'Raw Data'!H110</f>
        <v>-0.0256302352811128</v>
      </c>
      <c r="E113" s="15" t="n">
        <f aca="false">'Raw Data'!I110</f>
        <v>-0.0256302352811127</v>
      </c>
      <c r="F113" s="17" t="b">
        <f aca="false">'Raw Data'!S110</f>
        <v>0</v>
      </c>
    </row>
    <row r="114" customFormat="false" ht="15" hidden="false" customHeight="true" outlineLevel="0" collapsed="false">
      <c r="A114" s="12" t="n">
        <f aca="false">'Raw Data'!A111</f>
        <v>41747</v>
      </c>
      <c r="B114" s="32" t="n">
        <f aca="false">'Raw Data'!E111</f>
        <v>33.3440113248599</v>
      </c>
      <c r="C114" s="32" t="n">
        <f aca="false">'Raw Data'!F111</f>
        <v>34.1960217858256</v>
      </c>
      <c r="D114" s="15" t="n">
        <f aca="false">'Raw Data'!H111</f>
        <v>-0.0255521284666337</v>
      </c>
      <c r="E114" s="15" t="n">
        <f aca="false">'Raw Data'!I111</f>
        <v>-0.0255521284666335</v>
      </c>
      <c r="F114" s="17" t="b">
        <f aca="false">'Raw Data'!S111</f>
        <v>0</v>
      </c>
    </row>
    <row r="115" customFormat="false" ht="15" hidden="false" customHeight="true" outlineLevel="0" collapsed="false">
      <c r="A115" s="12" t="n">
        <f aca="false">'Raw Data'!A112</f>
        <v>41748</v>
      </c>
      <c r="B115" s="32" t="n">
        <f aca="false">'Raw Data'!E112</f>
        <v>33.3346532688679</v>
      </c>
      <c r="C115" s="32" t="n">
        <f aca="false">'Raw Data'!F112</f>
        <v>34.193232177106</v>
      </c>
      <c r="D115" s="15" t="n">
        <f aca="false">'Raw Data'!H112</f>
        <v>-0.0257563473456002</v>
      </c>
      <c r="E115" s="15" t="n">
        <f aca="false">'Raw Data'!I112</f>
        <v>-0.0257563473456004</v>
      </c>
      <c r="F115" s="17" t="b">
        <f aca="false">'Raw Data'!S112</f>
        <v>0</v>
      </c>
    </row>
    <row r="116" customFormat="false" ht="15" hidden="false" customHeight="true" outlineLevel="0" collapsed="false">
      <c r="A116" s="12" t="n">
        <f aca="false">'Raw Data'!A113</f>
        <v>41749</v>
      </c>
      <c r="B116" s="32" t="n">
        <f aca="false">'Raw Data'!E113</f>
        <v>33.3273774435023</v>
      </c>
      <c r="C116" s="32" t="n">
        <f aca="false">'Raw Data'!F113</f>
        <v>34.1763855801011</v>
      </c>
      <c r="D116" s="15" t="n">
        <f aca="false">'Raw Data'!H113</f>
        <v>-0.0254747958502896</v>
      </c>
      <c r="E116" s="15" t="n">
        <f aca="false">'Raw Data'!I113</f>
        <v>-0.0254747958502896</v>
      </c>
      <c r="F116" s="17" t="b">
        <f aca="false">'Raw Data'!S113</f>
        <v>0</v>
      </c>
    </row>
    <row r="117" customFormat="false" ht="15" hidden="false" customHeight="true" outlineLevel="0" collapsed="false">
      <c r="A117" s="12" t="n">
        <f aca="false">'Raw Data'!A114</f>
        <v>41750</v>
      </c>
      <c r="B117" s="32" t="n">
        <f aca="false">'Raw Data'!E114</f>
        <v>33.3410882090877</v>
      </c>
      <c r="C117" s="32" t="n">
        <f aca="false">'Raw Data'!F114</f>
        <v>34.2190905762316</v>
      </c>
      <c r="D117" s="15" t="n">
        <f aca="false">'Raw Data'!H114</f>
        <v>-0.0263339445202804</v>
      </c>
      <c r="E117" s="15" t="n">
        <f aca="false">'Raw Data'!I114</f>
        <v>-0.0263339445202804</v>
      </c>
      <c r="F117" s="17" t="b">
        <f aca="false">'Raw Data'!S114</f>
        <v>0</v>
      </c>
    </row>
    <row r="118" customFormat="false" ht="15" hidden="false" customHeight="true" outlineLevel="0" collapsed="false">
      <c r="A118" s="12" t="n">
        <f aca="false">'Raw Data'!A115</f>
        <v>41751</v>
      </c>
      <c r="B118" s="32" t="n">
        <f aca="false">'Raw Data'!E115</f>
        <v>33.3302550676357</v>
      </c>
      <c r="C118" s="32" t="n">
        <f aca="false">'Raw Data'!F115</f>
        <v>34.2182168350061</v>
      </c>
      <c r="D118" s="15" t="n">
        <f aca="false">'Raw Data'!H115</f>
        <v>-0.0266413132923381</v>
      </c>
      <c r="E118" s="15" t="n">
        <f aca="false">'Raw Data'!I115</f>
        <v>-0.0266413132923381</v>
      </c>
      <c r="F118" s="17" t="b">
        <f aca="false">'Raw Data'!S115</f>
        <v>0</v>
      </c>
    </row>
    <row r="119" customFormat="false" ht="15" hidden="false" customHeight="true" outlineLevel="0" collapsed="false">
      <c r="A119" s="12" t="n">
        <f aca="false">'Raw Data'!A116</f>
        <v>41752</v>
      </c>
      <c r="B119" s="32" t="n">
        <f aca="false">'Raw Data'!E116</f>
        <v>35.0395426238448</v>
      </c>
      <c r="C119" s="32" t="n">
        <f aca="false">'Raw Data'!F116</f>
        <v>34.2357894250452</v>
      </c>
      <c r="D119" s="15" t="n">
        <f aca="false">'Raw Data'!H116</f>
        <v>0.0229384614813049</v>
      </c>
      <c r="E119" s="15" t="n">
        <f aca="false">'Raw Data'!I116</f>
        <v>0.0229384614813049</v>
      </c>
      <c r="F119" s="17" t="b">
        <f aca="false">'Raw Data'!S116</f>
        <v>0</v>
      </c>
    </row>
    <row r="120" customFormat="false" ht="15" hidden="false" customHeight="true" outlineLevel="0" collapsed="false">
      <c r="A120" s="12" t="n">
        <f aca="false">'Raw Data'!A117</f>
        <v>41753</v>
      </c>
      <c r="B120" s="32" t="n">
        <f aca="false">'Raw Data'!E117</f>
        <v>35.0409804589856</v>
      </c>
      <c r="C120" s="32" t="n">
        <f aca="false">'Raw Data'!F117</f>
        <v>34.2461666897226</v>
      </c>
      <c r="D120" s="15" t="n">
        <f aca="false">'Raw Data'!H117</f>
        <v>0.0226824066807514</v>
      </c>
      <c r="E120" s="15" t="n">
        <f aca="false">'Raw Data'!I117</f>
        <v>0.0226824066807514</v>
      </c>
      <c r="F120" s="17" t="b">
        <f aca="false">'Raw Data'!S117</f>
        <v>0</v>
      </c>
    </row>
    <row r="121" customFormat="false" ht="15" hidden="false" customHeight="true" outlineLevel="0" collapsed="false">
      <c r="A121" s="12" t="n">
        <f aca="false">'Raw Data'!A118</f>
        <v>41754</v>
      </c>
      <c r="B121" s="32" t="n">
        <f aca="false">'Raw Data'!E118</f>
        <v>34.6423037322107</v>
      </c>
      <c r="C121" s="32" t="n">
        <f aca="false">'Raw Data'!F118</f>
        <v>34.2423601096034</v>
      </c>
      <c r="D121" s="15" t="n">
        <f aca="false">'Raw Data'!H118</f>
        <v>0.0115449487914814</v>
      </c>
      <c r="E121" s="15" t="n">
        <f aca="false">'Raw Data'!I118</f>
        <v>0.0115449487914814</v>
      </c>
      <c r="F121" s="17" t="b">
        <f aca="false">'Raw Data'!S118</f>
        <v>0</v>
      </c>
    </row>
    <row r="122" customFormat="false" ht="15" hidden="false" customHeight="true" outlineLevel="0" collapsed="false">
      <c r="A122" s="12" t="n">
        <f aca="false">'Raw Data'!A119</f>
        <v>41755</v>
      </c>
      <c r="B122" s="32" t="n">
        <f aca="false">'Raw Data'!E119</f>
        <v>34.7245681487547</v>
      </c>
      <c r="C122" s="32" t="n">
        <f aca="false">'Raw Data'!F119</f>
        <v>34.2501621541495</v>
      </c>
      <c r="D122" s="15" t="n">
        <f aca="false">'Raw Data'!H119</f>
        <v>0.0136619696052944</v>
      </c>
      <c r="E122" s="15" t="n">
        <f aca="false">'Raw Data'!I119</f>
        <v>0.0136619696052945</v>
      </c>
      <c r="F122" s="17" t="b">
        <f aca="false">'Raw Data'!S119</f>
        <v>0</v>
      </c>
    </row>
    <row r="123" customFormat="false" ht="15" hidden="false" customHeight="true" outlineLevel="0" collapsed="false">
      <c r="A123" s="12" t="n">
        <f aca="false">'Raw Data'!A120</f>
        <v>41756</v>
      </c>
      <c r="B123" s="32" t="n">
        <f aca="false">'Raw Data'!E120</f>
        <v>34.789754027856</v>
      </c>
      <c r="C123" s="32" t="n">
        <f aca="false">'Raw Data'!F120</f>
        <v>34.2544985949047</v>
      </c>
      <c r="D123" s="15" t="n">
        <f aca="false">'Raw Data'!H120</f>
        <v>0.0153854330939728</v>
      </c>
      <c r="E123" s="15" t="n">
        <f aca="false">'Raw Data'!I120</f>
        <v>0.0153854330939727</v>
      </c>
      <c r="F123" s="17" t="b">
        <f aca="false">'Raw Data'!S120</f>
        <v>0</v>
      </c>
    </row>
    <row r="124" customFormat="false" ht="15" hidden="false" customHeight="true" outlineLevel="0" collapsed="false">
      <c r="A124" s="12" t="n">
        <f aca="false">'Raw Data'!A121</f>
        <v>41757</v>
      </c>
      <c r="B124" s="32" t="n">
        <f aca="false">'Raw Data'!E121</f>
        <v>34.7247786219683</v>
      </c>
      <c r="C124" s="32" t="n">
        <f aca="false">'Raw Data'!F121</f>
        <v>34.2606447718687</v>
      </c>
      <c r="D124" s="15" t="n">
        <f aca="false">'Raw Data'!H121</f>
        <v>0.0133660708150922</v>
      </c>
      <c r="E124" s="15" t="n">
        <f aca="false">'Raw Data'!I121</f>
        <v>0.0133660708150922</v>
      </c>
      <c r="F124" s="17" t="b">
        <f aca="false">'Raw Data'!S121</f>
        <v>0</v>
      </c>
    </row>
    <row r="125" customFormat="false" ht="15" hidden="false" customHeight="true" outlineLevel="0" collapsed="false">
      <c r="A125" s="12" t="n">
        <f aca="false">'Raw Data'!A122</f>
        <v>41758</v>
      </c>
      <c r="B125" s="32" t="n">
        <f aca="false">'Raw Data'!E122</f>
        <v>34.6316185007207</v>
      </c>
      <c r="C125" s="32" t="n">
        <f aca="false">'Raw Data'!F122</f>
        <v>34.2540750875154</v>
      </c>
      <c r="D125" s="15" t="n">
        <f aca="false">'Raw Data'!H122</f>
        <v>0.0109016970488245</v>
      </c>
      <c r="E125" s="15" t="n">
        <f aca="false">'Raw Data'!I122</f>
        <v>0.0109016970488245</v>
      </c>
      <c r="F125" s="17" t="b">
        <f aca="false">'Raw Data'!S122</f>
        <v>0</v>
      </c>
    </row>
    <row r="126" customFormat="false" ht="15" hidden="false" customHeight="true" outlineLevel="0" collapsed="false">
      <c r="A126" s="12" t="n">
        <f aca="false">'Raw Data'!A123</f>
        <v>41759</v>
      </c>
      <c r="B126" s="32" t="n">
        <f aca="false">'Raw Data'!E123</f>
        <v>35.2091990126606</v>
      </c>
      <c r="C126" s="32" t="n">
        <f aca="false">'Raw Data'!F123</f>
        <v>34.2529213825983</v>
      </c>
      <c r="D126" s="15" t="n">
        <f aca="false">'Raw Data'!H123</f>
        <v>0.0271598802835154</v>
      </c>
      <c r="E126" s="15" t="n">
        <f aca="false">'Raw Data'!I123</f>
        <v>0.0271598802835154</v>
      </c>
      <c r="F126" s="17" t="b">
        <f aca="false">'Raw Data'!S123</f>
        <v>0</v>
      </c>
    </row>
    <row r="127" customFormat="false" ht="15" hidden="false" customHeight="true" outlineLevel="0" collapsed="false">
      <c r="A127" s="12" t="n">
        <f aca="false">'Raw Data'!A124</f>
        <v>41760</v>
      </c>
      <c r="B127" s="32" t="n">
        <f aca="false">'Raw Data'!E124</f>
        <v>35.1862351151498</v>
      </c>
      <c r="C127" s="32" t="n">
        <f aca="false">'Raw Data'!F124</f>
        <v>34.2811573757247</v>
      </c>
      <c r="D127" s="15" t="n">
        <f aca="false">'Raw Data'!H124</f>
        <v>0.0257224945056832</v>
      </c>
      <c r="E127" s="15" t="n">
        <f aca="false">'Raw Data'!I124</f>
        <v>0.0257224945056832</v>
      </c>
      <c r="F127" s="17" t="b">
        <f aca="false">'Raw Data'!S124</f>
        <v>0</v>
      </c>
    </row>
    <row r="128" customFormat="false" ht="15" hidden="false" customHeight="true" outlineLevel="0" collapsed="false">
      <c r="A128" s="12" t="n">
        <f aca="false">'Raw Data'!A125</f>
        <v>41761</v>
      </c>
      <c r="B128" s="32" t="n">
        <f aca="false">'Raw Data'!E125</f>
        <v>35.7670892446368</v>
      </c>
      <c r="C128" s="32" t="n">
        <f aca="false">'Raw Data'!F125</f>
        <v>34.3376174625785</v>
      </c>
      <c r="D128" s="15" t="n">
        <f aca="false">'Raw Data'!H125</f>
        <v>0.0399661200351301</v>
      </c>
      <c r="E128" s="15" t="n">
        <f aca="false">'Raw Data'!I125</f>
        <v>0.03996612003513</v>
      </c>
      <c r="F128" s="17" t="b">
        <f aca="false">'Raw Data'!S125</f>
        <v>0</v>
      </c>
    </row>
    <row r="129" customFormat="false" ht="15" hidden="false" customHeight="true" outlineLevel="0" collapsed="false">
      <c r="A129" s="12" t="n">
        <f aca="false">'Raw Data'!A126</f>
        <v>41762</v>
      </c>
      <c r="B129" s="32" t="n">
        <f aca="false">'Raw Data'!E126</f>
        <v>35.5522835941145</v>
      </c>
      <c r="C129" s="32" t="n">
        <f aca="false">'Raw Data'!F126</f>
        <v>34.5149972209737</v>
      </c>
      <c r="D129" s="15" t="n">
        <f aca="false">'Raw Data'!H126</f>
        <v>0.0291763641678568</v>
      </c>
      <c r="E129" s="15" t="n">
        <f aca="false">'Raw Data'!I126</f>
        <v>0.0291763641678569</v>
      </c>
      <c r="F129" s="17" t="b">
        <f aca="false">'Raw Data'!S126</f>
        <v>0</v>
      </c>
    </row>
    <row r="130" customFormat="false" ht="15" hidden="false" customHeight="true" outlineLevel="0" collapsed="false">
      <c r="A130" s="12" t="n">
        <f aca="false">'Raw Data'!A127</f>
        <v>41763</v>
      </c>
      <c r="B130" s="32" t="n">
        <f aca="false">'Raw Data'!E127</f>
        <v>35.2316593326619</v>
      </c>
      <c r="C130" s="32" t="n">
        <f aca="false">'Raw Data'!F127</f>
        <v>34.6712742404977</v>
      </c>
      <c r="D130" s="15" t="n">
        <f aca="false">'Raw Data'!H127</f>
        <v>0.0159057252135916</v>
      </c>
      <c r="E130" s="15" t="n">
        <f aca="false">'Raw Data'!I127</f>
        <v>0.0159057252135916</v>
      </c>
      <c r="F130" s="17" t="b">
        <f aca="false">'Raw Data'!S127</f>
        <v>0</v>
      </c>
    </row>
    <row r="131" customFormat="false" ht="15" hidden="false" customHeight="true" outlineLevel="0" collapsed="false">
      <c r="A131" s="12" t="n">
        <f aca="false">'Raw Data'!A128</f>
        <v>41764</v>
      </c>
      <c r="B131" s="32" t="n">
        <f aca="false">'Raw Data'!E128</f>
        <v>35.1575818951212</v>
      </c>
      <c r="C131" s="32" t="n">
        <f aca="false">'Raw Data'!F128</f>
        <v>34.7051849152412</v>
      </c>
      <c r="D131" s="15" t="n">
        <f aca="false">'Raw Data'!H128</f>
        <v>0.0128676932682566</v>
      </c>
      <c r="E131" s="15" t="n">
        <f aca="false">'Raw Data'!I128</f>
        <v>0.0128676932682567</v>
      </c>
      <c r="F131" s="17" t="b">
        <f aca="false">'Raw Data'!S128</f>
        <v>0</v>
      </c>
    </row>
    <row r="132" customFormat="false" ht="15" hidden="false" customHeight="true" outlineLevel="0" collapsed="false">
      <c r="A132" s="12" t="n">
        <f aca="false">'Raw Data'!A129</f>
        <v>41765</v>
      </c>
      <c r="B132" s="32" t="n">
        <f aca="false">'Raw Data'!E129</f>
        <v>35.9162380770027</v>
      </c>
      <c r="C132" s="32" t="n">
        <f aca="false">'Raw Data'!F129</f>
        <v>34.8053870763682</v>
      </c>
      <c r="D132" s="15" t="n">
        <f aca="false">'Raw Data'!H129</f>
        <v>0.0309289352145644</v>
      </c>
      <c r="E132" s="15" t="n">
        <f aca="false">'Raw Data'!I129</f>
        <v>0.0309289352145645</v>
      </c>
      <c r="F132" s="17" t="b">
        <f aca="false">'Raw Data'!S129</f>
        <v>0</v>
      </c>
    </row>
    <row r="133" customFormat="false" ht="15" hidden="false" customHeight="true" outlineLevel="0" collapsed="false">
      <c r="A133" s="12" t="n">
        <f aca="false">'Raw Data'!A130</f>
        <v>41766</v>
      </c>
      <c r="B133" s="32" t="n">
        <f aca="false">'Raw Data'!E130</f>
        <v>34.2620804552998</v>
      </c>
      <c r="C133" s="32" t="n">
        <f aca="false">'Raw Data'!F130</f>
        <v>34.7990924850676</v>
      </c>
      <c r="D133" s="15" t="n">
        <f aca="false">'Raw Data'!H130</f>
        <v>-0.0156736550329579</v>
      </c>
      <c r="E133" s="15" t="n">
        <f aca="false">'Raw Data'!I130</f>
        <v>-0.0156736550329578</v>
      </c>
      <c r="F133" s="17" t="b">
        <f aca="false">'Raw Data'!S130</f>
        <v>0</v>
      </c>
    </row>
    <row r="134" customFormat="false" ht="15" hidden="false" customHeight="true" outlineLevel="0" collapsed="false">
      <c r="A134" s="12" t="n">
        <f aca="false">'Raw Data'!A131</f>
        <v>41767</v>
      </c>
      <c r="B134" s="32" t="n">
        <f aca="false">'Raw Data'!E131</f>
        <v>35.9058699036107</v>
      </c>
      <c r="C134" s="32" t="n">
        <f aca="false">'Raw Data'!F131</f>
        <v>34.9221826825247</v>
      </c>
      <c r="D134" s="15" t="n">
        <f aca="false">'Raw Data'!H131</f>
        <v>0.0273962787624052</v>
      </c>
      <c r="E134" s="15" t="n">
        <f aca="false">'Raw Data'!I131</f>
        <v>0.0273962787624052</v>
      </c>
      <c r="F134" s="17" t="b">
        <f aca="false">'Raw Data'!S131</f>
        <v>0</v>
      </c>
    </row>
    <row r="135" customFormat="false" ht="15" hidden="false" customHeight="true" outlineLevel="0" collapsed="false">
      <c r="A135" s="12" t="n">
        <f aca="false">'Raw Data'!A132</f>
        <v>41768</v>
      </c>
      <c r="B135" s="32" t="n">
        <f aca="false">'Raw Data'!E132</f>
        <v>32.5071074565024</v>
      </c>
      <c r="C135" s="32" t="n">
        <f aca="false">'Raw Data'!F132</f>
        <v>34.9310613329645</v>
      </c>
      <c r="D135" s="15" t="n">
        <f aca="false">'Raw Data'!H132</f>
        <v>-0.0745668890935781</v>
      </c>
      <c r="E135" s="15" t="n">
        <f aca="false">'Raw Data'!I132</f>
        <v>-0.074566889093578</v>
      </c>
      <c r="F135" s="17" t="b">
        <f aca="false">'Raw Data'!S132</f>
        <v>1</v>
      </c>
    </row>
    <row r="136" customFormat="false" ht="15" hidden="false" customHeight="true" outlineLevel="0" collapsed="false">
      <c r="A136" s="12" t="n">
        <f aca="false">'Raw Data'!A133</f>
        <v>41769</v>
      </c>
      <c r="B136" s="32" t="n">
        <f aca="false">'Raw Data'!E133</f>
        <v>32.4436877474358</v>
      </c>
      <c r="C136" s="32" t="n">
        <f aca="false">'Raw Data'!F133</f>
        <v>34.9657158962564</v>
      </c>
      <c r="D136" s="15" t="n">
        <f aca="false">'Raw Data'!H133</f>
        <v>-0.0777355573279431</v>
      </c>
      <c r="E136" s="15" t="n">
        <f aca="false">'Raw Data'!I133</f>
        <v>-0.0777355573279432</v>
      </c>
      <c r="F136" s="17" t="b">
        <f aca="false">'Raw Data'!S133</f>
        <v>1</v>
      </c>
    </row>
    <row r="137" customFormat="false" ht="15" hidden="false" customHeight="true" outlineLevel="0" collapsed="false">
      <c r="A137" s="12" t="n">
        <f aca="false">'Raw Data'!A134</f>
        <v>41770</v>
      </c>
      <c r="B137" s="32" t="n">
        <f aca="false">'Raw Data'!E134</f>
        <v>32.4651347914373</v>
      </c>
      <c r="C137" s="32" t="n">
        <f aca="false">'Raw Data'!F134</f>
        <v>34.9761582557637</v>
      </c>
      <c r="D137" s="15" t="n">
        <f aca="false">'Raw Data'!H134</f>
        <v>-0.0773452345249063</v>
      </c>
      <c r="E137" s="15" t="n">
        <f aca="false">'Raw Data'!I134</f>
        <v>-0.0773452345249064</v>
      </c>
      <c r="F137" s="17" t="b">
        <f aca="false">'Raw Data'!S134</f>
        <v>1</v>
      </c>
    </row>
    <row r="138" customFormat="false" ht="15" hidden="false" customHeight="true" outlineLevel="0" collapsed="false">
      <c r="A138" s="12" t="n">
        <f aca="false">'Raw Data'!A135</f>
        <v>41771</v>
      </c>
      <c r="B138" s="32" t="n">
        <f aca="false">'Raw Data'!E135</f>
        <v>32.4453756143174</v>
      </c>
      <c r="C138" s="32" t="n">
        <f aca="false">'Raw Data'!F135</f>
        <v>34.9965496344946</v>
      </c>
      <c r="D138" s="15" t="n">
        <f aca="false">'Raw Data'!H135</f>
        <v>-0.0786298192538556</v>
      </c>
      <c r="E138" s="15" t="n">
        <f aca="false">'Raw Data'!I135</f>
        <v>-0.0786298192538554</v>
      </c>
      <c r="F138" s="17" t="b">
        <f aca="false">'Raw Data'!S135</f>
        <v>1</v>
      </c>
    </row>
    <row r="139" customFormat="false" ht="15" hidden="false" customHeight="true" outlineLevel="0" collapsed="false">
      <c r="A139" s="12" t="n">
        <f aca="false">'Raw Data'!A136</f>
        <v>41772</v>
      </c>
      <c r="B139" s="32" t="n">
        <f aca="false">'Raw Data'!E136</f>
        <v>32.4598270319303</v>
      </c>
      <c r="C139" s="32" t="n">
        <f aca="false">'Raw Data'!F136</f>
        <v>35.019584565962</v>
      </c>
      <c r="D139" s="15" t="n">
        <f aca="false">'Raw Data'!H136</f>
        <v>-0.0788592475096582</v>
      </c>
      <c r="E139" s="15" t="n">
        <f aca="false">'Raw Data'!I136</f>
        <v>-0.0788592475096582</v>
      </c>
      <c r="F139" s="17" t="b">
        <f aca="false">'Raw Data'!S136</f>
        <v>0</v>
      </c>
    </row>
    <row r="140" customFormat="false" ht="15" hidden="false" customHeight="true" outlineLevel="0" collapsed="false">
      <c r="A140" s="12" t="n">
        <f aca="false">'Raw Data'!A137</f>
        <v>41773</v>
      </c>
      <c r="B140" s="32" t="n">
        <f aca="false">'Raw Data'!E137</f>
        <v>32.163877761205</v>
      </c>
      <c r="C140" s="32" t="n">
        <f aca="false">'Raw Data'!F137</f>
        <v>34.8790599533042</v>
      </c>
      <c r="D140" s="15" t="n">
        <f aca="false">'Raw Data'!H137</f>
        <v>-0.0844171281913703</v>
      </c>
      <c r="E140" s="15" t="n">
        <f aca="false">'Raw Data'!I137</f>
        <v>-0.0844171281913703</v>
      </c>
      <c r="F140" s="17" t="b">
        <f aca="false">'Raw Data'!S137</f>
        <v>1</v>
      </c>
    </row>
    <row r="141" customFormat="false" ht="15" hidden="false" customHeight="true" outlineLevel="0" collapsed="false">
      <c r="A141" s="12" t="n">
        <f aca="false">'Raw Data'!A138</f>
        <v>41774</v>
      </c>
      <c r="B141" s="32" t="n">
        <f aca="false">'Raw Data'!E138</f>
        <v>32.1269684613854</v>
      </c>
      <c r="C141" s="32" t="n">
        <f aca="false">'Raw Data'!F138</f>
        <v>34.4748808841903</v>
      </c>
      <c r="D141" s="15" t="n">
        <f aca="false">'Raw Data'!H138</f>
        <v>-0.0730822899031689</v>
      </c>
      <c r="E141" s="15" t="n">
        <f aca="false">'Raw Data'!I138</f>
        <v>-0.0730822899031689</v>
      </c>
      <c r="F141" s="17" t="b">
        <f aca="false">'Raw Data'!S138</f>
        <v>1</v>
      </c>
    </row>
    <row r="142" customFormat="false" ht="15" hidden="false" customHeight="true" outlineLevel="0" collapsed="false">
      <c r="A142" s="12" t="n">
        <f aca="false">'Raw Data'!A139</f>
        <v>41775</v>
      </c>
      <c r="B142" s="32" t="n">
        <f aca="false">'Raw Data'!E139</f>
        <v>32.0731627112709</v>
      </c>
      <c r="C142" s="32" t="n">
        <f aca="false">'Raw Data'!F139</f>
        <v>34.1177517358273</v>
      </c>
      <c r="D142" s="15" t="n">
        <f aca="false">'Raw Data'!H139</f>
        <v>-0.0637476585319052</v>
      </c>
      <c r="E142" s="15" t="n">
        <f aca="false">'Raw Data'!I139</f>
        <v>-0.0637476585319051</v>
      </c>
      <c r="F142" s="17" t="b">
        <f aca="false">'Raw Data'!S139</f>
        <v>1</v>
      </c>
    </row>
    <row r="143" customFormat="false" ht="15" hidden="false" customHeight="true" outlineLevel="0" collapsed="false">
      <c r="A143" s="12" t="n">
        <f aca="false">'Raw Data'!A140</f>
        <v>41776</v>
      </c>
      <c r="B143" s="32" t="n">
        <f aca="false">'Raw Data'!E140</f>
        <v>32.1586921301918</v>
      </c>
      <c r="C143" s="32" t="n">
        <f aca="false">'Raw Data'!F140</f>
        <v>33.9635914986875</v>
      </c>
      <c r="D143" s="15" t="n">
        <f aca="false">'Raw Data'!H140</f>
        <v>-0.0561247752610306</v>
      </c>
      <c r="E143" s="15" t="n">
        <f aca="false">'Raw Data'!I140</f>
        <v>-0.0561247752610305</v>
      </c>
      <c r="F143" s="17" t="b">
        <f aca="false">'Raw Data'!S140</f>
        <v>0</v>
      </c>
    </row>
    <row r="144" customFormat="false" ht="15" hidden="false" customHeight="true" outlineLevel="0" collapsed="false">
      <c r="A144" s="12" t="n">
        <f aca="false">'Raw Data'!A141</f>
        <v>41777</v>
      </c>
      <c r="B144" s="32" t="n">
        <f aca="false">'Raw Data'!E141</f>
        <v>32.3736961932036</v>
      </c>
      <c r="C144" s="32" t="n">
        <f aca="false">'Raw Data'!F141</f>
        <v>33.9188158869128</v>
      </c>
      <c r="D144" s="15" t="n">
        <f aca="false">'Raw Data'!H141</f>
        <v>-0.0477276269131579</v>
      </c>
      <c r="E144" s="15" t="n">
        <f aca="false">'Raw Data'!I141</f>
        <v>-0.0477276269131578</v>
      </c>
      <c r="F144" s="17" t="b">
        <f aca="false">'Raw Data'!S141</f>
        <v>0</v>
      </c>
    </row>
    <row r="145" customFormat="false" ht="15" hidden="false" customHeight="true" outlineLevel="0" collapsed="false">
      <c r="A145" s="12" t="n">
        <f aca="false">'Raw Data'!A142</f>
        <v>41778</v>
      </c>
      <c r="B145" s="32" t="n">
        <f aca="false">'Raw Data'!E142</f>
        <v>32.4452501670059</v>
      </c>
      <c r="C145" s="32" t="n">
        <f aca="false">'Raw Data'!F142</f>
        <v>33.796710727425</v>
      </c>
      <c r="D145" s="15" t="n">
        <f aca="false">'Raw Data'!H142</f>
        <v>-0.0416535718930411</v>
      </c>
      <c r="E145" s="15" t="n">
        <f aca="false">'Raw Data'!I142</f>
        <v>-0.0416535718930412</v>
      </c>
      <c r="F145" s="17" t="b">
        <f aca="false">'Raw Data'!S142</f>
        <v>0</v>
      </c>
    </row>
    <row r="146" customFormat="false" ht="15" hidden="false" customHeight="true" outlineLevel="0" collapsed="false">
      <c r="A146" s="12" t="n">
        <f aca="false">'Raw Data'!A143</f>
        <v>41779</v>
      </c>
      <c r="B146" s="32" t="n">
        <f aca="false">'Raw Data'!E143</f>
        <v>32.0943301098261</v>
      </c>
      <c r="C146" s="32" t="n">
        <f aca="false">'Raw Data'!F143</f>
        <v>33.8284994958914</v>
      </c>
      <c r="D146" s="15" t="n">
        <f aca="false">'Raw Data'!H143</f>
        <v>-0.0540335124656305</v>
      </c>
      <c r="E146" s="15" t="n">
        <f aca="false">'Raw Data'!I143</f>
        <v>-0.0540335124656305</v>
      </c>
      <c r="F146" s="17" t="b">
        <f aca="false">'Raw Data'!S143</f>
        <v>0</v>
      </c>
    </row>
    <row r="147" customFormat="false" ht="15" hidden="false" customHeight="true" outlineLevel="0" collapsed="false">
      <c r="A147" s="12" t="n">
        <f aca="false">'Raw Data'!A144</f>
        <v>41780</v>
      </c>
      <c r="B147" s="32" t="n">
        <f aca="false">'Raw Data'!E144</f>
        <v>32.1052393137778</v>
      </c>
      <c r="C147" s="32" t="n">
        <f aca="false">'Raw Data'!F144</f>
        <v>33.683799897437</v>
      </c>
      <c r="D147" s="15" t="n">
        <f aca="false">'Raw Data'!H144</f>
        <v>-0.0491683169912351</v>
      </c>
      <c r="E147" s="15" t="n">
        <f aca="false">'Raw Data'!I144</f>
        <v>-0.0491683169912349</v>
      </c>
      <c r="F147" s="17" t="b">
        <f aca="false">'Raw Data'!S144</f>
        <v>0</v>
      </c>
    </row>
    <row r="148" customFormat="false" ht="15" hidden="false" customHeight="true" outlineLevel="0" collapsed="false">
      <c r="A148" s="12" t="n">
        <f aca="false">'Raw Data'!A145</f>
        <v>41781</v>
      </c>
      <c r="B148" s="32" t="n">
        <f aca="false">'Raw Data'!E145</f>
        <v>33.7547783970359</v>
      </c>
      <c r="C148" s="32" t="n">
        <f aca="false">'Raw Data'!F145</f>
        <v>33.6192115196819</v>
      </c>
      <c r="D148" s="15" t="n">
        <f aca="false">'Raw Data'!H145</f>
        <v>0.00401622773994908</v>
      </c>
      <c r="E148" s="15" t="n">
        <f aca="false">'Raw Data'!I145</f>
        <v>0.00401622773994906</v>
      </c>
      <c r="F148" s="17" t="b">
        <f aca="false">'Raw Data'!S145</f>
        <v>0</v>
      </c>
    </row>
    <row r="149" customFormat="false" ht="15" hidden="false" customHeight="true" outlineLevel="0" collapsed="false">
      <c r="A149" s="12" t="n">
        <f aca="false">'Raw Data'!A146</f>
        <v>41782</v>
      </c>
      <c r="B149" s="32" t="n">
        <f aca="false">'Raw Data'!E146</f>
        <v>32.1668428376162</v>
      </c>
      <c r="C149" s="32" t="n">
        <f aca="false">'Raw Data'!F146</f>
        <v>33.5680055482939</v>
      </c>
      <c r="D149" s="15" t="n">
        <f aca="false">'Raw Data'!H146</f>
        <v>-0.0435592239422135</v>
      </c>
      <c r="E149" s="15" t="n">
        <f aca="false">'Raw Data'!I146</f>
        <v>-0.0435592239422135</v>
      </c>
      <c r="F149" s="17" t="b">
        <f aca="false">'Raw Data'!S146</f>
        <v>0</v>
      </c>
    </row>
    <row r="150" customFormat="false" ht="15" hidden="false" customHeight="true" outlineLevel="0" collapsed="false">
      <c r="A150" s="12" t="n">
        <f aca="false">'Raw Data'!A147</f>
        <v>41783</v>
      </c>
      <c r="B150" s="32" t="n">
        <f aca="false">'Raw Data'!E147</f>
        <v>32.1770988047856</v>
      </c>
      <c r="C150" s="32" t="n">
        <f aca="false">'Raw Data'!F147</f>
        <v>33.4629436777908</v>
      </c>
      <c r="D150" s="15" t="n">
        <f aca="false">'Raw Data'!H147</f>
        <v>-0.0399614918923012</v>
      </c>
      <c r="E150" s="15" t="n">
        <f aca="false">'Raw Data'!I147</f>
        <v>-0.0399614918923014</v>
      </c>
      <c r="F150" s="17" t="b">
        <f aca="false">'Raw Data'!S147</f>
        <v>0</v>
      </c>
    </row>
    <row r="151" customFormat="false" ht="15" hidden="false" customHeight="true" outlineLevel="0" collapsed="false">
      <c r="A151" s="12" t="n">
        <f aca="false">'Raw Data'!A148</f>
        <v>41784</v>
      </c>
      <c r="B151" s="32" t="n">
        <f aca="false">'Raw Data'!E148</f>
        <v>32.4253412234294</v>
      </c>
      <c r="C151" s="32" t="n">
        <f aca="false">'Raw Data'!F148</f>
        <v>33.4406866171373</v>
      </c>
      <c r="D151" s="15" t="n">
        <f aca="false">'Raw Data'!H148</f>
        <v>-0.0313133294947172</v>
      </c>
      <c r="E151" s="15" t="n">
        <f aca="false">'Raw Data'!I148</f>
        <v>-0.0313133294947173</v>
      </c>
      <c r="F151" s="17" t="b">
        <f aca="false">'Raw Data'!S148</f>
        <v>0</v>
      </c>
    </row>
    <row r="152" customFormat="false" ht="15" hidden="false" customHeight="true" outlineLevel="0" collapsed="false">
      <c r="A152" s="12" t="n">
        <f aca="false">'Raw Data'!A149</f>
        <v>41785</v>
      </c>
      <c r="B152" s="32" t="n">
        <f aca="false">'Raw Data'!E149</f>
        <v>32.314773181494</v>
      </c>
      <c r="C152" s="32" t="n">
        <f aca="false">'Raw Data'!F149</f>
        <v>33.4134471542168</v>
      </c>
      <c r="D152" s="15" t="n">
        <f aca="false">'Raw Data'!H149</f>
        <v>-0.0339991237615147</v>
      </c>
      <c r="E152" s="15" t="n">
        <f aca="false">'Raw Data'!I149</f>
        <v>-0.0339991237615146</v>
      </c>
      <c r="F152" s="17" t="b">
        <f aca="false">'Raw Data'!S149</f>
        <v>0</v>
      </c>
    </row>
    <row r="153" customFormat="false" ht="15" hidden="false" customHeight="true" outlineLevel="0" collapsed="false">
      <c r="A153" s="12" t="n">
        <f aca="false">'Raw Data'!A150</f>
        <v>41786</v>
      </c>
      <c r="B153" s="32" t="n">
        <f aca="false">'Raw Data'!E150</f>
        <v>32.1988415106596</v>
      </c>
      <c r="C153" s="32" t="n">
        <f aca="false">'Raw Data'!F150</f>
        <v>33.3897925148308</v>
      </c>
      <c r="D153" s="15" t="n">
        <f aca="false">'Raw Data'!H150</f>
        <v>-0.0369873867597666</v>
      </c>
      <c r="E153" s="15" t="n">
        <f aca="false">'Raw Data'!I150</f>
        <v>-0.0369873867597665</v>
      </c>
      <c r="F153" s="17" t="b">
        <f aca="false">'Raw Data'!S150</f>
        <v>0</v>
      </c>
    </row>
    <row r="154" customFormat="false" ht="15" hidden="false" customHeight="true" outlineLevel="0" collapsed="false">
      <c r="A154" s="12" t="n">
        <f aca="false">'Raw Data'!A151</f>
        <v>41787</v>
      </c>
      <c r="B154" s="32" t="n">
        <f aca="false">'Raw Data'!E151</f>
        <v>32.1573912185073</v>
      </c>
      <c r="C154" s="32" t="n">
        <f aca="false">'Raw Data'!F151</f>
        <v>33.3723835192481</v>
      </c>
      <c r="D154" s="15" t="n">
        <f aca="false">'Raw Data'!H151</f>
        <v>-0.0377826762278358</v>
      </c>
      <c r="E154" s="15" t="n">
        <f aca="false">'Raw Data'!I151</f>
        <v>-0.0377826762278357</v>
      </c>
      <c r="F154" s="17" t="b">
        <f aca="false">'Raw Data'!S151</f>
        <v>0</v>
      </c>
    </row>
    <row r="155" customFormat="false" ht="15" hidden="false" customHeight="true" outlineLevel="0" collapsed="false">
      <c r="A155" s="12" t="n">
        <f aca="false">'Raw Data'!A152</f>
        <v>41788</v>
      </c>
      <c r="B155" s="32" t="n">
        <f aca="false">'Raw Data'!E152</f>
        <v>32.1695764652816</v>
      </c>
      <c r="C155" s="32" t="n">
        <f aca="false">'Raw Data'!F152</f>
        <v>33.3621039849748</v>
      </c>
      <c r="D155" s="15" t="n">
        <f aca="false">'Raw Data'!H152</f>
        <v>-0.0370700410364476</v>
      </c>
      <c r="E155" s="15" t="n">
        <f aca="false">'Raw Data'!I152</f>
        <v>-0.0370700410364476</v>
      </c>
      <c r="F155" s="17" t="b">
        <f aca="false">'Raw Data'!S152</f>
        <v>0</v>
      </c>
    </row>
    <row r="156" customFormat="false" ht="15" hidden="false" customHeight="true" outlineLevel="0" collapsed="false">
      <c r="A156" s="12" t="n">
        <f aca="false">'Raw Data'!A153</f>
        <v>41789</v>
      </c>
      <c r="B156" s="32" t="n">
        <f aca="false">'Raw Data'!E153</f>
        <v>32.1768517839322</v>
      </c>
      <c r="C156" s="32" t="n">
        <f aca="false">'Raw Data'!F153</f>
        <v>33.360048994409</v>
      </c>
      <c r="D156" s="15" t="n">
        <f aca="false">'Raw Data'!H153</f>
        <v>-0.0367716897358991</v>
      </c>
      <c r="E156" s="15" t="n">
        <f aca="false">'Raw Data'!I153</f>
        <v>-0.036771689735899</v>
      </c>
      <c r="F156" s="17" t="b">
        <f aca="false">'Raw Data'!S153</f>
        <v>0</v>
      </c>
    </row>
    <row r="157" customFormat="false" ht="15" hidden="false" customHeight="true" outlineLevel="0" collapsed="false">
      <c r="A157" s="12" t="n">
        <f aca="false">'Raw Data'!A154</f>
        <v>41790</v>
      </c>
      <c r="B157" s="32" t="n">
        <f aca="false">'Raw Data'!E154</f>
        <v>32.1570593622411</v>
      </c>
      <c r="C157" s="32" t="n">
        <f aca="false">'Raw Data'!F154</f>
        <v>33.3560259306959</v>
      </c>
      <c r="D157" s="15" t="n">
        <f aca="false">'Raw Data'!H154</f>
        <v>-0.0372847079998452</v>
      </c>
      <c r="E157" s="15" t="n">
        <f aca="false">'Raw Data'!I154</f>
        <v>-0.0372847079998453</v>
      </c>
      <c r="F157" s="17" t="b">
        <f aca="false">'Raw Data'!S154</f>
        <v>0</v>
      </c>
    </row>
    <row r="158" customFormat="false" ht="15" hidden="false" customHeight="true" outlineLevel="0" collapsed="false">
      <c r="A158" s="12" t="n">
        <f aca="false">'Raw Data'!A155</f>
        <v>41791</v>
      </c>
      <c r="B158" s="32" t="n">
        <f aca="false">'Raw Data'!E155</f>
        <v>32.1410673169352</v>
      </c>
      <c r="C158" s="32" t="n">
        <f aca="false">'Raw Data'!F155</f>
        <v>33.3538187716082</v>
      </c>
      <c r="D158" s="15" t="n">
        <f aca="false">'Raw Data'!H155</f>
        <v>-0.0377321463134479</v>
      </c>
      <c r="E158" s="15" t="n">
        <f aca="false">'Raw Data'!I155</f>
        <v>-0.0377321463134479</v>
      </c>
      <c r="F158" s="17" t="b">
        <f aca="false">'Raw Data'!S155</f>
        <v>0</v>
      </c>
    </row>
    <row r="159" customFormat="false" ht="15" hidden="false" customHeight="true" outlineLevel="0" collapsed="false">
      <c r="A159" s="12" t="n">
        <f aca="false">'Raw Data'!A156</f>
        <v>41792</v>
      </c>
      <c r="B159" s="32" t="n">
        <f aca="false">'Raw Data'!E156</f>
        <v>32.1247130389802</v>
      </c>
      <c r="C159" s="32" t="n">
        <f aca="false">'Raw Data'!F156</f>
        <v>33.3551592608017</v>
      </c>
      <c r="D159" s="15" t="n">
        <f aca="false">'Raw Data'!H156</f>
        <v>-0.0383021700560718</v>
      </c>
      <c r="E159" s="15" t="n">
        <f aca="false">'Raw Data'!I156</f>
        <v>-0.0383021700560717</v>
      </c>
      <c r="F159" s="17" t="b">
        <f aca="false">'Raw Data'!S156</f>
        <v>0</v>
      </c>
    </row>
    <row r="160" customFormat="false" ht="15" hidden="false" customHeight="true" outlineLevel="0" collapsed="false">
      <c r="A160" s="12" t="n">
        <f aca="false">'Raw Data'!A157</f>
        <v>41793</v>
      </c>
      <c r="B160" s="32" t="n">
        <f aca="false">'Raw Data'!E157</f>
        <v>32.1058172701406</v>
      </c>
      <c r="C160" s="32" t="n">
        <f aca="false">'Raw Data'!F157</f>
        <v>33.3477053433633</v>
      </c>
      <c r="D160" s="15" t="n">
        <f aca="false">'Raw Data'!H157</f>
        <v>-0.0386810920517425</v>
      </c>
      <c r="E160" s="15" t="n">
        <f aca="false">'Raw Data'!I157</f>
        <v>-0.0386810920517425</v>
      </c>
      <c r="F160" s="17" t="b">
        <f aca="false">'Raw Data'!S157</f>
        <v>0</v>
      </c>
    </row>
    <row r="161" customFormat="false" ht="15" hidden="false" customHeight="true" outlineLevel="0" collapsed="false">
      <c r="A161" s="12" t="n">
        <f aca="false">'Raw Data'!A158</f>
        <v>41794</v>
      </c>
      <c r="B161" s="32" t="n">
        <f aca="false">'Raw Data'!E158</f>
        <v>32.1659926777295</v>
      </c>
      <c r="C161" s="32" t="n">
        <f aca="false">'Raw Data'!F158</f>
        <v>33.3448643902518</v>
      </c>
      <c r="D161" s="15" t="n">
        <f aca="false">'Raw Data'!H158</f>
        <v>-0.0366496294497561</v>
      </c>
      <c r="E161" s="15" t="n">
        <f aca="false">'Raw Data'!I158</f>
        <v>-0.0366496294497563</v>
      </c>
      <c r="F161" s="17" t="b">
        <f aca="false">'Raw Data'!S158</f>
        <v>0</v>
      </c>
    </row>
    <row r="162" customFormat="false" ht="15" hidden="false" customHeight="true" outlineLevel="0" collapsed="false">
      <c r="A162" s="12" t="n">
        <f aca="false">'Raw Data'!A159</f>
        <v>41795</v>
      </c>
      <c r="B162" s="32" t="n">
        <f aca="false">'Raw Data'!E159</f>
        <v>31.9885679866637</v>
      </c>
      <c r="C162" s="32" t="n">
        <f aca="false">'Raw Data'!F159</f>
        <v>33.343401370995</v>
      </c>
      <c r="D162" s="15" t="n">
        <f aca="false">'Raw Data'!H159</f>
        <v>-0.0423536741280878</v>
      </c>
      <c r="E162" s="15" t="n">
        <f aca="false">'Raw Data'!I159</f>
        <v>-0.0423536741280877</v>
      </c>
      <c r="F162" s="17" t="b">
        <f aca="false">'Raw Data'!S159</f>
        <v>0</v>
      </c>
    </row>
    <row r="163" customFormat="false" ht="15" hidden="false" customHeight="true" outlineLevel="0" collapsed="false">
      <c r="A163" s="12" t="n">
        <f aca="false">'Raw Data'!A160</f>
        <v>41796</v>
      </c>
      <c r="B163" s="32" t="n">
        <f aca="false">'Raw Data'!E160</f>
        <v>31.9953697331989</v>
      </c>
      <c r="C163" s="32" t="n">
        <f aca="false">'Raw Data'!F160</f>
        <v>33.3385407447709</v>
      </c>
      <c r="D163" s="15" t="n">
        <f aca="false">'Raw Data'!H160</f>
        <v>-0.0419801684672623</v>
      </c>
      <c r="E163" s="15" t="n">
        <f aca="false">'Raw Data'!I160</f>
        <v>-0.0419801684672623</v>
      </c>
      <c r="F163" s="17" t="b">
        <f aca="false">'Raw Data'!S160</f>
        <v>0</v>
      </c>
    </row>
    <row r="164" customFormat="false" ht="15" hidden="false" customHeight="true" outlineLevel="0" collapsed="false">
      <c r="A164" s="12" t="n">
        <f aca="false">'Raw Data'!A161</f>
        <v>41797</v>
      </c>
      <c r="B164" s="32" t="n">
        <f aca="false">'Raw Data'!E161</f>
        <v>32.0676548854247</v>
      </c>
      <c r="C164" s="32" t="n">
        <f aca="false">'Raw Data'!F161</f>
        <v>33.3365177221847</v>
      </c>
      <c r="D164" s="15" t="n">
        <f aca="false">'Raw Data'!H161</f>
        <v>-0.0395683077323081</v>
      </c>
      <c r="E164" s="15" t="n">
        <f aca="false">'Raw Data'!I161</f>
        <v>-0.039568307732308</v>
      </c>
      <c r="F164" s="17" t="b">
        <f aca="false">'Raw Data'!S161</f>
        <v>0</v>
      </c>
    </row>
    <row r="165" customFormat="false" ht="15" hidden="false" customHeight="true" outlineLevel="0" collapsed="false">
      <c r="A165" s="12" t="n">
        <f aca="false">'Raw Data'!A162</f>
        <v>41798</v>
      </c>
      <c r="B165" s="32" t="n">
        <f aca="false">'Raw Data'!E162</f>
        <v>32.0974956284242</v>
      </c>
      <c r="C165" s="32" t="n">
        <f aca="false">'Raw Data'!F162</f>
        <v>33.3368746913279</v>
      </c>
      <c r="D165" s="15" t="n">
        <f aca="false">'Raw Data'!H162</f>
        <v>-0.0386129521521325</v>
      </c>
      <c r="E165" s="15" t="n">
        <f aca="false">'Raw Data'!I162</f>
        <v>-0.0386129521521324</v>
      </c>
      <c r="F165" s="17" t="b">
        <f aca="false">'Raw Data'!S162</f>
        <v>0</v>
      </c>
    </row>
    <row r="166" customFormat="false" ht="15" hidden="false" customHeight="true" outlineLevel="0" collapsed="false">
      <c r="A166" s="12" t="n">
        <f aca="false">'Raw Data'!A163</f>
        <v>41799</v>
      </c>
      <c r="B166" s="32" t="n">
        <f aca="false">'Raw Data'!E163</f>
        <v>32.4168281281396</v>
      </c>
      <c r="C166" s="32" t="n">
        <f aca="false">'Raw Data'!F163</f>
        <v>33.3366458572466</v>
      </c>
      <c r="D166" s="15" t="n">
        <f aca="false">'Raw Data'!H163</f>
        <v>-0.0283746986432816</v>
      </c>
      <c r="E166" s="15" t="n">
        <f aca="false">'Raw Data'!I163</f>
        <v>-0.0283746986432814</v>
      </c>
      <c r="F166" s="17" t="b">
        <f aca="false">'Raw Data'!S163</f>
        <v>0</v>
      </c>
    </row>
    <row r="167" customFormat="false" ht="15" hidden="false" customHeight="true" outlineLevel="0" collapsed="false">
      <c r="A167" s="12" t="n">
        <f aca="false">'Raw Data'!A164</f>
        <v>41800</v>
      </c>
      <c r="B167" s="32" t="n">
        <f aca="false">'Raw Data'!E164</f>
        <v>32.1554586256923</v>
      </c>
      <c r="C167" s="32" t="n">
        <f aca="false">'Raw Data'!F164</f>
        <v>33.3369952200276</v>
      </c>
      <c r="D167" s="15" t="n">
        <f aca="false">'Raw Data'!H164</f>
        <v>-0.0367445107248849</v>
      </c>
      <c r="E167" s="15" t="n">
        <f aca="false">'Raw Data'!I164</f>
        <v>-0.0367445107248849</v>
      </c>
      <c r="F167" s="17" t="b">
        <f aca="false">'Raw Data'!S164</f>
        <v>0</v>
      </c>
    </row>
    <row r="168" customFormat="false" ht="15" hidden="false" customHeight="true" outlineLevel="0" collapsed="false">
      <c r="A168" s="12" t="n">
        <f aca="false">'Raw Data'!A165</f>
        <v>41801</v>
      </c>
      <c r="B168" s="32" t="n">
        <f aca="false">'Raw Data'!E165</f>
        <v>32.1099640477914</v>
      </c>
      <c r="C168" s="32" t="n">
        <f aca="false">'Raw Data'!F165</f>
        <v>33.3355315966531</v>
      </c>
      <c r="D168" s="15" t="n">
        <f aca="false">'Raw Data'!H165</f>
        <v>-0.0381678268788314</v>
      </c>
      <c r="E168" s="15" t="n">
        <f aca="false">'Raw Data'!I165</f>
        <v>-0.0381678268788314</v>
      </c>
      <c r="F168" s="17" t="b">
        <f aca="false">'Raw Data'!S165</f>
        <v>0</v>
      </c>
    </row>
    <row r="169" customFormat="false" ht="15" hidden="false" customHeight="true" outlineLevel="0" collapsed="false">
      <c r="A169" s="12" t="n">
        <f aca="false">'Raw Data'!A166</f>
        <v>41802</v>
      </c>
      <c r="B169" s="32" t="n">
        <f aca="false">'Raw Data'!E166</f>
        <v>32.1360019762933</v>
      </c>
      <c r="C169" s="32" t="n">
        <f aca="false">'Raw Data'!F166</f>
        <v>33.337243737679</v>
      </c>
      <c r="D169" s="15" t="n">
        <f aca="false">'Raw Data'!H166</f>
        <v>-0.0373799379982586</v>
      </c>
      <c r="E169" s="15" t="n">
        <f aca="false">'Raw Data'!I166</f>
        <v>-0.0373799379982586</v>
      </c>
      <c r="F169" s="17" t="b">
        <f aca="false">'Raw Data'!S166</f>
        <v>0</v>
      </c>
    </row>
    <row r="170" customFormat="false" ht="15" hidden="false" customHeight="true" outlineLevel="0" collapsed="false">
      <c r="A170" s="12" t="n">
        <f aca="false">'Raw Data'!A167</f>
        <v>41803</v>
      </c>
      <c r="B170" s="32" t="n">
        <f aca="false">'Raw Data'!E167</f>
        <v>32.1358676841902</v>
      </c>
      <c r="C170" s="32" t="n">
        <f aca="false">'Raw Data'!F167</f>
        <v>33.334284837976</v>
      </c>
      <c r="D170" s="15" t="n">
        <f aca="false">'Raw Data'!H167</f>
        <v>-0.0372921984109178</v>
      </c>
      <c r="E170" s="15" t="n">
        <f aca="false">'Raw Data'!I167</f>
        <v>-0.0372921984109177</v>
      </c>
      <c r="F170" s="17" t="b">
        <f aca="false">'Raw Data'!S167</f>
        <v>0</v>
      </c>
    </row>
    <row r="171" customFormat="false" ht="15" hidden="false" customHeight="true" outlineLevel="0" collapsed="false">
      <c r="A171" s="12" t="n">
        <f aca="false">'Raw Data'!A168</f>
        <v>41804</v>
      </c>
      <c r="B171" s="32" t="n">
        <f aca="false">'Raw Data'!E168</f>
        <v>32.1075452124075</v>
      </c>
      <c r="C171" s="32" t="n">
        <f aca="false">'Raw Data'!F168</f>
        <v>33.3764186025388</v>
      </c>
      <c r="D171" s="15" t="n">
        <f aca="false">'Raw Data'!H168</f>
        <v>-0.0395194768624341</v>
      </c>
      <c r="E171" s="15" t="n">
        <f aca="false">'Raw Data'!I168</f>
        <v>-0.0395194768624342</v>
      </c>
      <c r="F171" s="17" t="b">
        <f aca="false">'Raw Data'!S168</f>
        <v>0</v>
      </c>
    </row>
    <row r="172" customFormat="false" ht="15" hidden="false" customHeight="true" outlineLevel="0" collapsed="false">
      <c r="A172" s="12" t="n">
        <f aca="false">'Raw Data'!A169</f>
        <v>41805</v>
      </c>
      <c r="B172" s="32" t="n">
        <f aca="false">'Raw Data'!E169</f>
        <v>32.074398709068</v>
      </c>
      <c r="C172" s="32" t="n">
        <f aca="false">'Raw Data'!F169</f>
        <v>33.4078146540457</v>
      </c>
      <c r="D172" s="15" t="n">
        <f aca="false">'Raw Data'!H169</f>
        <v>-0.0415725936773597</v>
      </c>
      <c r="E172" s="15" t="n">
        <f aca="false">'Raw Data'!I169</f>
        <v>-0.0415725936773597</v>
      </c>
      <c r="F172" s="17" t="b">
        <f aca="false">'Raw Data'!S169</f>
        <v>0</v>
      </c>
    </row>
    <row r="173" customFormat="false" ht="15" hidden="false" customHeight="true" outlineLevel="0" collapsed="false">
      <c r="A173" s="12" t="n">
        <f aca="false">'Raw Data'!A170</f>
        <v>41806</v>
      </c>
      <c r="B173" s="32" t="n">
        <f aca="false">'Raw Data'!E170</f>
        <v>32.0674283024697</v>
      </c>
      <c r="C173" s="32" t="n">
        <f aca="false">'Raw Data'!F170</f>
        <v>33.4036481280602</v>
      </c>
      <c r="D173" s="15" t="n">
        <f aca="false">'Raw Data'!H170</f>
        <v>-0.0416690672225678</v>
      </c>
      <c r="E173" s="15" t="n">
        <f aca="false">'Raw Data'!I170</f>
        <v>-0.041669067222568</v>
      </c>
      <c r="F173" s="17" t="b">
        <f aca="false">'Raw Data'!S170</f>
        <v>0</v>
      </c>
    </row>
    <row r="174" customFormat="false" ht="15" hidden="false" customHeight="true" outlineLevel="0" collapsed="false">
      <c r="A174" s="12" t="n">
        <f aca="false">'Raw Data'!A171</f>
        <v>41807</v>
      </c>
      <c r="B174" s="32" t="n">
        <f aca="false">'Raw Data'!E171</f>
        <v>32.0698898393866</v>
      </c>
      <c r="C174" s="32" t="n">
        <f aca="false">'Raw Data'!F171</f>
        <v>33.3841443029614</v>
      </c>
      <c r="D174" s="15" t="n">
        <f aca="false">'Raw Data'!H171</f>
        <v>-0.0409809472423151</v>
      </c>
      <c r="E174" s="15" t="n">
        <f aca="false">'Raw Data'!I171</f>
        <v>-0.0409809472423152</v>
      </c>
      <c r="F174" s="17" t="b">
        <f aca="false">'Raw Data'!S171</f>
        <v>0</v>
      </c>
    </row>
    <row r="175" customFormat="false" ht="15" hidden="false" customHeight="true" outlineLevel="0" collapsed="false">
      <c r="A175" s="12" t="n">
        <f aca="false">'Raw Data'!A172</f>
        <v>41808</v>
      </c>
      <c r="B175" s="32" t="n">
        <f aca="false">'Raw Data'!E172</f>
        <v>32.0340216309979</v>
      </c>
      <c r="C175" s="32" t="n">
        <f aca="false">'Raw Data'!F172</f>
        <v>33.3896924282124</v>
      </c>
      <c r="D175" s="15" t="n">
        <f aca="false">'Raw Data'!H172</f>
        <v>-0.0423197191046011</v>
      </c>
      <c r="E175" s="15" t="n">
        <f aca="false">'Raw Data'!I172</f>
        <v>-0.0423197191046013</v>
      </c>
      <c r="F175" s="17" t="b">
        <f aca="false">'Raw Data'!S172</f>
        <v>0</v>
      </c>
    </row>
    <row r="176" customFormat="false" ht="15" hidden="false" customHeight="true" outlineLevel="0" collapsed="false">
      <c r="A176" s="12" t="n">
        <f aca="false">'Raw Data'!A173</f>
        <v>41809</v>
      </c>
      <c r="B176" s="32" t="n">
        <f aca="false">'Raw Data'!E173</f>
        <v>31.7875394515873</v>
      </c>
      <c r="C176" s="32" t="n">
        <f aca="false">'Raw Data'!F173</f>
        <v>33.4108495707324</v>
      </c>
      <c r="D176" s="15" t="n">
        <f aca="false">'Raw Data'!H173</f>
        <v>-0.0510674983704649</v>
      </c>
      <c r="E176" s="15" t="n">
        <f aca="false">'Raw Data'!I173</f>
        <v>-0.051067498370465</v>
      </c>
      <c r="F176" s="17" t="b">
        <f aca="false">'Raw Data'!S173</f>
        <v>0</v>
      </c>
    </row>
    <row r="177" customFormat="false" ht="15" hidden="false" customHeight="true" outlineLevel="0" collapsed="false">
      <c r="A177" s="12" t="n">
        <f aca="false">'Raw Data'!A174</f>
        <v>41810</v>
      </c>
      <c r="B177" s="32" t="n">
        <f aca="false">'Raw Data'!E174</f>
        <v>33.2023342008727</v>
      </c>
      <c r="C177" s="32" t="n">
        <f aca="false">'Raw Data'!F174</f>
        <v>33.5595102269525</v>
      </c>
      <c r="D177" s="15" t="n">
        <f aca="false">'Raw Data'!H174</f>
        <v>-0.0107575577041947</v>
      </c>
      <c r="E177" s="15" t="n">
        <f aca="false">'Raw Data'!I174</f>
        <v>-0.0107575577041948</v>
      </c>
      <c r="F177" s="17" t="b">
        <f aca="false">'Raw Data'!S174</f>
        <v>0</v>
      </c>
    </row>
    <row r="178" customFormat="false" ht="15" hidden="false" customHeight="true" outlineLevel="0" collapsed="false">
      <c r="A178" s="12" t="n">
        <f aca="false">'Raw Data'!A175</f>
        <v>41811</v>
      </c>
      <c r="B178" s="32" t="n">
        <f aca="false">'Raw Data'!E175</f>
        <v>33.0052336576457</v>
      </c>
      <c r="C178" s="32" t="n">
        <f aca="false">'Raw Data'!F175</f>
        <v>33.5852804080289</v>
      </c>
      <c r="D178" s="15" t="n">
        <f aca="false">'Raw Data'!H175</f>
        <v>-0.0175743870320651</v>
      </c>
      <c r="E178" s="15" t="n">
        <f aca="false">'Raw Data'!I175</f>
        <v>-0.017574387032065</v>
      </c>
      <c r="F178" s="17" t="b">
        <f aca="false">'Raw Data'!S175</f>
        <v>0</v>
      </c>
    </row>
    <row r="179" customFormat="false" ht="15" hidden="false" customHeight="true" outlineLevel="0" collapsed="false">
      <c r="A179" s="12" t="n">
        <f aca="false">'Raw Data'!A176</f>
        <v>41812</v>
      </c>
      <c r="B179" s="32" t="n">
        <f aca="false">'Raw Data'!E176</f>
        <v>33.6100844251448</v>
      </c>
      <c r="C179" s="32" t="n">
        <f aca="false">'Raw Data'!F176</f>
        <v>33.7166941531834</v>
      </c>
      <c r="D179" s="15" t="n">
        <f aca="false">'Raw Data'!H176</f>
        <v>-0.00317195656785734</v>
      </c>
      <c r="E179" s="15" t="n">
        <f aca="false">'Raw Data'!I176</f>
        <v>-0.00317195656785734</v>
      </c>
      <c r="F179" s="17" t="b">
        <f aca="false">'Raw Data'!S176</f>
        <v>0</v>
      </c>
    </row>
    <row r="180" customFormat="false" ht="15" hidden="false" customHeight="true" outlineLevel="0" collapsed="false">
      <c r="A180" s="12" t="n">
        <f aca="false">'Raw Data'!A177</f>
        <v>41813</v>
      </c>
      <c r="B180" s="32" t="n">
        <f aca="false">'Raw Data'!E177</f>
        <v>33.4619429578917</v>
      </c>
      <c r="C180" s="32" t="n">
        <f aca="false">'Raw Data'!F177</f>
        <v>33.6815937309656</v>
      </c>
      <c r="D180" s="15" t="n">
        <f aca="false">'Raw Data'!H177</f>
        <v>-0.00656419662630679</v>
      </c>
      <c r="E180" s="15" t="n">
        <f aca="false">'Raw Data'!I177</f>
        <v>-0.00656419662630688</v>
      </c>
      <c r="F180" s="17" t="b">
        <f aca="false">'Raw Data'!S177</f>
        <v>0</v>
      </c>
    </row>
    <row r="181" customFormat="false" ht="15" hidden="false" customHeight="true" outlineLevel="0" collapsed="false">
      <c r="A181" s="12" t="n">
        <f aca="false">'Raw Data'!A178</f>
        <v>41814</v>
      </c>
      <c r="B181" s="32" t="n">
        <f aca="false">'Raw Data'!E178</f>
        <v>35.0455395051581</v>
      </c>
      <c r="C181" s="32" t="n">
        <f aca="false">'Raw Data'!F178</f>
        <v>33.7144835102228</v>
      </c>
      <c r="D181" s="15" t="n">
        <f aca="false">'Raw Data'!H178</f>
        <v>0.0379807534348104</v>
      </c>
      <c r="E181" s="15" t="n">
        <f aca="false">'Raw Data'!I178</f>
        <v>0.0379807534348103</v>
      </c>
      <c r="F181" s="17" t="b">
        <f aca="false">'Raw Data'!S178</f>
        <v>0</v>
      </c>
    </row>
    <row r="182" customFormat="false" ht="15" hidden="false" customHeight="true" outlineLevel="0" collapsed="false">
      <c r="A182" s="12" t="n">
        <f aca="false">'Raw Data'!A179</f>
        <v>41815</v>
      </c>
      <c r="B182" s="32" t="n">
        <f aca="false">'Raw Data'!E179</f>
        <v>35.0265725747225</v>
      </c>
      <c r="C182" s="32" t="n">
        <f aca="false">'Raw Data'!F179</f>
        <v>33.6822346227593</v>
      </c>
      <c r="D182" s="15" t="n">
        <f aca="false">'Raw Data'!H179</f>
        <v>0.038380516651902</v>
      </c>
      <c r="E182" s="15" t="n">
        <f aca="false">'Raw Data'!I179</f>
        <v>0.038380516651902</v>
      </c>
      <c r="F182" s="17" t="b">
        <f aca="false">'Raw Data'!S179</f>
        <v>0</v>
      </c>
    </row>
    <row r="183" customFormat="false" ht="15" hidden="false" customHeight="true" outlineLevel="0" collapsed="false">
      <c r="A183" s="12" t="n">
        <f aca="false">'Raw Data'!A180</f>
        <v>41816</v>
      </c>
      <c r="B183" s="32" t="n">
        <f aca="false">'Raw Data'!E180</f>
        <v>35.0381328218221</v>
      </c>
      <c r="C183" s="32" t="n">
        <f aca="false">'Raw Data'!F180</f>
        <v>33.7237695948811</v>
      </c>
      <c r="D183" s="15" t="n">
        <f aca="false">'Raw Data'!H180</f>
        <v>0.0375123649888789</v>
      </c>
      <c r="E183" s="15" t="n">
        <f aca="false">'Raw Data'!I180</f>
        <v>0.0375123649888789</v>
      </c>
      <c r="F183" s="17" t="b">
        <f aca="false">'Raw Data'!S180</f>
        <v>0</v>
      </c>
    </row>
    <row r="184" customFormat="false" ht="15" hidden="false" customHeight="true" outlineLevel="0" collapsed="false">
      <c r="A184" s="12" t="n">
        <f aca="false">'Raw Data'!A181</f>
        <v>41817</v>
      </c>
      <c r="B184" s="32" t="n">
        <f aca="false">'Raw Data'!E181</f>
        <v>35.0415637980284</v>
      </c>
      <c r="C184" s="32" t="n">
        <f aca="false">'Raw Data'!F181</f>
        <v>33.8660354175902</v>
      </c>
      <c r="D184" s="15" t="n">
        <f aca="false">'Raw Data'!H181</f>
        <v>0.0335466872201748</v>
      </c>
      <c r="E184" s="15" t="n">
        <f aca="false">'Raw Data'!I181</f>
        <v>0.0335466872201748</v>
      </c>
      <c r="F184" s="17" t="b">
        <f aca="false">'Raw Data'!S181</f>
        <v>0</v>
      </c>
    </row>
    <row r="185" customFormat="false" ht="15" hidden="false" customHeight="true" outlineLevel="0" collapsed="false">
      <c r="A185" s="12" t="n">
        <f aca="false">'Raw Data'!A182</f>
        <v>41818</v>
      </c>
      <c r="B185" s="32" t="n">
        <f aca="false">'Raw Data'!E182</f>
        <v>35.0357326394901</v>
      </c>
      <c r="C185" s="32" t="n">
        <f aca="false">'Raw Data'!F182</f>
        <v>33.7996954486697</v>
      </c>
      <c r="D185" s="15" t="n">
        <f aca="false">'Raw Data'!H182</f>
        <v>0.0352793304920711</v>
      </c>
      <c r="E185" s="15" t="n">
        <f aca="false">'Raw Data'!I182</f>
        <v>0.0352793304920711</v>
      </c>
      <c r="F185" s="17" t="b">
        <f aca="false">'Raw Data'!S182</f>
        <v>0</v>
      </c>
    </row>
    <row r="186" customFormat="false" ht="15" hidden="false" customHeight="true" outlineLevel="0" collapsed="false">
      <c r="A186" s="12" t="n">
        <f aca="false">'Raw Data'!A183</f>
        <v>41819</v>
      </c>
      <c r="B186" s="32" t="n">
        <f aca="false">'Raw Data'!E183</f>
        <v>35.0302400750457</v>
      </c>
      <c r="C186" s="32" t="n">
        <f aca="false">'Raw Data'!F183</f>
        <v>33.9073757544399</v>
      </c>
      <c r="D186" s="15" t="n">
        <f aca="false">'Raw Data'!H183</f>
        <v>0.0320541428834149</v>
      </c>
      <c r="E186" s="15" t="n">
        <f aca="false">'Raw Data'!I183</f>
        <v>0.0320541428834149</v>
      </c>
      <c r="F186" s="17" t="b">
        <f aca="false">'Raw Data'!S183</f>
        <v>0</v>
      </c>
    </row>
    <row r="187" customFormat="false" ht="15" hidden="false" customHeight="true" outlineLevel="0" collapsed="false">
      <c r="A187" s="12" t="n">
        <f aca="false">'Raw Data'!A184</f>
        <v>41820</v>
      </c>
      <c r="B187" s="32" t="n">
        <f aca="false">'Raw Data'!E184</f>
        <v>35.037367885964</v>
      </c>
      <c r="C187" s="32" t="n">
        <f aca="false">'Raw Data'!F184</f>
        <v>33.7928054220391</v>
      </c>
      <c r="D187" s="15" t="n">
        <f aca="false">'Raw Data'!H184</f>
        <v>0.0355210034034406</v>
      </c>
      <c r="E187" s="15" t="n">
        <f aca="false">'Raw Data'!I184</f>
        <v>0.0355210034034407</v>
      </c>
      <c r="F187" s="17" t="b">
        <f aca="false">'Raw Data'!S184</f>
        <v>0</v>
      </c>
    </row>
    <row r="188" customFormat="false" ht="15" hidden="false" customHeight="true" outlineLevel="0" collapsed="false">
      <c r="A188" s="12" t="n">
        <f aca="false">'Raw Data'!A185</f>
        <v>41821</v>
      </c>
      <c r="B188" s="32" t="n">
        <f aca="false">'Raw Data'!E185</f>
        <v>35.0346162465509</v>
      </c>
      <c r="C188" s="32" t="n">
        <f aca="false">'Raw Data'!F185</f>
        <v>33.801851239725</v>
      </c>
      <c r="D188" s="15" t="n">
        <f aca="false">'Raw Data'!H185</f>
        <v>0.0351870560862</v>
      </c>
      <c r="E188" s="15" t="n">
        <f aca="false">'Raw Data'!I185</f>
        <v>0.0351870560862</v>
      </c>
      <c r="F188" s="17" t="b">
        <f aca="false">'Raw Data'!S185</f>
        <v>0</v>
      </c>
    </row>
    <row r="189" customFormat="false" ht="15" hidden="false" customHeight="true" outlineLevel="0" collapsed="false">
      <c r="A189" s="12" t="n">
        <f aca="false">'Raw Data'!A186</f>
        <v>41822</v>
      </c>
      <c r="B189" s="32" t="n">
        <f aca="false">'Raw Data'!E186</f>
        <v>35.0370254969197</v>
      </c>
      <c r="C189" s="32" t="n">
        <f aca="false">'Raw Data'!F186</f>
        <v>33.9851946540924</v>
      </c>
      <c r="D189" s="15" t="n">
        <f aca="false">'Raw Data'!H186</f>
        <v>0.0300205519135686</v>
      </c>
      <c r="E189" s="15" t="n">
        <f aca="false">'Raw Data'!I186</f>
        <v>0.0300205519135687</v>
      </c>
      <c r="F189" s="17" t="b">
        <f aca="false">'Raw Data'!S186</f>
        <v>0</v>
      </c>
    </row>
    <row r="190" customFormat="false" ht="15" hidden="false" customHeight="true" outlineLevel="0" collapsed="false">
      <c r="A190" s="12" t="n">
        <f aca="false">'Raw Data'!A187</f>
        <v>41823</v>
      </c>
      <c r="B190" s="32" t="n">
        <f aca="false">'Raw Data'!E187</f>
        <v>35.0395701855682</v>
      </c>
      <c r="C190" s="32" t="n">
        <f aca="false">'Raw Data'!F187</f>
        <v>34.0933969469995</v>
      </c>
      <c r="D190" s="15" t="n">
        <f aca="false">'Raw Data'!H187</f>
        <v>0.0270029921473879</v>
      </c>
      <c r="E190" s="15" t="n">
        <f aca="false">'Raw Data'!I187</f>
        <v>0.0270029921473877</v>
      </c>
      <c r="F190" s="17" t="b">
        <f aca="false">'Raw Data'!S187</f>
        <v>0</v>
      </c>
    </row>
    <row r="191" customFormat="false" ht="15" hidden="false" customHeight="true" outlineLevel="0" collapsed="false">
      <c r="A191" s="12" t="n">
        <f aca="false">'Raw Data'!A188</f>
        <v>41824</v>
      </c>
      <c r="B191" s="32" t="n">
        <f aca="false">'Raw Data'!E188</f>
        <v>35.0437856034086</v>
      </c>
      <c r="C191" s="32" t="n">
        <f aca="false">'Raw Data'!F188</f>
        <v>34.0919163941505</v>
      </c>
      <c r="D191" s="15" t="n">
        <f aca="false">'Raw Data'!H188</f>
        <v>0.0271622826377966</v>
      </c>
      <c r="E191" s="15" t="n">
        <f aca="false">'Raw Data'!I188</f>
        <v>0.0271622826377967</v>
      </c>
      <c r="F191" s="17" t="b">
        <f aca="false">'Raw Data'!S188</f>
        <v>0</v>
      </c>
    </row>
    <row r="192" customFormat="false" ht="15" hidden="false" customHeight="true" outlineLevel="0" collapsed="false">
      <c r="A192" s="12" t="n">
        <f aca="false">'Raw Data'!A189</f>
        <v>41825</v>
      </c>
      <c r="B192" s="32" t="n">
        <f aca="false">'Raw Data'!E189</f>
        <v>35.0409129375109</v>
      </c>
      <c r="C192" s="32" t="n">
        <f aca="false">'Raw Data'!F189</f>
        <v>34.0970574150361</v>
      </c>
      <c r="D192" s="15" t="n">
        <f aca="false">'Raw Data'!H189</f>
        <v>0.0269358142625445</v>
      </c>
      <c r="E192" s="15" t="n">
        <f aca="false">'Raw Data'!I189</f>
        <v>0.0269358142625446</v>
      </c>
      <c r="F192" s="17" t="b">
        <f aca="false">'Raw Data'!S189</f>
        <v>0</v>
      </c>
    </row>
    <row r="193" customFormat="false" ht="15" hidden="false" customHeight="true" outlineLevel="0" collapsed="false">
      <c r="A193" s="12" t="n">
        <f aca="false">'Raw Data'!A190</f>
        <v>41826</v>
      </c>
      <c r="B193" s="32" t="n">
        <f aca="false">'Raw Data'!E190</f>
        <v>35.0414989870886</v>
      </c>
      <c r="C193" s="32" t="n">
        <f aca="false">'Raw Data'!F190</f>
        <v>34.0920290756687</v>
      </c>
      <c r="D193" s="15" t="n">
        <f aca="false">'Raw Data'!H190</f>
        <v>0.0270955849168933</v>
      </c>
      <c r="E193" s="15" t="n">
        <f aca="false">'Raw Data'!I190</f>
        <v>0.0270955849168933</v>
      </c>
      <c r="F193" s="17" t="b">
        <f aca="false">'Raw Data'!S190</f>
        <v>0</v>
      </c>
    </row>
    <row r="194" customFormat="false" ht="15" hidden="false" customHeight="true" outlineLevel="0" collapsed="false">
      <c r="A194" s="12" t="n">
        <f aca="false">'Raw Data'!A191</f>
        <v>41827</v>
      </c>
      <c r="B194" s="32" t="n">
        <f aca="false">'Raw Data'!E191</f>
        <v>35.0373234811851</v>
      </c>
      <c r="C194" s="32" t="n">
        <f aca="false">'Raw Data'!F191</f>
        <v>34.0573875709975</v>
      </c>
      <c r="D194" s="15" t="n">
        <f aca="false">'Raw Data'!H191</f>
        <v>0.0279683438352204</v>
      </c>
      <c r="E194" s="15" t="n">
        <f aca="false">'Raw Data'!I191</f>
        <v>0.0279683438352204</v>
      </c>
      <c r="F194" s="17" t="b">
        <f aca="false">'Raw Data'!S191</f>
        <v>0</v>
      </c>
    </row>
    <row r="195" customFormat="false" ht="15" hidden="false" customHeight="true" outlineLevel="0" collapsed="false">
      <c r="A195" s="12" t="n">
        <f aca="false">'Raw Data'!A192</f>
        <v>41828</v>
      </c>
      <c r="B195" s="32" t="n">
        <f aca="false">'Raw Data'!E192</f>
        <v>35.0411773863477</v>
      </c>
      <c r="C195" s="32" t="n">
        <f aca="false">'Raw Data'!F192</f>
        <v>34.0573044710313</v>
      </c>
      <c r="D195" s="15" t="n">
        <f aca="false">'Raw Data'!H192</f>
        <v>0.0280776214928107</v>
      </c>
      <c r="E195" s="15" t="n">
        <f aca="false">'Raw Data'!I192</f>
        <v>0.0280776214928108</v>
      </c>
      <c r="F195" s="17" t="b">
        <f aca="false">'Raw Data'!S192</f>
        <v>0</v>
      </c>
    </row>
    <row r="196" customFormat="false" ht="15" hidden="false" customHeight="true" outlineLevel="0" collapsed="false">
      <c r="A196" s="12" t="n">
        <f aca="false">'Raw Data'!A193</f>
        <v>41829</v>
      </c>
      <c r="B196" s="32" t="n">
        <f aca="false">'Raw Data'!E193</f>
        <v>35.033236920129</v>
      </c>
      <c r="C196" s="32" t="n">
        <f aca="false">'Raw Data'!F193</f>
        <v>34.0456078132615</v>
      </c>
      <c r="D196" s="15" t="n">
        <f aca="false">'Raw Data'!H193</f>
        <v>0.0281912033740745</v>
      </c>
      <c r="E196" s="15" t="n">
        <f aca="false">'Raw Data'!I193</f>
        <v>0.0281912033740744</v>
      </c>
      <c r="F196" s="17" t="b">
        <f aca="false">'Raw Data'!S193</f>
        <v>0</v>
      </c>
    </row>
    <row r="197" customFormat="false" ht="15" hidden="false" customHeight="true" outlineLevel="0" collapsed="false">
      <c r="A197" s="12" t="n">
        <f aca="false">'Raw Data'!A194</f>
        <v>41830</v>
      </c>
      <c r="B197" s="32" t="n">
        <f aca="false">'Raw Data'!E194</f>
        <v>35.0399460018297</v>
      </c>
      <c r="C197" s="32" t="n">
        <f aca="false">'Raw Data'!F194</f>
        <v>34.120947119591</v>
      </c>
      <c r="D197" s="15" t="n">
        <f aca="false">'Raw Data'!H194</f>
        <v>0.0262271774674176</v>
      </c>
      <c r="E197" s="15" t="n">
        <f aca="false">'Raw Data'!I194</f>
        <v>0.0262271774674176</v>
      </c>
      <c r="F197" s="17" t="b">
        <f aca="false">'Raw Data'!S194</f>
        <v>0</v>
      </c>
    </row>
    <row r="198" customFormat="false" ht="15" hidden="false" customHeight="true" outlineLevel="0" collapsed="false">
      <c r="A198" s="12" t="n">
        <f aca="false">'Raw Data'!A195</f>
        <v>41831</v>
      </c>
      <c r="B198" s="32" t="n">
        <f aca="false">'Raw Data'!E195</f>
        <v>35.0374089577719</v>
      </c>
      <c r="C198" s="32" t="n">
        <f aca="false">'Raw Data'!F195</f>
        <v>34.1524869841956</v>
      </c>
      <c r="D198" s="15" t="n">
        <f aca="false">'Raw Data'!H195</f>
        <v>0.0252564901315283</v>
      </c>
      <c r="E198" s="15" t="n">
        <f aca="false">'Raw Data'!I195</f>
        <v>0.0252564901315284</v>
      </c>
      <c r="F198" s="17" t="b">
        <f aca="false">'Raw Data'!S195</f>
        <v>0</v>
      </c>
    </row>
    <row r="199" customFormat="false" ht="15" hidden="false" customHeight="true" outlineLevel="0" collapsed="false">
      <c r="A199" s="12" t="n">
        <f aca="false">'Raw Data'!A196</f>
        <v>41832</v>
      </c>
      <c r="B199" s="32" t="n">
        <f aca="false">'Raw Data'!E196</f>
        <v>35.0431696092519</v>
      </c>
      <c r="C199" s="32" t="n">
        <f aca="false">'Raw Data'!F196</f>
        <v>34.1293673889931</v>
      </c>
      <c r="D199" s="15" t="n">
        <f aca="false">'Raw Data'!H196</f>
        <v>0.026076471690434</v>
      </c>
      <c r="E199" s="15" t="n">
        <f aca="false">'Raw Data'!I196</f>
        <v>0.0260764716904339</v>
      </c>
      <c r="F199" s="17" t="b">
        <f aca="false">'Raw Data'!S196</f>
        <v>0</v>
      </c>
    </row>
    <row r="200" customFormat="false" ht="15" hidden="false" customHeight="true" outlineLevel="0" collapsed="false">
      <c r="A200" s="12" t="n">
        <f aca="false">'Raw Data'!A197</f>
        <v>41833</v>
      </c>
      <c r="B200" s="32" t="n">
        <f aca="false">'Raw Data'!E197</f>
        <v>35.0283523607616</v>
      </c>
      <c r="C200" s="32" t="n">
        <f aca="false">'Raw Data'!F197</f>
        <v>34.0876032374956</v>
      </c>
      <c r="D200" s="15" t="n">
        <f aca="false">'Raw Data'!H197</f>
        <v>0.02685679056717</v>
      </c>
      <c r="E200" s="15" t="n">
        <f aca="false">'Raw Data'!I197</f>
        <v>0.02685679056717</v>
      </c>
      <c r="F200" s="17" t="b">
        <f aca="false">'Raw Data'!S197</f>
        <v>0</v>
      </c>
    </row>
    <row r="201" customFormat="false" ht="15" hidden="false" customHeight="true" outlineLevel="0" collapsed="false">
      <c r="A201" s="12" t="n">
        <f aca="false">'Raw Data'!A198</f>
        <v>41834</v>
      </c>
      <c r="B201" s="32" t="n">
        <f aca="false">'Raw Data'!E198</f>
        <v>35.0462922132642</v>
      </c>
      <c r="C201" s="32" t="n">
        <f aca="false">'Raw Data'!F198</f>
        <v>34.1206167334584</v>
      </c>
      <c r="D201" s="15" t="n">
        <f aca="false">'Raw Data'!H198</f>
        <v>0.0264129361865997</v>
      </c>
      <c r="E201" s="15" t="n">
        <f aca="false">'Raw Data'!I198</f>
        <v>0.0264129361865997</v>
      </c>
      <c r="F201" s="17" t="b">
        <f aca="false">'Raw Data'!S198</f>
        <v>0</v>
      </c>
    </row>
    <row r="202" customFormat="false" ht="15" hidden="false" customHeight="true" outlineLevel="0" collapsed="false">
      <c r="A202" s="12" t="n">
        <f aca="false">'Raw Data'!A199</f>
        <v>41835</v>
      </c>
      <c r="B202" s="32" t="n">
        <f aca="false">'Raw Data'!E199</f>
        <v>35.0343818850669</v>
      </c>
      <c r="C202" s="32" t="n">
        <f aca="false">'Raw Data'!F199</f>
        <v>34.1287741269418</v>
      </c>
      <c r="D202" s="15" t="n">
        <f aca="false">'Raw Data'!H199</f>
        <v>0.0258491147666318</v>
      </c>
      <c r="E202" s="15" t="n">
        <f aca="false">'Raw Data'!I199</f>
        <v>0.025849114766632</v>
      </c>
      <c r="F202" s="17" t="b">
        <f aca="false">'Raw Data'!S199</f>
        <v>0</v>
      </c>
    </row>
    <row r="203" customFormat="false" ht="15" hidden="false" customHeight="true" outlineLevel="0" collapsed="false">
      <c r="A203" s="12" t="n">
        <f aca="false">'Raw Data'!A200</f>
        <v>41836</v>
      </c>
      <c r="B203" s="32" t="n">
        <f aca="false">'Raw Data'!E200</f>
        <v>32.4428365192583</v>
      </c>
      <c r="C203" s="32" t="n">
        <f aca="false">'Raw Data'!F200</f>
        <v>34.122560411914</v>
      </c>
      <c r="D203" s="15" t="n">
        <f aca="false">'Raw Data'!H200</f>
        <v>-0.0517748776885982</v>
      </c>
      <c r="E203" s="15" t="n">
        <f aca="false">'Raw Data'!I200</f>
        <v>-0.0517748776885981</v>
      </c>
      <c r="F203" s="17" t="b">
        <f aca="false">'Raw Data'!S200</f>
        <v>1</v>
      </c>
    </row>
    <row r="204" customFormat="false" ht="15" hidden="false" customHeight="true" outlineLevel="0" collapsed="false">
      <c r="A204" s="12" t="n">
        <f aca="false">'Raw Data'!A201</f>
        <v>41837</v>
      </c>
      <c r="B204" s="32" t="n">
        <f aca="false">'Raw Data'!E201</f>
        <v>35.0338358031735</v>
      </c>
      <c r="C204" s="32" t="n">
        <f aca="false">'Raw Data'!F201</f>
        <v>34.1763591245503</v>
      </c>
      <c r="D204" s="15" t="n">
        <f aca="false">'Raw Data'!H201</f>
        <v>0.0244756721313842</v>
      </c>
      <c r="E204" s="15" t="n">
        <f aca="false">'Raw Data'!I201</f>
        <v>0.0244756721313844</v>
      </c>
      <c r="F204" s="17" t="b">
        <f aca="false">'Raw Data'!S201</f>
        <v>0</v>
      </c>
    </row>
    <row r="205" customFormat="false" ht="15" hidden="false" customHeight="true" outlineLevel="0" collapsed="false">
      <c r="A205" s="12" t="n">
        <f aca="false">'Raw Data'!A202</f>
        <v>41838</v>
      </c>
      <c r="B205" s="32" t="n">
        <f aca="false">'Raw Data'!E202</f>
        <v>35.033929043691</v>
      </c>
      <c r="C205" s="32" t="n">
        <f aca="false">'Raw Data'!F202</f>
        <v>34.189535823603</v>
      </c>
      <c r="D205" s="15" t="n">
        <f aca="false">'Raw Data'!H202</f>
        <v>0.0241021559139115</v>
      </c>
      <c r="E205" s="15" t="n">
        <f aca="false">'Raw Data'!I202</f>
        <v>0.0241021559139115</v>
      </c>
      <c r="F205" s="17" t="b">
        <f aca="false">'Raw Data'!S202</f>
        <v>0</v>
      </c>
    </row>
    <row r="206" customFormat="false" ht="15" hidden="false" customHeight="true" outlineLevel="0" collapsed="false">
      <c r="A206" s="12" t="n">
        <f aca="false">'Raw Data'!A203</f>
        <v>41839</v>
      </c>
      <c r="B206" s="32" t="n">
        <f aca="false">'Raw Data'!E203</f>
        <v>32.4327255214931</v>
      </c>
      <c r="C206" s="32" t="n">
        <f aca="false">'Raw Data'!F203</f>
        <v>34.1723252452229</v>
      </c>
      <c r="D206" s="15" t="n">
        <f aca="false">'Raw Data'!H203</f>
        <v>-0.0536371734338811</v>
      </c>
      <c r="E206" s="15" t="n">
        <f aca="false">'Raw Data'!I203</f>
        <v>-0.0536371734338812</v>
      </c>
      <c r="F206" s="17" t="b">
        <f aca="false">'Raw Data'!S203</f>
        <v>1</v>
      </c>
    </row>
    <row r="207" customFormat="false" ht="15" hidden="false" customHeight="true" outlineLevel="0" collapsed="false">
      <c r="A207" s="12" t="n">
        <f aca="false">'Raw Data'!A204</f>
        <v>41840</v>
      </c>
      <c r="B207" s="32" t="n">
        <f aca="false">'Raw Data'!E204</f>
        <v>35.0404628045453</v>
      </c>
      <c r="C207" s="32" t="n">
        <f aca="false">'Raw Data'!F204</f>
        <v>34.1929629841279</v>
      </c>
      <c r="D207" s="15" t="n">
        <f aca="false">'Raw Data'!H204</f>
        <v>0.0241863192602448</v>
      </c>
      <c r="E207" s="15" t="n">
        <f aca="false">'Raw Data'!I204</f>
        <v>0.0241863192602449</v>
      </c>
      <c r="F207" s="17" t="b">
        <f aca="false">'Raw Data'!S204</f>
        <v>0</v>
      </c>
    </row>
    <row r="208" customFormat="false" ht="15" hidden="false" customHeight="true" outlineLevel="0" collapsed="false">
      <c r="A208" s="12" t="n">
        <f aca="false">'Raw Data'!A205</f>
        <v>41841</v>
      </c>
      <c r="B208" s="32" t="n">
        <f aca="false">'Raw Data'!E205</f>
        <v>35.0456838089943</v>
      </c>
      <c r="C208" s="32" t="n">
        <f aca="false">'Raw Data'!F205</f>
        <v>34.1993017483699</v>
      </c>
      <c r="D208" s="15" t="n">
        <f aca="false">'Raw Data'!H205</f>
        <v>0.0241508216885519</v>
      </c>
      <c r="E208" s="15" t="n">
        <f aca="false">'Raw Data'!I205</f>
        <v>0.0241508216885517</v>
      </c>
      <c r="F208" s="17" t="b">
        <f aca="false">'Raw Data'!S205</f>
        <v>0</v>
      </c>
    </row>
    <row r="209" customFormat="false" ht="15" hidden="false" customHeight="true" outlineLevel="0" collapsed="false">
      <c r="A209" s="12" t="n">
        <f aca="false">'Raw Data'!A206</f>
        <v>41842</v>
      </c>
      <c r="B209" s="32" t="n">
        <f aca="false">'Raw Data'!E206</f>
        <v>35.0269566202848</v>
      </c>
      <c r="C209" s="32" t="n">
        <f aca="false">'Raw Data'!F206</f>
        <v>34.1648379661499</v>
      </c>
      <c r="D209" s="15" t="n">
        <f aca="false">'Raw Data'!H206</f>
        <v>0.0246130048773816</v>
      </c>
      <c r="E209" s="15" t="n">
        <f aca="false">'Raw Data'!I206</f>
        <v>0.0246130048773816</v>
      </c>
      <c r="F209" s="17" t="b">
        <f aca="false">'Raw Data'!S206</f>
        <v>0</v>
      </c>
    </row>
    <row r="210" customFormat="false" ht="15" hidden="false" customHeight="true" outlineLevel="0" collapsed="false">
      <c r="A210" s="12" t="n">
        <f aca="false">'Raw Data'!A207</f>
        <v>41843</v>
      </c>
      <c r="B210" s="32" t="n">
        <f aca="false">'Raw Data'!E207</f>
        <v>32.4602762366301</v>
      </c>
      <c r="C210" s="32" t="n">
        <f aca="false">'Raw Data'!F207</f>
        <v>34.023767630361</v>
      </c>
      <c r="D210" s="15" t="n">
        <f aca="false">'Raw Data'!H207</f>
        <v>-0.0481662997053139</v>
      </c>
      <c r="E210" s="15" t="n">
        <f aca="false">'Raw Data'!I207</f>
        <v>-0.0481662997053139</v>
      </c>
      <c r="F210" s="17" t="b">
        <f aca="false">'Raw Data'!S207</f>
        <v>1</v>
      </c>
    </row>
    <row r="211" customFormat="false" ht="15" hidden="false" customHeight="true" outlineLevel="0" collapsed="false">
      <c r="A211" s="12" t="n">
        <f aca="false">'Raw Data'!A208</f>
        <v>41844</v>
      </c>
      <c r="B211" s="32" t="n">
        <f aca="false">'Raw Data'!E208</f>
        <v>35.037833933203</v>
      </c>
      <c r="C211" s="32" t="n">
        <f aca="false">'Raw Data'!F208</f>
        <v>33.8647503987679</v>
      </c>
      <c r="D211" s="15" t="n">
        <f aca="false">'Raw Data'!H208</f>
        <v>0.0334804810329169</v>
      </c>
      <c r="E211" s="15" t="n">
        <f aca="false">'Raw Data'!I208</f>
        <v>0.0334804810329169</v>
      </c>
      <c r="F211" s="17" t="b">
        <f aca="false">'Raw Data'!S208</f>
        <v>0</v>
      </c>
    </row>
    <row r="212" customFormat="false" ht="15" hidden="false" customHeight="true" outlineLevel="0" collapsed="false">
      <c r="A212" s="12" t="n">
        <f aca="false">'Raw Data'!A209</f>
        <v>41845</v>
      </c>
      <c r="B212" s="32" t="n">
        <f aca="false">'Raw Data'!E209</f>
        <v>32.4400072822655</v>
      </c>
      <c r="C212" s="32" t="n">
        <f aca="false">'Raw Data'!F209</f>
        <v>33.8592358183246</v>
      </c>
      <c r="D212" s="15" t="n">
        <f aca="false">'Raw Data'!H209</f>
        <v>-0.0437493285285104</v>
      </c>
      <c r="E212" s="15" t="n">
        <f aca="false">'Raw Data'!I209</f>
        <v>-0.0437493285285103</v>
      </c>
      <c r="F212" s="17" t="b">
        <f aca="false">'Raw Data'!S209</f>
        <v>1</v>
      </c>
    </row>
    <row r="213" customFormat="false" ht="15" hidden="false" customHeight="true" outlineLevel="0" collapsed="false">
      <c r="A213" s="12" t="n">
        <f aca="false">'Raw Data'!A210</f>
        <v>41846</v>
      </c>
      <c r="B213" s="32" t="n">
        <f aca="false">'Raw Data'!E210</f>
        <v>32.4390455254478</v>
      </c>
      <c r="C213" s="32" t="n">
        <f aca="false">'Raw Data'!F210</f>
        <v>33.8275104702063</v>
      </c>
      <c r="D213" s="15" t="n">
        <f aca="false">'Raw Data'!H210</f>
        <v>-0.0428022749211076</v>
      </c>
      <c r="E213" s="15" t="n">
        <f aca="false">'Raw Data'!I210</f>
        <v>-0.0428022749211078</v>
      </c>
      <c r="F213" s="17" t="b">
        <f aca="false">'Raw Data'!S210</f>
        <v>1</v>
      </c>
    </row>
    <row r="214" customFormat="false" ht="15" hidden="false" customHeight="true" outlineLevel="0" collapsed="false">
      <c r="A214" s="12" t="n">
        <f aca="false">'Raw Data'!A211</f>
        <v>41847</v>
      </c>
      <c r="B214" s="32" t="n">
        <f aca="false">'Raw Data'!E211</f>
        <v>32.4486323735803</v>
      </c>
      <c r="C214" s="32" t="n">
        <f aca="false">'Raw Data'!F211</f>
        <v>33.7806762960253</v>
      </c>
      <c r="D214" s="15" t="n">
        <f aca="false">'Raw Data'!H211</f>
        <v>-0.0410508494505799</v>
      </c>
      <c r="E214" s="15" t="n">
        <f aca="false">'Raw Data'!I211</f>
        <v>-0.04105084945058</v>
      </c>
      <c r="F214" s="17" t="b">
        <f aca="false">'Raw Data'!S211</f>
        <v>0</v>
      </c>
    </row>
    <row r="215" customFormat="false" ht="15" hidden="false" customHeight="true" outlineLevel="0" collapsed="false">
      <c r="A215" s="12" t="n">
        <f aca="false">'Raw Data'!A212</f>
        <v>41848</v>
      </c>
      <c r="B215" s="32" t="n">
        <f aca="false">'Raw Data'!E212</f>
        <v>32.4500716004457</v>
      </c>
      <c r="C215" s="32" t="n">
        <f aca="false">'Raw Data'!F212</f>
        <v>33.7667308750064</v>
      </c>
      <c r="D215" s="15" t="n">
        <f aca="false">'Raw Data'!H212</f>
        <v>-0.0405749266372231</v>
      </c>
      <c r="E215" s="15" t="n">
        <f aca="false">'Raw Data'!I212</f>
        <v>-0.0405749266372231</v>
      </c>
      <c r="F215" s="17" t="b">
        <f aca="false">'Raw Data'!S212</f>
        <v>0</v>
      </c>
    </row>
    <row r="216" customFormat="false" ht="15" hidden="false" customHeight="true" outlineLevel="0" collapsed="false">
      <c r="A216" s="12" t="n">
        <f aca="false">'Raw Data'!A213</f>
        <v>41849</v>
      </c>
      <c r="B216" s="32" t="n">
        <f aca="false">'Raw Data'!E213</f>
        <v>32.4314283869811</v>
      </c>
      <c r="C216" s="32" t="n">
        <f aca="false">'Raw Data'!F213</f>
        <v>33.753370968199</v>
      </c>
      <c r="D216" s="15" t="n">
        <f aca="false">'Raw Data'!H213</f>
        <v>-0.0407611581409268</v>
      </c>
      <c r="E216" s="15" t="n">
        <f aca="false">'Raw Data'!I213</f>
        <v>-0.0407611581409267</v>
      </c>
      <c r="F216" s="17" t="b">
        <f aca="false">'Raw Data'!S213</f>
        <v>0</v>
      </c>
    </row>
    <row r="217" customFormat="false" ht="15" hidden="false" customHeight="true" outlineLevel="0" collapsed="false">
      <c r="A217" s="12" t="n">
        <f aca="false">'Raw Data'!A214</f>
        <v>41850</v>
      </c>
      <c r="B217" s="32" t="n">
        <f aca="false">'Raw Data'!E214</f>
        <v>32.4515457377148</v>
      </c>
      <c r="C217" s="32" t="n">
        <f aca="false">'Raw Data'!F214</f>
        <v>33.7436619051471</v>
      </c>
      <c r="D217" s="15" t="n">
        <f aca="false">'Raw Data'!H214</f>
        <v>-0.0398167833937908</v>
      </c>
      <c r="E217" s="15" t="n">
        <f aca="false">'Raw Data'!I214</f>
        <v>-0.0398167833937907</v>
      </c>
      <c r="F217" s="17" t="b">
        <f aca="false">'Raw Data'!S214</f>
        <v>0</v>
      </c>
    </row>
    <row r="218" customFormat="false" ht="15" hidden="false" customHeight="true" outlineLevel="0" collapsed="false">
      <c r="A218" s="12" t="n">
        <f aca="false">'Raw Data'!A215</f>
        <v>41851</v>
      </c>
      <c r="B218" s="32" t="n">
        <f aca="false">'Raw Data'!E215</f>
        <v>32.4449195536085</v>
      </c>
      <c r="C218" s="32" t="n">
        <f aca="false">'Raw Data'!F215</f>
        <v>33.7310491240325</v>
      </c>
      <c r="D218" s="15" t="n">
        <f aca="false">'Raw Data'!H215</f>
        <v>-0.0396403994252145</v>
      </c>
      <c r="E218" s="15" t="n">
        <f aca="false">'Raw Data'!I215</f>
        <v>-0.0396403994252146</v>
      </c>
      <c r="F218" s="17" t="b">
        <f aca="false">'Raw Data'!S215</f>
        <v>0</v>
      </c>
    </row>
    <row r="219" customFormat="false" ht="15" hidden="false" customHeight="true" outlineLevel="0" collapsed="false">
      <c r="A219" s="12" t="n">
        <f aca="false">'Raw Data'!A216</f>
        <v>41852</v>
      </c>
      <c r="B219" s="32" t="n">
        <f aca="false">'Raw Data'!E216</f>
        <v>32.4320068469258</v>
      </c>
      <c r="C219" s="32" t="n">
        <f aca="false">'Raw Data'!F216</f>
        <v>33.7277424034662</v>
      </c>
      <c r="D219" s="15" t="n">
        <f aca="false">'Raw Data'!H216</f>
        <v>-0.0399523705904483</v>
      </c>
      <c r="E219" s="15" t="n">
        <f aca="false">'Raw Data'!I216</f>
        <v>-0.0399523705904483</v>
      </c>
      <c r="F219" s="17" t="b">
        <f aca="false">'Raw Data'!S216</f>
        <v>0</v>
      </c>
    </row>
    <row r="220" customFormat="false" ht="15" hidden="false" customHeight="true" outlineLevel="0" collapsed="false">
      <c r="A220" s="12" t="n">
        <f aca="false">'Raw Data'!A217</f>
        <v>41853</v>
      </c>
      <c r="B220" s="32" t="n">
        <f aca="false">'Raw Data'!E217</f>
        <v>32.4332036126886</v>
      </c>
      <c r="C220" s="32" t="n">
        <f aca="false">'Raw Data'!F217</f>
        <v>33.7278148706791</v>
      </c>
      <c r="D220" s="15" t="n">
        <f aca="false">'Raw Data'!H217</f>
        <v>-0.0399162313242479</v>
      </c>
      <c r="E220" s="15" t="n">
        <f aca="false">'Raw Data'!I217</f>
        <v>-0.0399162313242479</v>
      </c>
      <c r="F220" s="17" t="b">
        <f aca="false">'Raw Data'!S217</f>
        <v>0</v>
      </c>
    </row>
    <row r="221" customFormat="false" ht="15" hidden="false" customHeight="true" outlineLevel="0" collapsed="false">
      <c r="A221" s="12" t="n">
        <f aca="false">'Raw Data'!A218</f>
        <v>41854</v>
      </c>
      <c r="B221" s="32" t="n">
        <f aca="false">'Raw Data'!E218</f>
        <v>32.4366814873807</v>
      </c>
      <c r="C221" s="32" t="n">
        <f aca="false">'Raw Data'!F218</f>
        <v>33.7274368686929</v>
      </c>
      <c r="D221" s="15" t="n">
        <f aca="false">'Raw Data'!H218</f>
        <v>-0.039793077532128</v>
      </c>
      <c r="E221" s="15" t="n">
        <f aca="false">'Raw Data'!I218</f>
        <v>-0.039793077532128</v>
      </c>
      <c r="F221" s="17" t="b">
        <f aca="false">'Raw Data'!S218</f>
        <v>0</v>
      </c>
    </row>
    <row r="222" customFormat="false" ht="15" hidden="false" customHeight="true" outlineLevel="0" collapsed="false">
      <c r="A222" s="12" t="n">
        <f aca="false">'Raw Data'!A219</f>
        <v>41855</v>
      </c>
      <c r="B222" s="32" t="n">
        <f aca="false">'Raw Data'!E219</f>
        <v>32.4177737364316</v>
      </c>
      <c r="C222" s="32" t="n">
        <f aca="false">'Raw Data'!F219</f>
        <v>33.7194047389871</v>
      </c>
      <c r="D222" s="15" t="n">
        <f aca="false">'Raw Data'!H219</f>
        <v>-0.0401517702337688</v>
      </c>
      <c r="E222" s="15" t="n">
        <f aca="false">'Raw Data'!I219</f>
        <v>-0.0401517702337689</v>
      </c>
      <c r="F222" s="17" t="b">
        <f aca="false">'Raw Data'!S219</f>
        <v>0</v>
      </c>
    </row>
    <row r="223" customFormat="false" ht="15" hidden="false" customHeight="true" outlineLevel="0" collapsed="false">
      <c r="A223" s="12" t="n">
        <f aca="false">'Raw Data'!A220</f>
        <v>41856</v>
      </c>
      <c r="B223" s="32" t="n">
        <f aca="false">'Raw Data'!E220</f>
        <v>32.4248660206051</v>
      </c>
      <c r="C223" s="32" t="n">
        <f aca="false">'Raw Data'!F220</f>
        <v>33.7176233399839</v>
      </c>
      <c r="D223" s="15" t="n">
        <f aca="false">'Raw Data'!H220</f>
        <v>-0.0398693187678037</v>
      </c>
      <c r="E223" s="15" t="n">
        <f aca="false">'Raw Data'!I220</f>
        <v>-0.0398693187678037</v>
      </c>
      <c r="F223" s="17" t="b">
        <f aca="false">'Raw Data'!S220</f>
        <v>0</v>
      </c>
    </row>
    <row r="224" customFormat="false" ht="15" hidden="false" customHeight="true" outlineLevel="0" collapsed="false">
      <c r="A224" s="12" t="n">
        <f aca="false">'Raw Data'!A221</f>
        <v>41857</v>
      </c>
      <c r="B224" s="32" t="n">
        <f aca="false">'Raw Data'!E221</f>
        <v>35.0403402087674</v>
      </c>
      <c r="C224" s="32" t="n">
        <f aca="false">'Raw Data'!F221</f>
        <v>33.71673318856</v>
      </c>
      <c r="D224" s="15" t="n">
        <f aca="false">'Raw Data'!H221</f>
        <v>0.0377738061994108</v>
      </c>
      <c r="E224" s="15" t="n">
        <f aca="false">'Raw Data'!I221</f>
        <v>0.0377738061994107</v>
      </c>
      <c r="F224" s="17" t="b">
        <f aca="false">'Raw Data'!S221</f>
        <v>0</v>
      </c>
    </row>
    <row r="225" customFormat="false" ht="15" hidden="false" customHeight="true" outlineLevel="0" collapsed="false">
      <c r="A225" s="12" t="n">
        <f aca="false">'Raw Data'!A222</f>
        <v>41858</v>
      </c>
      <c r="B225" s="32" t="n">
        <f aca="false">'Raw Data'!E222</f>
        <v>35.0433059767053</v>
      </c>
      <c r="C225" s="32" t="n">
        <f aca="false">'Raw Data'!F222</f>
        <v>33.7180974627377</v>
      </c>
      <c r="D225" s="15" t="n">
        <f aca="false">'Raw Data'!H222</f>
        <v>0.0378163097639385</v>
      </c>
      <c r="E225" s="15" t="n">
        <f aca="false">'Raw Data'!I222</f>
        <v>0.0378163097639384</v>
      </c>
      <c r="F225" s="17" t="b">
        <f aca="false">'Raw Data'!S222</f>
        <v>0</v>
      </c>
    </row>
    <row r="226" customFormat="false" ht="15" hidden="false" customHeight="true" outlineLevel="0" collapsed="false">
      <c r="A226" s="12" t="n">
        <f aca="false">'Raw Data'!A223</f>
        <v>41859</v>
      </c>
      <c r="B226" s="32" t="n">
        <f aca="false">'Raw Data'!E223</f>
        <v>32.4487831979821</v>
      </c>
      <c r="C226" s="32" t="n">
        <f aca="false">'Raw Data'!F223</f>
        <v>33.7106499667863</v>
      </c>
      <c r="D226" s="15" t="n">
        <f aca="false">'Raw Data'!H223</f>
        <v>-0.0388879533973609</v>
      </c>
      <c r="E226" s="15" t="n">
        <f aca="false">'Raw Data'!I223</f>
        <v>-0.0388879533973609</v>
      </c>
      <c r="F226" s="17" t="b">
        <f aca="false">'Raw Data'!S223</f>
        <v>0</v>
      </c>
    </row>
    <row r="227" customFormat="false" ht="15" hidden="false" customHeight="true" outlineLevel="0" collapsed="false">
      <c r="A227" s="12" t="n">
        <f aca="false">'Raw Data'!A224</f>
        <v>41860</v>
      </c>
      <c r="B227" s="32" t="n">
        <f aca="false">'Raw Data'!E224</f>
        <v>32.4607841302759</v>
      </c>
      <c r="C227" s="32" t="n">
        <f aca="false">'Raw Data'!F224</f>
        <v>33.7099578473773</v>
      </c>
      <c r="D227" s="15" t="n">
        <f aca="false">'Raw Data'!H224</f>
        <v>-0.0384825490378785</v>
      </c>
      <c r="E227" s="15" t="n">
        <f aca="false">'Raw Data'!I224</f>
        <v>-0.0384825490378784</v>
      </c>
      <c r="F227" s="17" t="b">
        <f aca="false">'Raw Data'!S224</f>
        <v>0</v>
      </c>
    </row>
    <row r="228" customFormat="false" ht="15" hidden="false" customHeight="true" outlineLevel="0" collapsed="false">
      <c r="A228" s="12" t="n">
        <f aca="false">'Raw Data'!A225</f>
        <v>41861</v>
      </c>
      <c r="B228" s="32" t="n">
        <f aca="false">'Raw Data'!E225</f>
        <v>32.4712819992446</v>
      </c>
      <c r="C228" s="32" t="n">
        <f aca="false">'Raw Data'!F225</f>
        <v>33.7087922388522</v>
      </c>
      <c r="D228" s="15" t="n">
        <f aca="false">'Raw Data'!H225</f>
        <v>-0.0381109141190175</v>
      </c>
      <c r="E228" s="15" t="n">
        <f aca="false">'Raw Data'!I225</f>
        <v>-0.0381109141190175</v>
      </c>
      <c r="F228" s="17" t="b">
        <f aca="false">'Raw Data'!S225</f>
        <v>0</v>
      </c>
    </row>
    <row r="229" customFormat="false" ht="15" hidden="false" customHeight="true" outlineLevel="0" collapsed="false">
      <c r="A229" s="12" t="n">
        <f aca="false">'Raw Data'!A226</f>
        <v>41862</v>
      </c>
      <c r="B229" s="32" t="n">
        <f aca="false">'Raw Data'!E226</f>
        <v>32.4598146366708</v>
      </c>
      <c r="C229" s="32" t="n">
        <f aca="false">'Raw Data'!F226</f>
        <v>33.6874165680925</v>
      </c>
      <c r="D229" s="15" t="n">
        <f aca="false">'Raw Data'!H226</f>
        <v>-0.0378191294424362</v>
      </c>
      <c r="E229" s="15" t="n">
        <f aca="false">'Raw Data'!I226</f>
        <v>-0.0378191294424362</v>
      </c>
      <c r="F229" s="17" t="b">
        <f aca="false">'Raw Data'!S226</f>
        <v>0</v>
      </c>
    </row>
    <row r="230" customFormat="false" ht="15" hidden="false" customHeight="true" outlineLevel="0" collapsed="false">
      <c r="A230" s="12" t="n">
        <f aca="false">'Raw Data'!A227</f>
        <v>41863</v>
      </c>
      <c r="B230" s="32" t="n">
        <f aca="false">'Raw Data'!E227</f>
        <v>32.4620810410003</v>
      </c>
      <c r="C230" s="32" t="n">
        <f aca="false">'Raw Data'!F227</f>
        <v>33.6752706188837</v>
      </c>
      <c r="D230" s="15" t="n">
        <f aca="false">'Raw Data'!H227</f>
        <v>-0.0373725139910497</v>
      </c>
      <c r="E230" s="15" t="n">
        <f aca="false">'Raw Data'!I227</f>
        <v>-0.0373725139910496</v>
      </c>
      <c r="F230" s="17" t="b">
        <f aca="false">'Raw Data'!S227</f>
        <v>0</v>
      </c>
    </row>
    <row r="231" customFormat="false" ht="15" hidden="false" customHeight="true" outlineLevel="0" collapsed="false">
      <c r="A231" s="12" t="n">
        <f aca="false">'Raw Data'!A228</f>
        <v>41864</v>
      </c>
      <c r="B231" s="32" t="n">
        <f aca="false">'Raw Data'!E228</f>
        <v>32.4520877463626</v>
      </c>
      <c r="C231" s="32" t="n">
        <f aca="false">'Raw Data'!F228</f>
        <v>33.6694236618889</v>
      </c>
      <c r="D231" s="15" t="n">
        <f aca="false">'Raw Data'!H228</f>
        <v>-0.037511790459853</v>
      </c>
      <c r="E231" s="15" t="n">
        <f aca="false">'Raw Data'!I228</f>
        <v>-0.0375117904598531</v>
      </c>
      <c r="F231" s="17" t="b">
        <f aca="false">'Raw Data'!S228</f>
        <v>0</v>
      </c>
    </row>
    <row r="232" customFormat="false" ht="15" hidden="false" customHeight="true" outlineLevel="0" collapsed="false">
      <c r="A232" s="12" t="n">
        <f aca="false">'Raw Data'!A229</f>
        <v>41865</v>
      </c>
      <c r="B232" s="32" t="n">
        <f aca="false">'Raw Data'!E229</f>
        <v>32.4355215323334</v>
      </c>
      <c r="C232" s="32" t="n">
        <f aca="false">'Raw Data'!F229</f>
        <v>33.6713817940505</v>
      </c>
      <c r="D232" s="15" t="n">
        <f aca="false">'Raw Data'!H229</f>
        <v>-0.0381020622864096</v>
      </c>
      <c r="E232" s="15" t="n">
        <f aca="false">'Raw Data'!I229</f>
        <v>-0.0381020622864095</v>
      </c>
      <c r="F232" s="17" t="b">
        <f aca="false">'Raw Data'!S229</f>
        <v>0</v>
      </c>
    </row>
    <row r="233" customFormat="false" ht="15" hidden="false" customHeight="true" outlineLevel="0" collapsed="false">
      <c r="A233" s="12" t="n">
        <f aca="false">'Raw Data'!A230</f>
        <v>41866</v>
      </c>
      <c r="B233" s="32" t="n">
        <f aca="false">'Raw Data'!E230</f>
        <v>32.4481992494518</v>
      </c>
      <c r="C233" s="32" t="n">
        <f aca="false">'Raw Data'!F230</f>
        <v>33.6984591048909</v>
      </c>
      <c r="D233" s="15" t="n">
        <f aca="false">'Raw Data'!H230</f>
        <v>-0.0385309473055039</v>
      </c>
      <c r="E233" s="15" t="n">
        <f aca="false">'Raw Data'!I230</f>
        <v>-0.0385309473055039</v>
      </c>
      <c r="F233" s="17" t="b">
        <f aca="false">'Raw Data'!S230</f>
        <v>0</v>
      </c>
    </row>
    <row r="234" customFormat="false" ht="15" hidden="false" customHeight="true" outlineLevel="0" collapsed="false">
      <c r="A234" s="12" t="n">
        <f aca="false">'Raw Data'!A231</f>
        <v>41867</v>
      </c>
      <c r="B234" s="32" t="n">
        <f aca="false">'Raw Data'!E231</f>
        <v>32.458401783503</v>
      </c>
      <c r="C234" s="32" t="n">
        <f aca="false">'Raw Data'!F231</f>
        <v>33.7380660897551</v>
      </c>
      <c r="D234" s="15" t="n">
        <f aca="false">'Raw Data'!H231</f>
        <v>-0.0394247478599675</v>
      </c>
      <c r="E234" s="15" t="n">
        <f aca="false">'Raw Data'!I231</f>
        <v>-0.0394247478599674</v>
      </c>
      <c r="F234" s="17" t="b">
        <f aca="false">'Raw Data'!S231</f>
        <v>0</v>
      </c>
    </row>
    <row r="235" customFormat="false" ht="15" hidden="false" customHeight="true" outlineLevel="0" collapsed="false">
      <c r="A235" s="12" t="n">
        <f aca="false">'Raw Data'!A232</f>
        <v>41868</v>
      </c>
      <c r="B235" s="32" t="n">
        <f aca="false">'Raw Data'!E232</f>
        <v>32.4544687049671</v>
      </c>
      <c r="C235" s="32" t="n">
        <f aca="false">'Raw Data'!F232</f>
        <v>33.7673605376998</v>
      </c>
      <c r="D235" s="15" t="n">
        <f aca="false">'Raw Data'!H232</f>
        <v>-0.0404533454134722</v>
      </c>
      <c r="E235" s="15" t="n">
        <f aca="false">'Raw Data'!I232</f>
        <v>-0.0404533454134721</v>
      </c>
      <c r="F235" s="17" t="b">
        <f aca="false">'Raw Data'!S232</f>
        <v>0</v>
      </c>
    </row>
    <row r="236" customFormat="false" ht="15" hidden="false" customHeight="true" outlineLevel="0" collapsed="false">
      <c r="A236" s="12" t="n">
        <f aca="false">'Raw Data'!A233</f>
        <v>41869</v>
      </c>
      <c r="B236" s="32" t="n">
        <f aca="false">'Raw Data'!E233</f>
        <v>32.4547587172372</v>
      </c>
      <c r="C236" s="32" t="n">
        <f aca="false">'Raw Data'!F233</f>
        <v>33.7655831898299</v>
      </c>
      <c r="D236" s="15" t="n">
        <f aca="false">'Raw Data'!H233</f>
        <v>-0.0403892841728785</v>
      </c>
      <c r="E236" s="15" t="n">
        <f aca="false">'Raw Data'!I233</f>
        <v>-0.0403892841728785</v>
      </c>
      <c r="F236" s="17" t="b">
        <f aca="false">'Raw Data'!S233</f>
        <v>0</v>
      </c>
    </row>
    <row r="237" customFormat="false" ht="15" hidden="false" customHeight="true" outlineLevel="0" collapsed="false">
      <c r="A237" s="12" t="n">
        <f aca="false">'Raw Data'!A234</f>
        <v>41870</v>
      </c>
      <c r="B237" s="32" t="n">
        <f aca="false">'Raw Data'!E234</f>
        <v>32.4574053246367</v>
      </c>
      <c r="C237" s="32" t="n">
        <f aca="false">'Raw Data'!F234</f>
        <v>33.80310824307</v>
      </c>
      <c r="D237" s="15" t="n">
        <f aca="false">'Raw Data'!H234</f>
        <v>-0.0414605821067236</v>
      </c>
      <c r="E237" s="15" t="n">
        <f aca="false">'Raw Data'!I234</f>
        <v>-0.0414605821067238</v>
      </c>
      <c r="F237" s="17" t="b">
        <f aca="false">'Raw Data'!S234</f>
        <v>0</v>
      </c>
    </row>
    <row r="238" customFormat="false" ht="15" hidden="false" customHeight="true" outlineLevel="0" collapsed="false">
      <c r="A238" s="12" t="n">
        <f aca="false">'Raw Data'!A235</f>
        <v>41871</v>
      </c>
      <c r="B238" s="32" t="n">
        <f aca="false">'Raw Data'!E235</f>
        <v>33.3114603479985</v>
      </c>
      <c r="C238" s="32" t="n">
        <f aca="false">'Raw Data'!F235</f>
        <v>33.920243725091</v>
      </c>
      <c r="D238" s="15" t="n">
        <f aca="false">'Raw Data'!H235</f>
        <v>-0.0182754935008145</v>
      </c>
      <c r="E238" s="15" t="n">
        <f aca="false">'Raw Data'!I235</f>
        <v>-0.0182754935008145</v>
      </c>
      <c r="F238" s="17" t="b">
        <f aca="false">'Raw Data'!S235</f>
        <v>0</v>
      </c>
    </row>
    <row r="239" customFormat="false" ht="15" hidden="false" customHeight="true" outlineLevel="0" collapsed="false">
      <c r="A239" s="12" t="n">
        <f aca="false">'Raw Data'!A236</f>
        <v>41872</v>
      </c>
      <c r="B239" s="32" t="n">
        <f aca="false">'Raw Data'!E236</f>
        <v>33.3214408710623</v>
      </c>
      <c r="C239" s="32" t="n">
        <f aca="false">'Raw Data'!F236</f>
        <v>33.9366170373237</v>
      </c>
      <c r="D239" s="15" t="n">
        <f aca="false">'Raw Data'!H236</f>
        <v>-0.0184618717012218</v>
      </c>
      <c r="E239" s="15" t="n">
        <f aca="false">'Raw Data'!I236</f>
        <v>-0.0184618717012217</v>
      </c>
      <c r="F239" s="17" t="b">
        <f aca="false">'Raw Data'!S236</f>
        <v>0</v>
      </c>
    </row>
    <row r="240" customFormat="false" ht="15" hidden="false" customHeight="true" outlineLevel="0" collapsed="false">
      <c r="A240" s="12" t="n">
        <f aca="false">'Raw Data'!A237</f>
        <v>41873</v>
      </c>
      <c r="B240" s="32" t="n">
        <f aca="false">'Raw Data'!E237</f>
        <v>33.3167243526835</v>
      </c>
      <c r="C240" s="32" t="n">
        <f aca="false">'Raw Data'!F237</f>
        <v>33.955791433452</v>
      </c>
      <c r="D240" s="15" t="n">
        <f aca="false">'Raw Data'!H237</f>
        <v>-0.0191815700128113</v>
      </c>
      <c r="E240" s="15" t="n">
        <f aca="false">'Raw Data'!I237</f>
        <v>-0.0191815700128113</v>
      </c>
      <c r="F240" s="17" t="b">
        <f aca="false">'Raw Data'!S237</f>
        <v>0</v>
      </c>
    </row>
    <row r="241" customFormat="false" ht="15" hidden="false" customHeight="true" outlineLevel="0" collapsed="false">
      <c r="A241" s="12" t="n">
        <f aca="false">'Raw Data'!A238</f>
        <v>41874</v>
      </c>
      <c r="B241" s="32" t="n">
        <f aca="false">'Raw Data'!E238</f>
        <v>33.3235491058784</v>
      </c>
      <c r="C241" s="32" t="n">
        <f aca="false">'Raw Data'!F238</f>
        <v>34.0299765852566</v>
      </c>
      <c r="D241" s="15" t="n">
        <f aca="false">'Raw Data'!H238</f>
        <v>-0.0211990468702394</v>
      </c>
      <c r="E241" s="15" t="n">
        <f aca="false">'Raw Data'!I238</f>
        <v>-0.0211990468702395</v>
      </c>
      <c r="F241" s="17" t="b">
        <f aca="false">'Raw Data'!S238</f>
        <v>0</v>
      </c>
    </row>
    <row r="242" customFormat="false" ht="15" hidden="false" customHeight="true" outlineLevel="0" collapsed="false">
      <c r="A242" s="12" t="n">
        <f aca="false">'Raw Data'!A239</f>
        <v>41875</v>
      </c>
      <c r="B242" s="32" t="n">
        <f aca="false">'Raw Data'!E239</f>
        <v>33.3736614029814</v>
      </c>
      <c r="C242" s="32" t="n">
        <f aca="false">'Raw Data'!F239</f>
        <v>33.9893832155868</v>
      </c>
      <c r="D242" s="15" t="n">
        <f aca="false">'Raw Data'!H239</f>
        <v>-0.018449333597852</v>
      </c>
      <c r="E242" s="15" t="n">
        <f aca="false">'Raw Data'!I239</f>
        <v>-0.0184493335978519</v>
      </c>
      <c r="F242" s="17" t="b">
        <f aca="false">'Raw Data'!S239</f>
        <v>0</v>
      </c>
    </row>
    <row r="243" customFormat="false" ht="15" hidden="false" customHeight="true" outlineLevel="0" collapsed="false">
      <c r="A243" s="12" t="n">
        <f aca="false">'Raw Data'!A240</f>
        <v>41876</v>
      </c>
      <c r="B243" s="32" t="n">
        <f aca="false">'Raw Data'!E240</f>
        <v>33.3302499022891</v>
      </c>
      <c r="C243" s="32" t="n">
        <f aca="false">'Raw Data'!F240</f>
        <v>34.0559777352231</v>
      </c>
      <c r="D243" s="15" t="n">
        <f aca="false">'Raw Data'!H240</f>
        <v>-0.0217738491328931</v>
      </c>
      <c r="E243" s="15" t="n">
        <f aca="false">'Raw Data'!I240</f>
        <v>-0.0217738491328932</v>
      </c>
      <c r="F243" s="17" t="b">
        <f aca="false">'Raw Data'!S240</f>
        <v>0</v>
      </c>
    </row>
    <row r="244" customFormat="false" ht="15" hidden="false" customHeight="true" outlineLevel="0" collapsed="false">
      <c r="A244" s="12" t="n">
        <f aca="false">'Raw Data'!A241</f>
        <v>41877</v>
      </c>
      <c r="B244" s="32" t="n">
        <f aca="false">'Raw Data'!E241</f>
        <v>31.8709149941534</v>
      </c>
      <c r="C244" s="32" t="n">
        <f aca="false">'Raw Data'!F241</f>
        <v>34.106905440174</v>
      </c>
      <c r="D244" s="15" t="n">
        <f aca="false">'Raw Data'!H241</f>
        <v>-0.070157711080174</v>
      </c>
      <c r="E244" s="15" t="n">
        <f aca="false">'Raw Data'!I241</f>
        <v>-0.0701577110801739</v>
      </c>
      <c r="F244" s="17" t="b">
        <f aca="false">'Raw Data'!S241</f>
        <v>0</v>
      </c>
    </row>
    <row r="245" customFormat="false" ht="15" hidden="false" customHeight="true" outlineLevel="0" collapsed="false">
      <c r="A245" s="12" t="n">
        <f aca="false">'Raw Data'!A242</f>
        <v>41878</v>
      </c>
      <c r="B245" s="32" t="n">
        <f aca="false">'Raw Data'!E242</f>
        <v>30.8353634845852</v>
      </c>
      <c r="C245" s="32" t="n">
        <f aca="false">'Raw Data'!F242</f>
        <v>34.1603754229921</v>
      </c>
      <c r="D245" s="15" t="n">
        <f aca="false">'Raw Data'!H242</f>
        <v>-0.107831125132321</v>
      </c>
      <c r="E245" s="15" t="n">
        <f aca="false">'Raw Data'!I242</f>
        <v>-0.107831125132321</v>
      </c>
      <c r="F245" s="17" t="b">
        <f aca="false">'Raw Data'!S242</f>
        <v>0</v>
      </c>
    </row>
    <row r="246" customFormat="false" ht="15" hidden="false" customHeight="true" outlineLevel="0" collapsed="false">
      <c r="A246" s="12" t="n">
        <f aca="false">'Raw Data'!A243</f>
        <v>41879</v>
      </c>
      <c r="B246" s="32" t="n">
        <f aca="false">'Raw Data'!E243</f>
        <v>30.7221630232125</v>
      </c>
      <c r="C246" s="32" t="n">
        <f aca="false">'Raw Data'!F243</f>
        <v>34.1867340583126</v>
      </c>
      <c r="D246" s="15" t="n">
        <f aca="false">'Raw Data'!H243</f>
        <v>-0.112771064735332</v>
      </c>
      <c r="E246" s="15" t="n">
        <f aca="false">'Raw Data'!I243</f>
        <v>-0.112771064735332</v>
      </c>
      <c r="F246" s="17" t="b">
        <f aca="false">'Raw Data'!S243</f>
        <v>0</v>
      </c>
    </row>
    <row r="247" customFormat="false" ht="15" hidden="false" customHeight="true" outlineLevel="0" collapsed="false">
      <c r="A247" s="12" t="n">
        <f aca="false">'Raw Data'!A244</f>
        <v>41880</v>
      </c>
      <c r="B247" s="32" t="n">
        <f aca="false">'Raw Data'!E244</f>
        <v>30.7504898899266</v>
      </c>
      <c r="C247" s="32" t="n">
        <f aca="false">'Raw Data'!F244</f>
        <v>34.215344246291</v>
      </c>
      <c r="D247" s="15" t="n">
        <f aca="false">'Raw Data'!H244</f>
        <v>-0.112676395360434</v>
      </c>
      <c r="E247" s="15" t="n">
        <f aca="false">'Raw Data'!I244</f>
        <v>-0.112676395360434</v>
      </c>
      <c r="F247" s="17" t="b">
        <f aca="false">'Raw Data'!S244</f>
        <v>1</v>
      </c>
    </row>
    <row r="248" customFormat="false" ht="15" hidden="false" customHeight="true" outlineLevel="0" collapsed="false">
      <c r="A248" s="12" t="n">
        <f aca="false">'Raw Data'!A245</f>
        <v>41881</v>
      </c>
      <c r="B248" s="32" t="n">
        <f aca="false">'Raw Data'!E245</f>
        <v>30.7634797433874</v>
      </c>
      <c r="C248" s="32" t="n">
        <f aca="false">'Raw Data'!F245</f>
        <v>34.2251776909583</v>
      </c>
      <c r="D248" s="15" t="n">
        <f aca="false">'Raw Data'!H245</f>
        <v>-0.112526215384169</v>
      </c>
      <c r="E248" s="15" t="n">
        <f aca="false">'Raw Data'!I245</f>
        <v>-0.112526215384169</v>
      </c>
      <c r="F248" s="17" t="b">
        <f aca="false">'Raw Data'!S245</f>
        <v>1</v>
      </c>
    </row>
    <row r="249" customFormat="false" ht="15" hidden="false" customHeight="true" outlineLevel="0" collapsed="false">
      <c r="A249" s="12" t="n">
        <f aca="false">'Raw Data'!A246</f>
        <v>41882</v>
      </c>
      <c r="B249" s="32" t="n">
        <f aca="false">'Raw Data'!E246</f>
        <v>30.7548511359108</v>
      </c>
      <c r="C249" s="32" t="n">
        <f aca="false">'Raw Data'!F246</f>
        <v>34.2231330439772</v>
      </c>
      <c r="D249" s="15" t="n">
        <f aca="false">'Raw Data'!H246</f>
        <v>-0.112771864599166</v>
      </c>
      <c r="E249" s="15" t="n">
        <f aca="false">'Raw Data'!I246</f>
        <v>-0.112771864599166</v>
      </c>
      <c r="F249" s="17" t="b">
        <f aca="false">'Raw Data'!S246</f>
        <v>0</v>
      </c>
    </row>
    <row r="250" customFormat="false" ht="15" hidden="false" customHeight="true" outlineLevel="0" collapsed="false">
      <c r="A250" s="12" t="n">
        <f aca="false">'Raw Data'!A247</f>
        <v>41883</v>
      </c>
      <c r="B250" s="32" t="n">
        <f aca="false">'Raw Data'!E247</f>
        <v>30.7215550400929</v>
      </c>
      <c r="C250" s="32" t="n">
        <f aca="false">'Raw Data'!F247</f>
        <v>34.2275632944895</v>
      </c>
      <c r="D250" s="15" t="n">
        <f aca="false">'Raw Data'!H247</f>
        <v>-0.114122096027404</v>
      </c>
      <c r="E250" s="15" t="n">
        <f aca="false">'Raw Data'!I247</f>
        <v>-0.114122096027404</v>
      </c>
      <c r="F250" s="17" t="b">
        <f aca="false">'Raw Data'!S247</f>
        <v>0</v>
      </c>
    </row>
    <row r="251" customFormat="false" ht="15" hidden="false" customHeight="true" outlineLevel="0" collapsed="false">
      <c r="A251" s="12" t="n">
        <f aca="false">'Raw Data'!A248</f>
        <v>41884</v>
      </c>
      <c r="B251" s="32" t="n">
        <f aca="false">'Raw Data'!E248</f>
        <v>30.7023700886226</v>
      </c>
      <c r="C251" s="32" t="n">
        <f aca="false">'Raw Data'!F248</f>
        <v>34.2345368743471</v>
      </c>
      <c r="D251" s="15" t="n">
        <f aca="false">'Raw Data'!H248</f>
        <v>-0.115045411006673</v>
      </c>
      <c r="E251" s="15" t="n">
        <f aca="false">'Raw Data'!I248</f>
        <v>-0.115045411006673</v>
      </c>
      <c r="F251" s="17" t="b">
        <f aca="false">'Raw Data'!S248</f>
        <v>0</v>
      </c>
    </row>
    <row r="252" customFormat="false" ht="15" hidden="false" customHeight="true" outlineLevel="0" collapsed="false">
      <c r="A252" s="12" t="n">
        <f aca="false">'Raw Data'!A249</f>
        <v>41885</v>
      </c>
      <c r="B252" s="32" t="n">
        <f aca="false">'Raw Data'!E249</f>
        <v>30.7329668437227</v>
      </c>
      <c r="C252" s="32" t="n">
        <f aca="false">'Raw Data'!F249</f>
        <v>34.2503671056659</v>
      </c>
      <c r="D252" s="15" t="n">
        <f aca="false">'Raw Data'!H249</f>
        <v>-0.114450397185187</v>
      </c>
      <c r="E252" s="15" t="n">
        <f aca="false">'Raw Data'!I249</f>
        <v>-0.114450397185187</v>
      </c>
      <c r="F252" s="17" t="b">
        <f aca="false">'Raw Data'!S249</f>
        <v>0</v>
      </c>
    </row>
    <row r="253" customFormat="false" ht="15" hidden="false" customHeight="true" outlineLevel="0" collapsed="false">
      <c r="A253" s="12" t="n">
        <f aca="false">'Raw Data'!A250</f>
        <v>41886</v>
      </c>
      <c r="B253" s="32" t="n">
        <f aca="false">'Raw Data'!E250</f>
        <v>30.7272681996449</v>
      </c>
      <c r="C253" s="32" t="n">
        <f aca="false">'Raw Data'!F250</f>
        <v>34.2559150477944</v>
      </c>
      <c r="D253" s="15" t="n">
        <f aca="false">'Raw Data'!H250</f>
        <v>-0.114837636239666</v>
      </c>
      <c r="E253" s="15" t="n">
        <f aca="false">'Raw Data'!I250</f>
        <v>-0.114837636239666</v>
      </c>
      <c r="F253" s="17" t="b">
        <f aca="false">'Raw Data'!S250</f>
        <v>0</v>
      </c>
    </row>
    <row r="254" customFormat="false" ht="15" hidden="false" customHeight="true" outlineLevel="0" collapsed="false">
      <c r="A254" s="12" t="n">
        <f aca="false">'Raw Data'!A251</f>
        <v>41887</v>
      </c>
      <c r="B254" s="32" t="n">
        <f aca="false">'Raw Data'!E251</f>
        <v>30.7344574153575</v>
      </c>
      <c r="C254" s="32" t="n">
        <f aca="false">'Raw Data'!F251</f>
        <v>34.2591471702603</v>
      </c>
      <c r="D254" s="15" t="n">
        <f aca="false">'Raw Data'!H251</f>
        <v>-0.114682023087923</v>
      </c>
      <c r="E254" s="15" t="n">
        <f aca="false">'Raw Data'!I251</f>
        <v>-0.114682023087924</v>
      </c>
      <c r="F254" s="17" t="b">
        <f aca="false">'Raw Data'!S251</f>
        <v>0</v>
      </c>
    </row>
    <row r="255" customFormat="false" ht="15" hidden="false" customHeight="true" outlineLevel="0" collapsed="false">
      <c r="A255" s="12" t="n">
        <f aca="false">'Raw Data'!A252</f>
        <v>41888</v>
      </c>
      <c r="B255" s="32" t="n">
        <f aca="false">'Raw Data'!E252</f>
        <v>30.7313819159384</v>
      </c>
      <c r="C255" s="32" t="n">
        <f aca="false">'Raw Data'!F252</f>
        <v>34.2602085866631</v>
      </c>
      <c r="D255" s="15" t="n">
        <f aca="false">'Raw Data'!H252</f>
        <v>-0.114828115454663</v>
      </c>
      <c r="E255" s="15" t="n">
        <f aca="false">'Raw Data'!I252</f>
        <v>-0.114828115454663</v>
      </c>
      <c r="F255" s="17" t="b">
        <f aca="false">'Raw Data'!S252</f>
        <v>0</v>
      </c>
    </row>
    <row r="256" customFormat="false" ht="15" hidden="false" customHeight="true" outlineLevel="0" collapsed="false">
      <c r="A256" s="12" t="n">
        <f aca="false">'Raw Data'!A253</f>
        <v>41889</v>
      </c>
      <c r="B256" s="32" t="n">
        <f aca="false">'Raw Data'!E253</f>
        <v>30.7288401851333</v>
      </c>
      <c r="C256" s="32" t="n">
        <f aca="false">'Raw Data'!F253</f>
        <v>34.2635677654813</v>
      </c>
      <c r="D256" s="15" t="n">
        <f aca="false">'Raw Data'!H253</f>
        <v>-0.115029645084299</v>
      </c>
      <c r="E256" s="15" t="n">
        <f aca="false">'Raw Data'!I253</f>
        <v>-0.115029645084299</v>
      </c>
      <c r="F256" s="17" t="b">
        <f aca="false">'Raw Data'!S253</f>
        <v>0</v>
      </c>
    </row>
    <row r="257" customFormat="false" ht="15" hidden="false" customHeight="true" outlineLevel="0" collapsed="false">
      <c r="A257" s="12" t="n">
        <f aca="false">'Raw Data'!A254</f>
        <v>41890</v>
      </c>
      <c r="B257" s="32" t="n">
        <f aca="false">'Raw Data'!E254</f>
        <v>30.7214749597017</v>
      </c>
      <c r="C257" s="32" t="n">
        <f aca="false">'Raw Data'!F254</f>
        <v>34.259034908615</v>
      </c>
      <c r="D257" s="15" t="n">
        <f aca="false">'Raw Data'!H254</f>
        <v>-0.115149417583421</v>
      </c>
      <c r="E257" s="15" t="n">
        <f aca="false">'Raw Data'!I254</f>
        <v>-0.115149417583421</v>
      </c>
      <c r="F257" s="17" t="b">
        <f aca="false">'Raw Data'!S254</f>
        <v>0</v>
      </c>
    </row>
    <row r="258" customFormat="false" ht="15" hidden="false" customHeight="true" outlineLevel="0" collapsed="false">
      <c r="A258" s="12" t="n">
        <f aca="false">'Raw Data'!A255</f>
        <v>41891</v>
      </c>
      <c r="B258" s="32" t="n">
        <f aca="false">'Raw Data'!E255</f>
        <v>35.0412889746814</v>
      </c>
      <c r="C258" s="32" t="n">
        <f aca="false">'Raw Data'!F255</f>
        <v>34.2766058203247</v>
      </c>
      <c r="D258" s="15" t="n">
        <f aca="false">'Raw Data'!H255</f>
        <v>0.0218223466296907</v>
      </c>
      <c r="E258" s="15" t="n">
        <f aca="false">'Raw Data'!I255</f>
        <v>0.0218223466296906</v>
      </c>
      <c r="F258" s="17" t="b">
        <f aca="false">'Raw Data'!S255</f>
        <v>0</v>
      </c>
    </row>
    <row r="259" customFormat="false" ht="15" hidden="false" customHeight="true" outlineLevel="0" collapsed="false">
      <c r="A259" s="12" t="n">
        <f aca="false">'Raw Data'!A256</f>
        <v>41892</v>
      </c>
      <c r="B259" s="32" t="n">
        <f aca="false">'Raw Data'!E256</f>
        <v>35.0406777212823</v>
      </c>
      <c r="C259" s="32" t="n">
        <f aca="false">'Raw Data'!F256</f>
        <v>34.2997519831376</v>
      </c>
      <c r="D259" s="15" t="n">
        <f aca="false">'Raw Data'!H256</f>
        <v>0.0211447319608968</v>
      </c>
      <c r="E259" s="15" t="n">
        <f aca="false">'Raw Data'!I256</f>
        <v>0.0211447319608968</v>
      </c>
      <c r="F259" s="17" t="b">
        <f aca="false">'Raw Data'!S256</f>
        <v>0</v>
      </c>
    </row>
    <row r="260" customFormat="false" ht="15" hidden="false" customHeight="true" outlineLevel="0" collapsed="false">
      <c r="A260" s="12" t="n">
        <f aca="false">'Raw Data'!A257</f>
        <v>41893</v>
      </c>
      <c r="B260" s="32" t="n">
        <f aca="false">'Raw Data'!E257</f>
        <v>35.0346567813846</v>
      </c>
      <c r="C260" s="32" t="n">
        <f aca="false">'Raw Data'!F257</f>
        <v>34.3496593409961</v>
      </c>
      <c r="D260" s="15" t="n">
        <f aca="false">'Raw Data'!H257</f>
        <v>0.0195519951761733</v>
      </c>
      <c r="E260" s="15" t="n">
        <f aca="false">'Raw Data'!I257</f>
        <v>0.0195519951761734</v>
      </c>
      <c r="F260" s="17" t="b">
        <f aca="false">'Raw Data'!S257</f>
        <v>0</v>
      </c>
    </row>
    <row r="261" customFormat="false" ht="15" hidden="false" customHeight="true" outlineLevel="0" collapsed="false">
      <c r="A261" s="12" t="n">
        <f aca="false">'Raw Data'!A258</f>
        <v>41894</v>
      </c>
      <c r="B261" s="32" t="n">
        <f aca="false">'Raw Data'!E258</f>
        <v>35.038753278377</v>
      </c>
      <c r="C261" s="32" t="n">
        <f aca="false">'Raw Data'!F258</f>
        <v>34.4073879528338</v>
      </c>
      <c r="D261" s="15" t="n">
        <f aca="false">'Raw Data'!H258</f>
        <v>0.0180190579421332</v>
      </c>
      <c r="E261" s="15" t="n">
        <f aca="false">'Raw Data'!I258</f>
        <v>0.018019057942133</v>
      </c>
      <c r="F261" s="17" t="b">
        <f aca="false">'Raw Data'!S258</f>
        <v>0</v>
      </c>
    </row>
    <row r="262" customFormat="false" ht="15" hidden="false" customHeight="true" outlineLevel="0" collapsed="false">
      <c r="A262" s="12" t="n">
        <f aca="false">'Raw Data'!A259</f>
        <v>41895</v>
      </c>
      <c r="B262" s="32" t="n">
        <f aca="false">'Raw Data'!E259</f>
        <v>35.0387326631165</v>
      </c>
      <c r="C262" s="32" t="n">
        <f aca="false">'Raw Data'!F259</f>
        <v>34.4117942402452</v>
      </c>
      <c r="D262" s="15" t="n">
        <f aca="false">'Raw Data'!H259</f>
        <v>0.0178927254275738</v>
      </c>
      <c r="E262" s="15" t="n">
        <f aca="false">'Raw Data'!I259</f>
        <v>0.0178927254275738</v>
      </c>
      <c r="F262" s="17" t="b">
        <f aca="false">'Raw Data'!S259</f>
        <v>0</v>
      </c>
    </row>
    <row r="263" customFormat="false" ht="15" hidden="false" customHeight="true" outlineLevel="0" collapsed="false">
      <c r="A263" s="12" t="n">
        <f aca="false">'Raw Data'!A260</f>
        <v>41896</v>
      </c>
      <c r="B263" s="32" t="n">
        <f aca="false">'Raw Data'!E260</f>
        <v>35.0367648297329</v>
      </c>
      <c r="C263" s="32" t="n">
        <f aca="false">'Raw Data'!F260</f>
        <v>34.4338770073627</v>
      </c>
      <c r="D263" s="15" t="n">
        <f aca="false">'Raw Data'!H260</f>
        <v>0.0172072914066142</v>
      </c>
      <c r="E263" s="15" t="n">
        <f aca="false">'Raw Data'!I260</f>
        <v>0.0172072914066141</v>
      </c>
      <c r="F263" s="17" t="b">
        <f aca="false">'Raw Data'!S260</f>
        <v>0</v>
      </c>
    </row>
    <row r="264" customFormat="false" ht="15" hidden="false" customHeight="true" outlineLevel="0" collapsed="false">
      <c r="A264" s="12" t="n">
        <f aca="false">'Raw Data'!A261</f>
        <v>41897</v>
      </c>
      <c r="B264" s="32" t="n">
        <f aca="false">'Raw Data'!E261</f>
        <v>35.0338527690472</v>
      </c>
      <c r="C264" s="32" t="n">
        <f aca="false">'Raw Data'!F261</f>
        <v>34.40968624509</v>
      </c>
      <c r="D264" s="15" t="n">
        <f aca="false">'Raw Data'!H261</f>
        <v>0.0178160971353015</v>
      </c>
      <c r="E264" s="15" t="n">
        <f aca="false">'Raw Data'!I261</f>
        <v>0.0178160971353016</v>
      </c>
      <c r="F264" s="17" t="b">
        <f aca="false">'Raw Data'!S261</f>
        <v>0</v>
      </c>
    </row>
    <row r="265" customFormat="false" ht="15" hidden="false" customHeight="true" outlineLevel="0" collapsed="false">
      <c r="A265" s="12" t="n">
        <f aca="false">'Raw Data'!A262</f>
        <v>41898</v>
      </c>
      <c r="B265" s="32" t="n">
        <f aca="false">'Raw Data'!E262</f>
        <v>35.0333459764973</v>
      </c>
      <c r="C265" s="32" t="n">
        <f aca="false">'Raw Data'!F262</f>
        <v>34.4224945657034</v>
      </c>
      <c r="D265" s="15" t="n">
        <f aca="false">'Raw Data'!H262</f>
        <v>0.0174362851668151</v>
      </c>
      <c r="E265" s="15" t="n">
        <f aca="false">'Raw Data'!I262</f>
        <v>0.017436285166815</v>
      </c>
      <c r="F265" s="17" t="b">
        <f aca="false">'Raw Data'!S262</f>
        <v>0</v>
      </c>
    </row>
    <row r="266" customFormat="false" ht="15" hidden="false" customHeight="true" outlineLevel="0" collapsed="false">
      <c r="A266" s="12" t="n">
        <f aca="false">'Raw Data'!A263</f>
        <v>41899</v>
      </c>
      <c r="B266" s="32" t="n">
        <f aca="false">'Raw Data'!E263</f>
        <v>35.0441970237154</v>
      </c>
      <c r="C266" s="32" t="n">
        <f aca="false">'Raw Data'!F263</f>
        <v>34.4284652367717</v>
      </c>
      <c r="D266" s="15" t="n">
        <f aca="false">'Raw Data'!H263</f>
        <v>0.0175701496749095</v>
      </c>
      <c r="E266" s="15" t="n">
        <f aca="false">'Raw Data'!I263</f>
        <v>0.0175701496749095</v>
      </c>
      <c r="F266" s="17" t="b">
        <f aca="false">'Raw Data'!S263</f>
        <v>0</v>
      </c>
    </row>
    <row r="267" customFormat="false" ht="15" hidden="false" customHeight="true" outlineLevel="0" collapsed="false">
      <c r="A267" s="12" t="n">
        <f aca="false">'Raw Data'!A264</f>
        <v>41900</v>
      </c>
      <c r="B267" s="32" t="n">
        <f aca="false">'Raw Data'!E264</f>
        <v>35.0279743268269</v>
      </c>
      <c r="C267" s="32" t="n">
        <f aca="false">'Raw Data'!F264</f>
        <v>34.4502438329441</v>
      </c>
      <c r="D267" s="15" t="n">
        <f aca="false">'Raw Data'!H264</f>
        <v>0.0164934029154056</v>
      </c>
      <c r="E267" s="15" t="n">
        <f aca="false">'Raw Data'!I264</f>
        <v>0.0164934029154056</v>
      </c>
      <c r="F267" s="17" t="b">
        <f aca="false">'Raw Data'!S264</f>
        <v>0</v>
      </c>
    </row>
    <row r="268" customFormat="false" ht="15" hidden="false" customHeight="true" outlineLevel="0" collapsed="false">
      <c r="A268" s="12" t="n">
        <f aca="false">'Raw Data'!A265</f>
        <v>41901</v>
      </c>
      <c r="B268" s="32" t="n">
        <f aca="false">'Raw Data'!E265</f>
        <v>35.0331938921562</v>
      </c>
      <c r="C268" s="32" t="n">
        <f aca="false">'Raw Data'!F265</f>
        <v>34.5534890385813</v>
      </c>
      <c r="D268" s="15" t="n">
        <f aca="false">'Raw Data'!H265</f>
        <v>0.013692866686706</v>
      </c>
      <c r="E268" s="15" t="n">
        <f aca="false">'Raw Data'!I265</f>
        <v>0.013692866686706</v>
      </c>
      <c r="F268" s="17" t="b">
        <f aca="false">'Raw Data'!S265</f>
        <v>0</v>
      </c>
    </row>
    <row r="269" customFormat="false" ht="15" hidden="false" customHeight="true" outlineLevel="0" collapsed="false">
      <c r="A269" s="12" t="n">
        <f aca="false">'Raw Data'!A266</f>
        <v>41902</v>
      </c>
      <c r="B269" s="32" t="n">
        <f aca="false">'Raw Data'!E266</f>
        <v>35.0374314123227</v>
      </c>
      <c r="C269" s="32" t="n">
        <f aca="false">'Raw Data'!F266</f>
        <v>34.5371059981302</v>
      </c>
      <c r="D269" s="15" t="n">
        <f aca="false">'Raw Data'!H266</f>
        <v>0.014279740095802</v>
      </c>
      <c r="E269" s="15" t="n">
        <f aca="false">'Raw Data'!I266</f>
        <v>0.0142797400958021</v>
      </c>
      <c r="F269" s="17" t="b">
        <f aca="false">'Raw Data'!S266</f>
        <v>0</v>
      </c>
    </row>
    <row r="270" customFormat="false" ht="15" hidden="false" customHeight="true" outlineLevel="0" collapsed="false">
      <c r="A270" s="12" t="n">
        <f aca="false">'Raw Data'!A267</f>
        <v>41903</v>
      </c>
      <c r="B270" s="32" t="n">
        <f aca="false">'Raw Data'!E267</f>
        <v>35.0316445524254</v>
      </c>
      <c r="C270" s="32" t="n">
        <f aca="false">'Raw Data'!F267</f>
        <v>34.5283317524776</v>
      </c>
      <c r="D270" s="15" t="n">
        <f aca="false">'Raw Data'!H267</f>
        <v>0.0143673757363727</v>
      </c>
      <c r="E270" s="15" t="n">
        <f aca="false">'Raw Data'!I267</f>
        <v>0.0143673757363727</v>
      </c>
      <c r="F270" s="17" t="b">
        <f aca="false">'Raw Data'!S267</f>
        <v>0</v>
      </c>
    </row>
    <row r="271" customFormat="false" ht="15" hidden="false" customHeight="true" outlineLevel="0" collapsed="false">
      <c r="A271" s="12" t="n">
        <f aca="false">'Raw Data'!A268</f>
        <v>41904</v>
      </c>
      <c r="B271" s="32" t="n">
        <f aca="false">'Raw Data'!E268</f>
        <v>35.0370099585999</v>
      </c>
      <c r="C271" s="32" t="n">
        <f aca="false">'Raw Data'!F268</f>
        <v>34.5885947490173</v>
      </c>
      <c r="D271" s="15" t="n">
        <f aca="false">'Raw Data'!H268</f>
        <v>0.0127983298264435</v>
      </c>
      <c r="E271" s="15" t="n">
        <f aca="false">'Raw Data'!I268</f>
        <v>0.0127983298264436</v>
      </c>
      <c r="F271" s="17" t="b">
        <f aca="false">'Raw Data'!S268</f>
        <v>0</v>
      </c>
    </row>
    <row r="272" customFormat="false" ht="15" hidden="false" customHeight="true" outlineLevel="0" collapsed="false">
      <c r="A272" s="12" t="n">
        <f aca="false">'Raw Data'!A269</f>
        <v>41905</v>
      </c>
      <c r="B272" s="32" t="n">
        <f aca="false">'Raw Data'!E269</f>
        <v>35.0360026698919</v>
      </c>
      <c r="C272" s="32" t="n">
        <f aca="false">'Raw Data'!F269</f>
        <v>34.6421918432017</v>
      </c>
      <c r="D272" s="15" t="n">
        <f aca="false">'Raw Data'!H269</f>
        <v>0.0112401757243997</v>
      </c>
      <c r="E272" s="15" t="n">
        <f aca="false">'Raw Data'!I269</f>
        <v>0.0112401757243997</v>
      </c>
      <c r="F272" s="17" t="b">
        <f aca="false">'Raw Data'!S269</f>
        <v>0</v>
      </c>
    </row>
    <row r="273" customFormat="false" ht="15" hidden="false" customHeight="true" outlineLevel="0" collapsed="false">
      <c r="A273" s="12" t="n">
        <f aca="false">'Raw Data'!A270</f>
        <v>41906</v>
      </c>
      <c r="B273" s="32" t="n">
        <f aca="false">'Raw Data'!E270</f>
        <v>32.5086546556667</v>
      </c>
      <c r="C273" s="32" t="n">
        <f aca="false">'Raw Data'!F270</f>
        <v>34.6219740749188</v>
      </c>
      <c r="D273" s="15" t="n">
        <f aca="false">'Raw Data'!H270</f>
        <v>-0.0650079014845896</v>
      </c>
      <c r="E273" s="15" t="n">
        <f aca="false">'Raw Data'!I270</f>
        <v>-0.0650079014845895</v>
      </c>
      <c r="F273" s="17" t="b">
        <f aca="false">'Raw Data'!S270</f>
        <v>1</v>
      </c>
    </row>
    <row r="274" customFormat="false" ht="15" hidden="false" customHeight="true" outlineLevel="0" collapsed="false">
      <c r="A274" s="12" t="n">
        <f aca="false">'Raw Data'!A271</f>
        <v>41907</v>
      </c>
      <c r="B274" s="32" t="n">
        <f aca="false">'Raw Data'!E271</f>
        <v>32.4636002327016</v>
      </c>
      <c r="C274" s="32" t="n">
        <f aca="false">'Raw Data'!F271</f>
        <v>34.6922713267219</v>
      </c>
      <c r="D274" s="15" t="n">
        <f aca="false">'Raw Data'!H271</f>
        <v>-0.0686513842594462</v>
      </c>
      <c r="E274" s="15" t="n">
        <f aca="false">'Raw Data'!I271</f>
        <v>-0.0686513842594463</v>
      </c>
      <c r="F274" s="17" t="b">
        <f aca="false">'Raw Data'!S271</f>
        <v>1</v>
      </c>
    </row>
    <row r="275" customFormat="false" ht="15" hidden="false" customHeight="true" outlineLevel="0" collapsed="false">
      <c r="A275" s="12" t="n">
        <f aca="false">'Raw Data'!A272</f>
        <v>41908</v>
      </c>
      <c r="B275" s="32" t="n">
        <f aca="false">'Raw Data'!E272</f>
        <v>32.4608558442759</v>
      </c>
      <c r="C275" s="32" t="n">
        <f aca="false">'Raw Data'!F272</f>
        <v>34.7073037374925</v>
      </c>
      <c r="D275" s="15" t="n">
        <f aca="false">'Raw Data'!H272</f>
        <v>-0.0692048263913143</v>
      </c>
      <c r="E275" s="15" t="n">
        <f aca="false">'Raw Data'!I272</f>
        <v>-0.0692048263913142</v>
      </c>
      <c r="F275" s="17" t="b">
        <f aca="false">'Raw Data'!S272</f>
        <v>1</v>
      </c>
    </row>
    <row r="276" customFormat="false" ht="15" hidden="false" customHeight="true" outlineLevel="0" collapsed="false">
      <c r="A276" s="12" t="n">
        <f aca="false">'Raw Data'!A273</f>
        <v>41909</v>
      </c>
      <c r="B276" s="32" t="n">
        <f aca="false">'Raw Data'!E273</f>
        <v>32.4456587019204</v>
      </c>
      <c r="C276" s="32" t="n">
        <f aca="false">'Raw Data'!F273</f>
        <v>34.7589310229722</v>
      </c>
      <c r="D276" s="15" t="n">
        <f aca="false">'Raw Data'!H273</f>
        <v>-0.0712968210109065</v>
      </c>
      <c r="E276" s="15" t="n">
        <f aca="false">'Raw Data'!I273</f>
        <v>-0.0712968210109064</v>
      </c>
      <c r="F276" s="17" t="b">
        <f aca="false">'Raw Data'!S273</f>
        <v>1</v>
      </c>
    </row>
    <row r="277" customFormat="false" ht="15" hidden="false" customHeight="true" outlineLevel="0" collapsed="false">
      <c r="A277" s="12" t="n">
        <f aca="false">'Raw Data'!A274</f>
        <v>41910</v>
      </c>
      <c r="B277" s="32" t="n">
        <f aca="false">'Raw Data'!E274</f>
        <v>32.4511943644106</v>
      </c>
      <c r="C277" s="32" t="n">
        <f aca="false">'Raw Data'!F274</f>
        <v>34.8051505094838</v>
      </c>
      <c r="D277" s="15" t="n">
        <f aca="false">'Raw Data'!H274</f>
        <v>-0.0725383515515467</v>
      </c>
      <c r="E277" s="15" t="n">
        <f aca="false">'Raw Data'!I274</f>
        <v>-0.0725383515515466</v>
      </c>
      <c r="F277" s="17" t="b">
        <f aca="false">'Raw Data'!S274</f>
        <v>1</v>
      </c>
    </row>
    <row r="278" customFormat="false" ht="15" hidden="false" customHeight="true" outlineLevel="0" collapsed="false">
      <c r="A278" s="12" t="n">
        <f aca="false">'Raw Data'!A275</f>
        <v>41911</v>
      </c>
      <c r="B278" s="32" t="n">
        <f aca="false">'Raw Data'!E275</f>
        <v>32.443489673267</v>
      </c>
      <c r="C278" s="32" t="n">
        <f aca="false">'Raw Data'!F275</f>
        <v>34.8487748493239</v>
      </c>
      <c r="D278" s="15" t="n">
        <f aca="false">'Raw Data'!H275</f>
        <v>-0.0741376837165228</v>
      </c>
      <c r="E278" s="15" t="n">
        <f aca="false">'Raw Data'!I275</f>
        <v>-0.0741376837165227</v>
      </c>
      <c r="F278" s="17" t="b">
        <f aca="false">'Raw Data'!S275</f>
        <v>0</v>
      </c>
    </row>
    <row r="279" customFormat="false" ht="15" hidden="false" customHeight="true" outlineLevel="0" collapsed="false">
      <c r="A279" s="12" t="n">
        <f aca="false">'Raw Data'!A276</f>
        <v>41912</v>
      </c>
      <c r="B279" s="32" t="n">
        <f aca="false">'Raw Data'!E276</f>
        <v>32.4415532211694</v>
      </c>
      <c r="C279" s="32" t="n">
        <f aca="false">'Raw Data'!F276</f>
        <v>34.8698296373752</v>
      </c>
      <c r="D279" s="15" t="n">
        <f aca="false">'Raw Data'!H276</f>
        <v>-0.0748508062992855</v>
      </c>
      <c r="E279" s="15" t="n">
        <f aca="false">'Raw Data'!I276</f>
        <v>-0.0748508062992856</v>
      </c>
      <c r="F279" s="17" t="b">
        <f aca="false">'Raw Data'!S276</f>
        <v>0</v>
      </c>
    </row>
    <row r="280" customFormat="false" ht="15" hidden="false" customHeight="true" outlineLevel="0" collapsed="false">
      <c r="A280" s="12" t="n">
        <f aca="false">'Raw Data'!A277</f>
        <v>41913</v>
      </c>
      <c r="B280" s="32" t="n">
        <f aca="false">'Raw Data'!E277</f>
        <v>32.4298025521167</v>
      </c>
      <c r="C280" s="32" t="n">
        <f aca="false">'Raw Data'!F277</f>
        <v>34.8776087715475</v>
      </c>
      <c r="D280" s="15" t="n">
        <f aca="false">'Raw Data'!H277</f>
        <v>-0.0754801456313826</v>
      </c>
      <c r="E280" s="15" t="n">
        <f aca="false">'Raw Data'!I277</f>
        <v>-0.0754801456313826</v>
      </c>
      <c r="F280" s="17" t="b">
        <f aca="false">'Raw Data'!S277</f>
        <v>0</v>
      </c>
    </row>
    <row r="281" customFormat="false" ht="15" hidden="false" customHeight="true" outlineLevel="0" collapsed="false">
      <c r="A281" s="12" t="n">
        <f aca="false">'Raw Data'!A278</f>
        <v>41914</v>
      </c>
      <c r="B281" s="32" t="n">
        <f aca="false">'Raw Data'!E278</f>
        <v>32.4420921908873</v>
      </c>
      <c r="C281" s="32" t="n">
        <f aca="false">'Raw Data'!F278</f>
        <v>34.8943000304371</v>
      </c>
      <c r="D281" s="15" t="n">
        <f aca="false">'Raw Data'!H278</f>
        <v>-0.0755872286263512</v>
      </c>
      <c r="E281" s="15" t="n">
        <f aca="false">'Raw Data'!I278</f>
        <v>-0.0755872286263512</v>
      </c>
      <c r="F281" s="17" t="b">
        <f aca="false">'Raw Data'!S278</f>
        <v>0</v>
      </c>
    </row>
    <row r="282" customFormat="false" ht="15" hidden="false" customHeight="true" outlineLevel="0" collapsed="false">
      <c r="A282" s="12" t="n">
        <f aca="false">'Raw Data'!A279</f>
        <v>41915</v>
      </c>
      <c r="B282" s="32" t="n">
        <f aca="false">'Raw Data'!E279</f>
        <v>32.446736435936</v>
      </c>
      <c r="C282" s="32" t="n">
        <f aca="false">'Raw Data'!F279</f>
        <v>34.9017496106824</v>
      </c>
      <c r="D282" s="15" t="n">
        <f aca="false">'Raw Data'!H279</f>
        <v>-0.0756628691946782</v>
      </c>
      <c r="E282" s="15" t="n">
        <f aca="false">'Raw Data'!I279</f>
        <v>-0.0756628691946781</v>
      </c>
      <c r="F282" s="17" t="b">
        <f aca="false">'Raw Data'!S279</f>
        <v>0</v>
      </c>
    </row>
    <row r="283" customFormat="false" ht="15" hidden="false" customHeight="true" outlineLevel="0" collapsed="false">
      <c r="A283" s="12" t="n">
        <f aca="false">'Raw Data'!A280</f>
        <v>41916</v>
      </c>
      <c r="B283" s="32" t="n">
        <f aca="false">'Raw Data'!E280</f>
        <v>32.4504686954787</v>
      </c>
      <c r="C283" s="32" t="n">
        <f aca="false">'Raw Data'!F280</f>
        <v>34.905370136105</v>
      </c>
      <c r="D283" s="15" t="n">
        <f aca="false">'Raw Data'!H280</f>
        <v>-0.0756507236817932</v>
      </c>
      <c r="E283" s="15" t="n">
        <f aca="false">'Raw Data'!I280</f>
        <v>-0.0756507236817934</v>
      </c>
      <c r="F283" s="17" t="b">
        <f aca="false">'Raw Data'!S280</f>
        <v>0</v>
      </c>
    </row>
    <row r="284" customFormat="false" ht="15" hidden="false" customHeight="true" outlineLevel="0" collapsed="false">
      <c r="A284" s="12" t="n">
        <f aca="false">'Raw Data'!A281</f>
        <v>41917</v>
      </c>
      <c r="B284" s="32" t="n">
        <f aca="false">'Raw Data'!E281</f>
        <v>32.4475863418797</v>
      </c>
      <c r="C284" s="32" t="n">
        <f aca="false">'Raw Data'!F281</f>
        <v>34.9066915748386</v>
      </c>
      <c r="D284" s="15" t="n">
        <f aca="false">'Raw Data'!H281</f>
        <v>-0.0757870002116312</v>
      </c>
      <c r="E284" s="15" t="n">
        <f aca="false">'Raw Data'!I281</f>
        <v>-0.0757870002116312</v>
      </c>
      <c r="F284" s="17" t="b">
        <f aca="false">'Raw Data'!S281</f>
        <v>0</v>
      </c>
    </row>
    <row r="285" customFormat="false" ht="15" hidden="false" customHeight="true" outlineLevel="0" collapsed="false">
      <c r="A285" s="12" t="n">
        <f aca="false">'Raw Data'!A282</f>
        <v>41918</v>
      </c>
      <c r="B285" s="32" t="n">
        <f aca="false">'Raw Data'!E282</f>
        <v>32.4421813158264</v>
      </c>
      <c r="C285" s="32" t="n">
        <f aca="false">'Raw Data'!F282</f>
        <v>34.9062026993029</v>
      </c>
      <c r="D285" s="15" t="n">
        <f aca="false">'Raw Data'!H282</f>
        <v>-0.0759511624538777</v>
      </c>
      <c r="E285" s="15" t="n">
        <f aca="false">'Raw Data'!I282</f>
        <v>-0.0759511624538777</v>
      </c>
      <c r="F285" s="17" t="b">
        <f aca="false">'Raw Data'!S282</f>
        <v>0</v>
      </c>
    </row>
    <row r="286" customFormat="false" ht="15" hidden="false" customHeight="true" outlineLevel="0" collapsed="false">
      <c r="A286" s="12" t="n">
        <f aca="false">'Raw Data'!A283</f>
        <v>41919</v>
      </c>
      <c r="B286" s="32" t="n">
        <f aca="false">'Raw Data'!E283</f>
        <v>36.7238911439214</v>
      </c>
      <c r="C286" s="32" t="n">
        <f aca="false">'Raw Data'!F283</f>
        <v>34.9092029741258</v>
      </c>
      <c r="D286" s="15" t="n">
        <f aca="false">'Raw Data'!H283</f>
        <v>0.0494143761259891</v>
      </c>
      <c r="E286" s="15" t="n">
        <f aca="false">'Raw Data'!I283</f>
        <v>0.0494143761259891</v>
      </c>
      <c r="F286" s="17" t="b">
        <f aca="false">'Raw Data'!S283</f>
        <v>0</v>
      </c>
    </row>
    <row r="287" customFormat="false" ht="15" hidden="false" customHeight="true" outlineLevel="0" collapsed="false">
      <c r="A287" s="12" t="n">
        <f aca="false">'Raw Data'!A284</f>
        <v>41920</v>
      </c>
      <c r="B287" s="32" t="n">
        <f aca="false">'Raw Data'!E284</f>
        <v>36.666215700229</v>
      </c>
      <c r="C287" s="32" t="n">
        <f aca="false">'Raw Data'!F284</f>
        <v>34.9152260161643</v>
      </c>
      <c r="D287" s="15" t="n">
        <f aca="false">'Raw Data'!H284</f>
        <v>0.0477548514518154</v>
      </c>
      <c r="E287" s="15" t="n">
        <f aca="false">'Raw Data'!I284</f>
        <v>0.0477548514518156</v>
      </c>
      <c r="F287" s="17" t="b">
        <f aca="false">'Raw Data'!S284</f>
        <v>0</v>
      </c>
    </row>
    <row r="288" customFormat="false" ht="15" hidden="false" customHeight="true" outlineLevel="0" collapsed="false">
      <c r="A288" s="12" t="n">
        <f aca="false">'Raw Data'!A285</f>
        <v>41921</v>
      </c>
      <c r="B288" s="32" t="n">
        <f aca="false">'Raw Data'!E285</f>
        <v>36.767999660937</v>
      </c>
      <c r="C288" s="32" t="n">
        <f aca="false">'Raw Data'!F285</f>
        <v>34.9113346665899</v>
      </c>
      <c r="D288" s="15" t="n">
        <f aca="false">'Raw Data'!H285</f>
        <v>0.0504967638019132</v>
      </c>
      <c r="E288" s="15" t="n">
        <f aca="false">'Raw Data'!I285</f>
        <v>0.0504967638019131</v>
      </c>
      <c r="F288" s="17" t="b">
        <f aca="false">'Raw Data'!S285</f>
        <v>0</v>
      </c>
    </row>
    <row r="289" customFormat="false" ht="15" hidden="false" customHeight="true" outlineLevel="0" collapsed="false">
      <c r="A289" s="12" t="n">
        <f aca="false">'Raw Data'!A286</f>
        <v>41922</v>
      </c>
      <c r="B289" s="32" t="n">
        <f aca="false">'Raw Data'!E286</f>
        <v>36.7698695112909</v>
      </c>
      <c r="C289" s="32" t="n">
        <f aca="false">'Raw Data'!F286</f>
        <v>34.9126111587011</v>
      </c>
      <c r="D289" s="15" t="n">
        <f aca="false">'Raw Data'!H286</f>
        <v>0.0505103329784591</v>
      </c>
      <c r="E289" s="15" t="n">
        <f aca="false">'Raw Data'!I286</f>
        <v>0.0505103329784592</v>
      </c>
      <c r="F289" s="17" t="b">
        <f aca="false">'Raw Data'!S286</f>
        <v>0</v>
      </c>
    </row>
    <row r="290" customFormat="false" ht="15" hidden="false" customHeight="true" outlineLevel="0" collapsed="false">
      <c r="A290" s="12" t="n">
        <f aca="false">'Raw Data'!A287</f>
        <v>41923</v>
      </c>
      <c r="B290" s="32" t="n">
        <f aca="false">'Raw Data'!E287</f>
        <v>36.7318360172685</v>
      </c>
      <c r="C290" s="32" t="n">
        <f aca="false">'Raw Data'!F287</f>
        <v>34.9101428343464</v>
      </c>
      <c r="D290" s="15" t="n">
        <f aca="false">'Raw Data'!H287</f>
        <v>0.0495943949566168</v>
      </c>
      <c r="E290" s="15" t="n">
        <f aca="false">'Raw Data'!I287</f>
        <v>0.0495943949566169</v>
      </c>
      <c r="F290" s="17" t="b">
        <f aca="false">'Raw Data'!S287</f>
        <v>0</v>
      </c>
    </row>
    <row r="291" customFormat="false" ht="15" hidden="false" customHeight="true" outlineLevel="0" collapsed="false">
      <c r="A291" s="12" t="n">
        <f aca="false">'Raw Data'!A288</f>
        <v>41924</v>
      </c>
      <c r="B291" s="32" t="n">
        <f aca="false">'Raw Data'!E288</f>
        <v>36.7474787657859</v>
      </c>
      <c r="C291" s="32" t="n">
        <f aca="false">'Raw Data'!F288</f>
        <v>34.9141128905405</v>
      </c>
      <c r="D291" s="15" t="n">
        <f aca="false">'Raw Data'!H288</f>
        <v>0.0498909295772535</v>
      </c>
      <c r="E291" s="15" t="n">
        <f aca="false">'Raw Data'!I288</f>
        <v>0.0498909295772535</v>
      </c>
      <c r="F291" s="17" t="b">
        <f aca="false">'Raw Data'!S288</f>
        <v>0</v>
      </c>
    </row>
    <row r="292" customFormat="false" ht="15" hidden="false" customHeight="true" outlineLevel="0" collapsed="false">
      <c r="A292" s="12" t="n">
        <f aca="false">'Raw Data'!A289</f>
        <v>41925</v>
      </c>
      <c r="B292" s="32" t="n">
        <f aca="false">'Raw Data'!E289</f>
        <v>36.7795590906956</v>
      </c>
      <c r="C292" s="32" t="n">
        <f aca="false">'Raw Data'!F289</f>
        <v>34.9120056206002</v>
      </c>
      <c r="D292" s="15" t="n">
        <f aca="false">'Raw Data'!H289</f>
        <v>0.0507769401337909</v>
      </c>
      <c r="E292" s="15" t="n">
        <f aca="false">'Raw Data'!I289</f>
        <v>0.050776940133791</v>
      </c>
      <c r="F292" s="17" t="b">
        <f aca="false">'Raw Data'!S289</f>
        <v>0</v>
      </c>
    </row>
    <row r="293" customFormat="false" ht="15" hidden="false" customHeight="true" outlineLevel="0" collapsed="false">
      <c r="A293" s="12" t="n">
        <f aca="false">'Raw Data'!A290</f>
        <v>41926</v>
      </c>
      <c r="B293" s="32" t="n">
        <f aca="false">'Raw Data'!E290</f>
        <v>36.7320493488388</v>
      </c>
      <c r="C293" s="32" t="n">
        <f aca="false">'Raw Data'!F290</f>
        <v>35.0126404325608</v>
      </c>
      <c r="D293" s="15" t="n">
        <f aca="false">'Raw Data'!H290</f>
        <v>0.0468095014233763</v>
      </c>
      <c r="E293" s="15" t="n">
        <f aca="false">'Raw Data'!I290</f>
        <v>0.0468095014233763</v>
      </c>
      <c r="F293" s="17" t="b">
        <f aca="false">'Raw Data'!S290</f>
        <v>0</v>
      </c>
    </row>
    <row r="294" customFormat="false" ht="15" hidden="false" customHeight="true" outlineLevel="0" collapsed="false">
      <c r="A294" s="12" t="n">
        <f aca="false">'Raw Data'!A291</f>
        <v>41927</v>
      </c>
      <c r="B294" s="32" t="n">
        <f aca="false">'Raw Data'!E291</f>
        <v>36.7746210104967</v>
      </c>
      <c r="C294" s="32" t="n">
        <f aca="false">'Raw Data'!F291</f>
        <v>35.0615647208536</v>
      </c>
      <c r="D294" s="15" t="n">
        <f aca="false">'Raw Data'!H291</f>
        <v>0.0465825681562889</v>
      </c>
      <c r="E294" s="15" t="n">
        <f aca="false">'Raw Data'!I291</f>
        <v>0.046582568156289</v>
      </c>
      <c r="F294" s="17" t="b">
        <f aca="false">'Raw Data'!S291</f>
        <v>0</v>
      </c>
    </row>
    <row r="295" customFormat="false" ht="15" hidden="false" customHeight="true" outlineLevel="0" collapsed="false">
      <c r="A295" s="12" t="n">
        <f aca="false">'Raw Data'!A292</f>
        <v>41928</v>
      </c>
      <c r="B295" s="32" t="n">
        <f aca="false">'Raw Data'!E292</f>
        <v>36.7540615515559</v>
      </c>
      <c r="C295" s="32" t="n">
        <f aca="false">'Raw Data'!F292</f>
        <v>35.1554810249104</v>
      </c>
      <c r="D295" s="15" t="n">
        <f aca="false">'Raw Data'!H292</f>
        <v>0.0434939829548654</v>
      </c>
      <c r="E295" s="15" t="n">
        <f aca="false">'Raw Data'!I292</f>
        <v>0.0434939829548655</v>
      </c>
      <c r="F295" s="17" t="b">
        <f aca="false">'Raw Data'!S292</f>
        <v>0</v>
      </c>
    </row>
    <row r="296" customFormat="false" ht="15" hidden="false" customHeight="true" outlineLevel="0" collapsed="false">
      <c r="A296" s="12" t="n">
        <f aca="false">'Raw Data'!A293</f>
        <v>41929</v>
      </c>
      <c r="B296" s="32" t="n">
        <f aca="false">'Raw Data'!E293</f>
        <v>36.7621807723969</v>
      </c>
      <c r="C296" s="32" t="n">
        <f aca="false">'Raw Data'!F293</f>
        <v>35.5146648266659</v>
      </c>
      <c r="D296" s="15" t="n">
        <f aca="false">'Raw Data'!H293</f>
        <v>0.033934764465</v>
      </c>
      <c r="E296" s="15" t="n">
        <f aca="false">'Raw Data'!I293</f>
        <v>0.0339347644649999</v>
      </c>
      <c r="F296" s="17" t="b">
        <f aca="false">'Raw Data'!S293</f>
        <v>0</v>
      </c>
    </row>
    <row r="297" customFormat="false" ht="15" hidden="false" customHeight="true" outlineLevel="0" collapsed="false">
      <c r="A297" s="12" t="n">
        <f aca="false">'Raw Data'!A294</f>
        <v>41930</v>
      </c>
      <c r="B297" s="32" t="n">
        <f aca="false">'Raw Data'!E294</f>
        <v>36.7596869193938</v>
      </c>
      <c r="C297" s="32" t="n">
        <f aca="false">'Raw Data'!F294</f>
        <v>35.6740287644434</v>
      </c>
      <c r="D297" s="15" t="n">
        <f aca="false">'Raw Data'!H294</f>
        <v>0.0295339336630102</v>
      </c>
      <c r="E297" s="15" t="n">
        <f aca="false">'Raw Data'!I294</f>
        <v>0.0295339336630102</v>
      </c>
      <c r="F297" s="17" t="b">
        <f aca="false">'Raw Data'!S294</f>
        <v>0</v>
      </c>
    </row>
    <row r="298" customFormat="false" ht="15" hidden="false" customHeight="true" outlineLevel="0" collapsed="false">
      <c r="A298" s="12" t="n">
        <f aca="false">'Raw Data'!A295</f>
        <v>41931</v>
      </c>
      <c r="B298" s="32" t="n">
        <f aca="false">'Raw Data'!E295</f>
        <v>36.747315994936</v>
      </c>
      <c r="C298" s="32" t="n">
        <f aca="false">'Raw Data'!F295</f>
        <v>35.6204260871983</v>
      </c>
      <c r="D298" s="15" t="n">
        <f aca="false">'Raw Data'!H295</f>
        <v>0.030665910617606</v>
      </c>
      <c r="E298" s="15" t="n">
        <f aca="false">'Raw Data'!I295</f>
        <v>0.030665910617606</v>
      </c>
      <c r="F298" s="17" t="b">
        <f aca="false">'Raw Data'!S295</f>
        <v>0</v>
      </c>
    </row>
    <row r="299" customFormat="false" ht="15" hidden="false" customHeight="true" outlineLevel="0" collapsed="false">
      <c r="A299" s="12" t="n">
        <f aca="false">'Raw Data'!A296</f>
        <v>41932</v>
      </c>
      <c r="B299" s="32" t="n">
        <f aca="false">'Raw Data'!E296</f>
        <v>36.6837053747178</v>
      </c>
      <c r="C299" s="32" t="n">
        <f aca="false">'Raw Data'!F296</f>
        <v>35.6548185637208</v>
      </c>
      <c r="D299" s="15" t="n">
        <f aca="false">'Raw Data'!H296</f>
        <v>0.0280475159334933</v>
      </c>
      <c r="E299" s="15" t="n">
        <f aca="false">'Raw Data'!I296</f>
        <v>0.0280475159334932</v>
      </c>
      <c r="F299" s="17" t="b">
        <f aca="false">'Raw Data'!S296</f>
        <v>0</v>
      </c>
    </row>
    <row r="300" customFormat="false" ht="15" hidden="false" customHeight="true" outlineLevel="0" collapsed="false">
      <c r="A300" s="12" t="n">
        <f aca="false">'Raw Data'!A297</f>
        <v>41933</v>
      </c>
      <c r="B300" s="32" t="n">
        <f aca="false">'Raw Data'!E297</f>
        <v>36.7302633281501</v>
      </c>
      <c r="C300" s="32" t="n">
        <f aca="false">'Raw Data'!F297</f>
        <v>35.6746556814646</v>
      </c>
      <c r="D300" s="15" t="n">
        <f aca="false">'Raw Data'!H297</f>
        <v>0.0287394521856427</v>
      </c>
      <c r="E300" s="15" t="n">
        <f aca="false">'Raw Data'!I297</f>
        <v>0.0287394521856428</v>
      </c>
      <c r="F300" s="17" t="b">
        <f aca="false">'Raw Data'!S297</f>
        <v>0</v>
      </c>
    </row>
    <row r="301" customFormat="false" ht="15" hidden="false" customHeight="true" outlineLevel="0" collapsed="false">
      <c r="A301" s="12" t="n">
        <f aca="false">'Raw Data'!A298</f>
        <v>41934</v>
      </c>
      <c r="B301" s="32" t="n">
        <f aca="false">'Raw Data'!E298</f>
        <v>36.6810807463983</v>
      </c>
      <c r="C301" s="32" t="n">
        <f aca="false">'Raw Data'!F298</f>
        <v>35.7318482626946</v>
      </c>
      <c r="D301" s="15" t="n">
        <f aca="false">'Raw Data'!H298</f>
        <v>0.0258779857187523</v>
      </c>
      <c r="E301" s="15" t="n">
        <f aca="false">'Raw Data'!I298</f>
        <v>0.0258779857187521</v>
      </c>
      <c r="F301" s="17" t="b">
        <f aca="false">'Raw Data'!S298</f>
        <v>0</v>
      </c>
    </row>
    <row r="302" customFormat="false" ht="15" hidden="false" customHeight="true" outlineLevel="0" collapsed="false">
      <c r="A302" s="12" t="n">
        <f aca="false">'Raw Data'!A299</f>
        <v>41935</v>
      </c>
      <c r="B302" s="32" t="n">
        <f aca="false">'Raw Data'!E299</f>
        <v>36.7695755260551</v>
      </c>
      <c r="C302" s="32" t="n">
        <f aca="false">'Raw Data'!F299</f>
        <v>35.7464513575126</v>
      </c>
      <c r="D302" s="15" t="n">
        <f aca="false">'Raw Data'!H299</f>
        <v>0.0278252918045653</v>
      </c>
      <c r="E302" s="15" t="n">
        <f aca="false">'Raw Data'!I299</f>
        <v>0.0278252918045654</v>
      </c>
      <c r="F302" s="17" t="b">
        <f aca="false">'Raw Data'!S299</f>
        <v>0</v>
      </c>
    </row>
    <row r="303" customFormat="false" ht="15" hidden="false" customHeight="true" outlineLevel="0" collapsed="false">
      <c r="A303" s="12" t="n">
        <f aca="false">'Raw Data'!A300</f>
        <v>41936</v>
      </c>
      <c r="B303" s="32" t="n">
        <f aca="false">'Raw Data'!E300</f>
        <v>36.716509774782</v>
      </c>
      <c r="C303" s="32" t="n">
        <f aca="false">'Raw Data'!F300</f>
        <v>35.6822213899576</v>
      </c>
      <c r="D303" s="15" t="n">
        <f aca="false">'Raw Data'!H300</f>
        <v>0.0281695725211525</v>
      </c>
      <c r="E303" s="15" t="n">
        <f aca="false">'Raw Data'!I300</f>
        <v>0.0281695725211524</v>
      </c>
      <c r="F303" s="17" t="b">
        <f aca="false">'Raw Data'!S300</f>
        <v>0</v>
      </c>
    </row>
    <row r="304" customFormat="false" ht="15" hidden="false" customHeight="true" outlineLevel="0" collapsed="false">
      <c r="A304" s="12" t="n">
        <f aca="false">'Raw Data'!A301</f>
        <v>41937</v>
      </c>
      <c r="B304" s="32" t="n">
        <f aca="false">'Raw Data'!E301</f>
        <v>36.6979856104256</v>
      </c>
      <c r="C304" s="32" t="n">
        <f aca="false">'Raw Data'!F301</f>
        <v>35.65640333654</v>
      </c>
      <c r="D304" s="15" t="n">
        <f aca="false">'Raw Data'!H301</f>
        <v>0.0283825462504303</v>
      </c>
      <c r="E304" s="15" t="n">
        <f aca="false">'Raw Data'!I301</f>
        <v>0.0283825462504304</v>
      </c>
      <c r="F304" s="17" t="b">
        <f aca="false">'Raw Data'!S301</f>
        <v>0</v>
      </c>
    </row>
    <row r="305" customFormat="false" ht="15" hidden="false" customHeight="true" outlineLevel="0" collapsed="false">
      <c r="A305" s="12" t="n">
        <f aca="false">'Raw Data'!A302</f>
        <v>41938</v>
      </c>
      <c r="B305" s="32" t="n">
        <f aca="false">'Raw Data'!E302</f>
        <v>36.6992369514431</v>
      </c>
      <c r="C305" s="32" t="n">
        <f aca="false">'Raw Data'!F302</f>
        <v>35.6194271698138</v>
      </c>
      <c r="D305" s="15" t="n">
        <f aca="false">'Raw Data'!H302</f>
        <v>0.029423221606977</v>
      </c>
      <c r="E305" s="15" t="n">
        <f aca="false">'Raw Data'!I302</f>
        <v>0.0294232216069769</v>
      </c>
      <c r="F305" s="17" t="b">
        <f aca="false">'Raw Data'!S302</f>
        <v>0</v>
      </c>
    </row>
    <row r="306" customFormat="false" ht="15" hidden="false" customHeight="true" outlineLevel="0" collapsed="false">
      <c r="A306" s="12" t="n">
        <f aca="false">'Raw Data'!A303</f>
        <v>41939</v>
      </c>
      <c r="B306" s="32" t="n">
        <f aca="false">'Raw Data'!E303</f>
        <v>36.7650717488187</v>
      </c>
      <c r="C306" s="32" t="n">
        <f aca="false">'Raw Data'!F303</f>
        <v>35.617102349562</v>
      </c>
      <c r="D306" s="15" t="n">
        <f aca="false">'Raw Data'!H303</f>
        <v>0.0312244569274794</v>
      </c>
      <c r="E306" s="15" t="n">
        <f aca="false">'Raw Data'!I303</f>
        <v>0.0312244569274795</v>
      </c>
      <c r="F306" s="17" t="b">
        <f aca="false">'Raw Data'!S303</f>
        <v>0</v>
      </c>
    </row>
    <row r="307" customFormat="false" ht="15" hidden="false" customHeight="true" outlineLevel="0" collapsed="false">
      <c r="A307" s="12" t="n">
        <f aca="false">'Raw Data'!A304</f>
        <v>41940</v>
      </c>
      <c r="B307" s="32" t="n">
        <f aca="false">'Raw Data'!E304</f>
        <v>36.7669637091835</v>
      </c>
      <c r="C307" s="32" t="n">
        <f aca="false">'Raw Data'!F304</f>
        <v>35.7564892480141</v>
      </c>
      <c r="D307" s="15" t="n">
        <f aca="false">'Raw Data'!H304</f>
        <v>0.0274832175199983</v>
      </c>
      <c r="E307" s="15" t="n">
        <f aca="false">'Raw Data'!I304</f>
        <v>0.0274832175199983</v>
      </c>
      <c r="F307" s="17" t="b">
        <f aca="false">'Raw Data'!S304</f>
        <v>0</v>
      </c>
    </row>
    <row r="308" customFormat="false" ht="15" hidden="false" customHeight="true" outlineLevel="0" collapsed="false">
      <c r="A308" s="12" t="n">
        <f aca="false">'Raw Data'!A305</f>
        <v>41941</v>
      </c>
      <c r="B308" s="32" t="n">
        <f aca="false">'Raw Data'!E305</f>
        <v>36.7347145346824</v>
      </c>
      <c r="C308" s="32" t="n">
        <f aca="false">'Raw Data'!F305</f>
        <v>35.892718644708</v>
      </c>
      <c r="D308" s="15" t="n">
        <f aca="false">'Raw Data'!H305</f>
        <v>0.0229209863378532</v>
      </c>
      <c r="E308" s="15" t="n">
        <f aca="false">'Raw Data'!I305</f>
        <v>0.0229209863378532</v>
      </c>
      <c r="F308" s="17" t="b">
        <f aca="false">'Raw Data'!S305</f>
        <v>0</v>
      </c>
    </row>
    <row r="309" customFormat="false" ht="15" hidden="false" customHeight="true" outlineLevel="0" collapsed="false">
      <c r="A309" s="12" t="n">
        <f aca="false">'Raw Data'!A306</f>
        <v>41942</v>
      </c>
      <c r="B309" s="32" t="n">
        <f aca="false">'Raw Data'!E306</f>
        <v>36.7252324091625</v>
      </c>
      <c r="C309" s="32" t="n">
        <f aca="false">'Raw Data'!F306</f>
        <v>35.9816103212835</v>
      </c>
      <c r="D309" s="15" t="n">
        <f aca="false">'Raw Data'!H306</f>
        <v>0.0202482609121213</v>
      </c>
      <c r="E309" s="15" t="n">
        <f aca="false">'Raw Data'!I306</f>
        <v>0.0202482609121214</v>
      </c>
      <c r="F309" s="17" t="b">
        <f aca="false">'Raw Data'!S306</f>
        <v>0</v>
      </c>
    </row>
    <row r="310" customFormat="false" ht="15" hidden="false" customHeight="true" outlineLevel="0" collapsed="false">
      <c r="A310" s="12" t="n">
        <f aca="false">'Raw Data'!A307</f>
        <v>41943</v>
      </c>
      <c r="B310" s="32" t="n">
        <f aca="false">'Raw Data'!E307</f>
        <v>36.7318480976909</v>
      </c>
      <c r="C310" s="32" t="n">
        <f aca="false">'Raw Data'!F307</f>
        <v>35.9972925877621</v>
      </c>
      <c r="D310" s="15" t="n">
        <f aca="false">'Raw Data'!H307</f>
        <v>0.0199977825230905</v>
      </c>
      <c r="E310" s="15" t="n">
        <f aca="false">'Raw Data'!I307</f>
        <v>0.0199977825230905</v>
      </c>
      <c r="F310" s="17" t="b">
        <f aca="false">'Raw Data'!S307</f>
        <v>0</v>
      </c>
    </row>
    <row r="311" customFormat="false" ht="15" hidden="false" customHeight="true" outlineLevel="0" collapsed="false">
      <c r="A311" s="12" t="n">
        <f aca="false">'Raw Data'!A308</f>
        <v>41944</v>
      </c>
      <c r="B311" s="32" t="n">
        <f aca="false">'Raw Data'!E308</f>
        <v>36.7686630290115</v>
      </c>
      <c r="C311" s="32" t="n">
        <f aca="false">'Raw Data'!F308</f>
        <v>36.0533136994753</v>
      </c>
      <c r="D311" s="15" t="n">
        <f aca="false">'Raw Data'!H308</f>
        <v>0.019455407692465</v>
      </c>
      <c r="E311" s="15" t="n">
        <f aca="false">'Raw Data'!I308</f>
        <v>0.0194554076924649</v>
      </c>
      <c r="F311" s="17" t="b">
        <f aca="false">'Raw Data'!S308</f>
        <v>0</v>
      </c>
    </row>
    <row r="312" customFormat="false" ht="15" hidden="false" customHeight="true" outlineLevel="0" collapsed="false">
      <c r="A312" s="12" t="n">
        <f aca="false">'Raw Data'!A309</f>
        <v>41945</v>
      </c>
      <c r="B312" s="32" t="n">
        <f aca="false">'Raw Data'!E309</f>
        <v>36.7697328403108</v>
      </c>
      <c r="C312" s="32" t="n">
        <f aca="false">'Raw Data'!F309</f>
        <v>36.0689293713953</v>
      </c>
      <c r="D312" s="15" t="n">
        <f aca="false">'Raw Data'!H309</f>
        <v>0.0190592483214123</v>
      </c>
      <c r="E312" s="15" t="n">
        <f aca="false">'Raw Data'!I309</f>
        <v>0.0190592483214122</v>
      </c>
      <c r="F312" s="17" t="b">
        <f aca="false">'Raw Data'!S309</f>
        <v>0</v>
      </c>
    </row>
    <row r="313" customFormat="false" ht="15" hidden="false" customHeight="true" outlineLevel="0" collapsed="false">
      <c r="A313" s="12" t="n">
        <f aca="false">'Raw Data'!A310</f>
        <v>41946</v>
      </c>
      <c r="B313" s="32" t="n">
        <f aca="false">'Raw Data'!E310</f>
        <v>36.7978718212509</v>
      </c>
      <c r="C313" s="32" t="n">
        <f aca="false">'Raw Data'!F310</f>
        <v>36.0654432943134</v>
      </c>
      <c r="D313" s="15" t="n">
        <f aca="false">'Raw Data'!H310</f>
        <v>0.0199041001744707</v>
      </c>
      <c r="E313" s="15" t="n">
        <f aca="false">'Raw Data'!I310</f>
        <v>0.0199041001744707</v>
      </c>
      <c r="F313" s="17" t="b">
        <f aca="false">'Raw Data'!S310</f>
        <v>0</v>
      </c>
    </row>
    <row r="314" customFormat="false" ht="15" hidden="false" customHeight="true" outlineLevel="0" collapsed="false">
      <c r="A314" s="12" t="n">
        <f aca="false">'Raw Data'!A311</f>
        <v>41947</v>
      </c>
      <c r="B314" s="32" t="n">
        <f aca="false">'Raw Data'!E311</f>
        <v>39.3984445597654</v>
      </c>
      <c r="C314" s="32" t="n">
        <f aca="false">'Raw Data'!F311</f>
        <v>36.105376042954</v>
      </c>
      <c r="D314" s="15" t="n">
        <f aca="false">'Raw Data'!H311</f>
        <v>0.0835837189413922</v>
      </c>
      <c r="E314" s="15" t="n">
        <f aca="false">'Raw Data'!I311</f>
        <v>0.0835837189413922</v>
      </c>
      <c r="F314" s="17" t="b">
        <f aca="false">'Raw Data'!S311</f>
        <v>0</v>
      </c>
    </row>
    <row r="315" customFormat="false" ht="15" hidden="false" customHeight="true" outlineLevel="0" collapsed="false">
      <c r="A315" s="12" t="n">
        <f aca="false">'Raw Data'!A312</f>
        <v>41948</v>
      </c>
      <c r="B315" s="32" t="n">
        <f aca="false">'Raw Data'!E312</f>
        <v>39.3919128857989</v>
      </c>
      <c r="C315" s="32" t="n">
        <f aca="false">'Raw Data'!F312</f>
        <v>36.7475767877018</v>
      </c>
      <c r="D315" s="15" t="n">
        <f aca="false">'Raw Data'!H312</f>
        <v>0.0671289080518443</v>
      </c>
      <c r="E315" s="15" t="n">
        <f aca="false">'Raw Data'!I312</f>
        <v>0.0671289080518444</v>
      </c>
      <c r="F315" s="17" t="b">
        <f aca="false">'Raw Data'!S312</f>
        <v>0</v>
      </c>
    </row>
    <row r="316" customFormat="false" ht="15" hidden="false" customHeight="true" outlineLevel="0" collapsed="false">
      <c r="A316" s="12" t="n">
        <f aca="false">'Raw Data'!A313</f>
        <v>41949</v>
      </c>
      <c r="B316" s="32" t="n">
        <f aca="false">'Raw Data'!E313</f>
        <v>37.6212464619295</v>
      </c>
      <c r="C316" s="32" t="n">
        <f aca="false">'Raw Data'!F313</f>
        <v>36.5899030255797</v>
      </c>
      <c r="D316" s="15" t="n">
        <f aca="false">'Raw Data'!H313</f>
        <v>0.0274138560877667</v>
      </c>
      <c r="E316" s="15" t="n">
        <f aca="false">'Raw Data'!I313</f>
        <v>0.0274138560877667</v>
      </c>
      <c r="F316" s="17" t="b">
        <f aca="false">'Raw Data'!S313</f>
        <v>0</v>
      </c>
    </row>
    <row r="317" customFormat="false" ht="15" hidden="false" customHeight="true" outlineLevel="0" collapsed="false">
      <c r="A317" s="12" t="n">
        <f aca="false">'Raw Data'!A314</f>
        <v>41950</v>
      </c>
      <c r="B317" s="32" t="n">
        <f aca="false">'Raw Data'!E314</f>
        <v>37.6592702477714</v>
      </c>
      <c r="C317" s="32" t="n">
        <f aca="false">'Raw Data'!F314</f>
        <v>36.6843641312323</v>
      </c>
      <c r="D317" s="15" t="n">
        <f aca="false">'Raw Data'!H314</f>
        <v>0.0258875466817305</v>
      </c>
      <c r="E317" s="15" t="n">
        <f aca="false">'Raw Data'!I314</f>
        <v>0.0258875466817305</v>
      </c>
      <c r="F317" s="17" t="b">
        <f aca="false">'Raw Data'!S314</f>
        <v>0</v>
      </c>
    </row>
    <row r="318" customFormat="false" ht="15" hidden="false" customHeight="true" outlineLevel="0" collapsed="false">
      <c r="A318" s="12" t="n">
        <f aca="false">'Raw Data'!A315</f>
        <v>41951</v>
      </c>
      <c r="B318" s="32" t="n">
        <f aca="false">'Raw Data'!E315</f>
        <v>37.6586932481207</v>
      </c>
      <c r="C318" s="32" t="n">
        <f aca="false">'Raw Data'!F315</f>
        <v>36.7152823326458</v>
      </c>
      <c r="D318" s="15" t="n">
        <f aca="false">'Raw Data'!H315</f>
        <v>0.02505161050754</v>
      </c>
      <c r="E318" s="15" t="n">
        <f aca="false">'Raw Data'!I315</f>
        <v>0.0250516105075401</v>
      </c>
      <c r="F318" s="17" t="b">
        <f aca="false">'Raw Data'!S315</f>
        <v>0</v>
      </c>
    </row>
    <row r="319" customFormat="false" ht="15" hidden="false" customHeight="true" outlineLevel="0" collapsed="false">
      <c r="A319" s="12" t="n">
        <f aca="false">'Raw Data'!A316</f>
        <v>41952</v>
      </c>
      <c r="B319" s="32" t="n">
        <f aca="false">'Raw Data'!E316</f>
        <v>37.6603804758361</v>
      </c>
      <c r="C319" s="32" t="n">
        <f aca="false">'Raw Data'!F316</f>
        <v>36.5824930862059</v>
      </c>
      <c r="D319" s="15" t="n">
        <f aca="false">'Raw Data'!H316</f>
        <v>0.0286212559727551</v>
      </c>
      <c r="E319" s="15" t="n">
        <f aca="false">'Raw Data'!I316</f>
        <v>0.0286212559727551</v>
      </c>
      <c r="F319" s="17" t="b">
        <f aca="false">'Raw Data'!S316</f>
        <v>0</v>
      </c>
    </row>
    <row r="320" customFormat="false" ht="15" hidden="false" customHeight="true" outlineLevel="0" collapsed="false">
      <c r="A320" s="12" t="n">
        <f aca="false">'Raw Data'!A317</f>
        <v>41953</v>
      </c>
      <c r="B320" s="32" t="n">
        <f aca="false">'Raw Data'!E317</f>
        <v>37.7496485697101</v>
      </c>
      <c r="C320" s="32" t="n">
        <f aca="false">'Raw Data'!F317</f>
        <v>36.6902806023965</v>
      </c>
      <c r="D320" s="15" t="n">
        <f aca="false">'Raw Data'!H317</f>
        <v>0.0280629888608707</v>
      </c>
      <c r="E320" s="15" t="n">
        <f aca="false">'Raw Data'!I317</f>
        <v>0.0280629888608708</v>
      </c>
      <c r="F320" s="17" t="b">
        <f aca="false">'Raw Data'!S317</f>
        <v>0</v>
      </c>
    </row>
    <row r="321" customFormat="false" ht="15" hidden="false" customHeight="true" outlineLevel="0" collapsed="false">
      <c r="A321" s="12" t="n">
        <f aca="false">'Raw Data'!A318</f>
        <v>41954</v>
      </c>
      <c r="B321" s="32" t="n">
        <f aca="false">'Raw Data'!E318</f>
        <v>37.610799315017</v>
      </c>
      <c r="C321" s="32" t="n">
        <f aca="false">'Raw Data'!F318</f>
        <v>36.738053846086</v>
      </c>
      <c r="D321" s="15" t="n">
        <f aca="false">'Raw Data'!H318</f>
        <v>0.0232046509201014</v>
      </c>
      <c r="E321" s="15" t="n">
        <f aca="false">'Raw Data'!I318</f>
        <v>0.0232046509201014</v>
      </c>
      <c r="F321" s="17" t="b">
        <f aca="false">'Raw Data'!S318</f>
        <v>0</v>
      </c>
    </row>
    <row r="322" customFormat="false" ht="15" hidden="false" customHeight="true" outlineLevel="0" collapsed="false">
      <c r="A322" s="12" t="n">
        <f aca="false">'Raw Data'!A319</f>
        <v>41955</v>
      </c>
      <c r="B322" s="32" t="n">
        <f aca="false">'Raw Data'!E319</f>
        <v>37.6231475376867</v>
      </c>
      <c r="C322" s="32" t="n">
        <f aca="false">'Raw Data'!F319</f>
        <v>36.7502985358408</v>
      </c>
      <c r="D322" s="15" t="n">
        <f aca="false">'Raw Data'!H319</f>
        <v>0.0231997868060258</v>
      </c>
      <c r="E322" s="15" t="n">
        <f aca="false">'Raw Data'!I319</f>
        <v>0.0231997868060259</v>
      </c>
      <c r="F322" s="17" t="b">
        <f aca="false">'Raw Data'!S319</f>
        <v>0</v>
      </c>
    </row>
    <row r="323" customFormat="false" ht="15" hidden="false" customHeight="true" outlineLevel="0" collapsed="false">
      <c r="A323" s="12" t="n">
        <f aca="false">'Raw Data'!A320</f>
        <v>41956</v>
      </c>
      <c r="B323" s="32" t="n">
        <f aca="false">'Raw Data'!E320</f>
        <v>37.539646933138</v>
      </c>
      <c r="C323" s="32" t="n">
        <f aca="false">'Raw Data'!F320</f>
        <v>36.833027880701</v>
      </c>
      <c r="D323" s="15" t="n">
        <f aca="false">'Raw Data'!H320</f>
        <v>0.0188232737962522</v>
      </c>
      <c r="E323" s="15" t="n">
        <f aca="false">'Raw Data'!I320</f>
        <v>0.0188232737962522</v>
      </c>
      <c r="F323" s="17" t="b">
        <f aca="false">'Raw Data'!S320</f>
        <v>0</v>
      </c>
    </row>
    <row r="324" customFormat="false" ht="15" hidden="false" customHeight="true" outlineLevel="0" collapsed="false">
      <c r="A324" s="12" t="n">
        <f aca="false">'Raw Data'!A321</f>
        <v>41957</v>
      </c>
      <c r="B324" s="32" t="n">
        <f aca="false">'Raw Data'!E321</f>
        <v>37.602451291347</v>
      </c>
      <c r="C324" s="32" t="n">
        <f aca="false">'Raw Data'!F321</f>
        <v>36.8963091117298</v>
      </c>
      <c r="D324" s="15" t="n">
        <f aca="false">'Raw Data'!H321</f>
        <v>0.0187791528309133</v>
      </c>
      <c r="E324" s="15" t="n">
        <f aca="false">'Raw Data'!I321</f>
        <v>0.0187791528309132</v>
      </c>
      <c r="F324" s="17" t="b">
        <f aca="false">'Raw Data'!S321</f>
        <v>0</v>
      </c>
    </row>
    <row r="325" customFormat="false" ht="15" hidden="false" customHeight="true" outlineLevel="0" collapsed="false">
      <c r="A325" s="12" t="n">
        <f aca="false">'Raw Data'!A322</f>
        <v>41958</v>
      </c>
      <c r="B325" s="32" t="n">
        <f aca="false">'Raw Data'!E322</f>
        <v>37.6271367617473</v>
      </c>
      <c r="C325" s="32" t="n">
        <f aca="false">'Raw Data'!F322</f>
        <v>36.8384585215266</v>
      </c>
      <c r="D325" s="15" t="n">
        <f aca="false">'Raw Data'!H322</f>
        <v>0.0209603575529681</v>
      </c>
      <c r="E325" s="15" t="n">
        <f aca="false">'Raw Data'!I322</f>
        <v>0.020960357552968</v>
      </c>
      <c r="F325" s="17" t="b">
        <f aca="false">'Raw Data'!S322</f>
        <v>0</v>
      </c>
    </row>
    <row r="326" customFormat="false" ht="15" hidden="false" customHeight="true" outlineLevel="0" collapsed="false">
      <c r="A326" s="12" t="n">
        <f aca="false">'Raw Data'!A323</f>
        <v>41959</v>
      </c>
      <c r="B326" s="32" t="n">
        <f aca="false">'Raw Data'!E323</f>
        <v>37.6159825310959</v>
      </c>
      <c r="C326" s="32" t="n">
        <f aca="false">'Raw Data'!F323</f>
        <v>36.6414527311949</v>
      </c>
      <c r="D326" s="15" t="n">
        <f aca="false">'Raw Data'!H323</f>
        <v>0.0259073333813747</v>
      </c>
      <c r="E326" s="15" t="n">
        <f aca="false">'Raw Data'!I323</f>
        <v>0.0259073333813747</v>
      </c>
      <c r="F326" s="17" t="b">
        <f aca="false">'Raw Data'!S323</f>
        <v>0</v>
      </c>
    </row>
    <row r="327" customFormat="false" ht="15" hidden="false" customHeight="true" outlineLevel="0" collapsed="false">
      <c r="A327" s="12" t="n">
        <f aca="false">'Raw Data'!A324</f>
        <v>41960</v>
      </c>
      <c r="B327" s="32" t="n">
        <f aca="false">'Raw Data'!E324</f>
        <v>37.576549448485</v>
      </c>
      <c r="C327" s="32" t="n">
        <f aca="false">'Raw Data'!F324</f>
        <v>36.7517584280847</v>
      </c>
      <c r="D327" s="15" t="n">
        <f aca="false">'Raw Data'!H324</f>
        <v>0.0219496210404054</v>
      </c>
      <c r="E327" s="15" t="n">
        <f aca="false">'Raw Data'!I324</f>
        <v>0.0219496210404053</v>
      </c>
      <c r="F327" s="17" t="b">
        <f aca="false">'Raw Data'!S324</f>
        <v>0</v>
      </c>
    </row>
    <row r="328" customFormat="false" ht="15" hidden="false" customHeight="true" outlineLevel="0" collapsed="false">
      <c r="A328" s="12" t="n">
        <f aca="false">'Raw Data'!A325</f>
        <v>41961</v>
      </c>
      <c r="B328" s="32" t="n">
        <f aca="false">'Raw Data'!E325</f>
        <v>37.6166959471894</v>
      </c>
      <c r="C328" s="32" t="n">
        <f aca="false">'Raw Data'!F325</f>
        <v>36.7317484025182</v>
      </c>
      <c r="D328" s="15" t="n">
        <f aca="false">'Raw Data'!H325</f>
        <v>0.0235253927116199</v>
      </c>
      <c r="E328" s="15" t="n">
        <f aca="false">'Raw Data'!I325</f>
        <v>0.02352539271162</v>
      </c>
      <c r="F328" s="17" t="b">
        <f aca="false">'Raw Data'!S325</f>
        <v>0</v>
      </c>
    </row>
    <row r="329" customFormat="false" ht="15" hidden="false" customHeight="true" outlineLevel="0" collapsed="false">
      <c r="A329" s="12" t="n">
        <f aca="false">'Raw Data'!A326</f>
        <v>41962</v>
      </c>
      <c r="B329" s="32" t="n">
        <f aca="false">'Raw Data'!E326</f>
        <v>37.590320186166</v>
      </c>
      <c r="C329" s="32" t="n">
        <f aca="false">'Raw Data'!F326</f>
        <v>36.7231247532666</v>
      </c>
      <c r="D329" s="15" t="n">
        <f aca="false">'Raw Data'!H326</f>
        <v>0.023069647414669</v>
      </c>
      <c r="E329" s="15" t="n">
        <f aca="false">'Raw Data'!I326</f>
        <v>0.023069647414669</v>
      </c>
      <c r="F329" s="17" t="b">
        <f aca="false">'Raw Data'!S326</f>
        <v>0</v>
      </c>
    </row>
    <row r="330" customFormat="false" ht="15" hidden="false" customHeight="true" outlineLevel="0" collapsed="false">
      <c r="A330" s="12" t="n">
        <f aca="false">'Raw Data'!A327</f>
        <v>41963</v>
      </c>
      <c r="B330" s="32" t="n">
        <f aca="false">'Raw Data'!E327</f>
        <v>37.5024844732331</v>
      </c>
      <c r="C330" s="32" t="n">
        <f aca="false">'Raw Data'!F327</f>
        <v>36.765718320471</v>
      </c>
      <c r="D330" s="15" t="n">
        <f aca="false">'Raw Data'!H327</f>
        <v>0.019645795821552</v>
      </c>
      <c r="E330" s="15" t="n">
        <f aca="false">'Raw Data'!I327</f>
        <v>0.0196457958215521</v>
      </c>
      <c r="F330" s="17" t="b">
        <f aca="false">'Raw Data'!S327</f>
        <v>0</v>
      </c>
    </row>
    <row r="331" customFormat="false" ht="15" hidden="false" customHeight="true" outlineLevel="0" collapsed="false">
      <c r="A331" s="12" t="n">
        <f aca="false">'Raw Data'!A328</f>
        <v>41964</v>
      </c>
      <c r="B331" s="32" t="n">
        <f aca="false">'Raw Data'!E328</f>
        <v>42.1342093989227</v>
      </c>
      <c r="C331" s="32" t="n">
        <f aca="false">'Raw Data'!F328</f>
        <v>36.8403577549585</v>
      </c>
      <c r="D331" s="15" t="n">
        <f aca="false">'Raw Data'!H328</f>
        <v>0.125642600620377</v>
      </c>
      <c r="E331" s="15" t="n">
        <f aca="false">'Raw Data'!I328</f>
        <v>0.125642600620377</v>
      </c>
      <c r="F331" s="17" t="b">
        <f aca="false">'Raw Data'!S328</f>
        <v>0</v>
      </c>
    </row>
    <row r="332" customFormat="false" ht="15" hidden="false" customHeight="true" outlineLevel="0" collapsed="false">
      <c r="A332" s="12" t="n">
        <f aca="false">'Raw Data'!A329</f>
        <v>41965</v>
      </c>
      <c r="B332" s="32" t="n">
        <f aca="false">'Raw Data'!E329</f>
        <v>42.3333177660516</v>
      </c>
      <c r="C332" s="32" t="n">
        <f aca="false">'Raw Data'!F329</f>
        <v>36.7015046750973</v>
      </c>
      <c r="D332" s="15" t="n">
        <f aca="false">'Raw Data'!H329</f>
        <v>0.133035003825536</v>
      </c>
      <c r="E332" s="15" t="n">
        <f aca="false">'Raw Data'!I329</f>
        <v>0.133035003825536</v>
      </c>
      <c r="F332" s="17" t="b">
        <f aca="false">'Raw Data'!S329</f>
        <v>0</v>
      </c>
    </row>
    <row r="333" customFormat="false" ht="15" hidden="false" customHeight="true" outlineLevel="0" collapsed="false">
      <c r="A333" s="12" t="n">
        <f aca="false">'Raw Data'!A330</f>
        <v>41966</v>
      </c>
      <c r="B333" s="32" t="n">
        <f aca="false">'Raw Data'!E330</f>
        <v>42.3608568910718</v>
      </c>
      <c r="C333" s="32" t="n">
        <f aca="false">'Raw Data'!F330</f>
        <v>36.4902370112633</v>
      </c>
      <c r="D333" s="15" t="n">
        <f aca="false">'Raw Data'!H330</f>
        <v>0.138585956721896</v>
      </c>
      <c r="E333" s="15" t="n">
        <f aca="false">'Raw Data'!I330</f>
        <v>0.138585956721896</v>
      </c>
      <c r="F333" s="17" t="b">
        <f aca="false">'Raw Data'!S330</f>
        <v>0</v>
      </c>
    </row>
    <row r="334" customFormat="false" ht="15" hidden="false" customHeight="true" outlineLevel="0" collapsed="false">
      <c r="A334" s="12" t="n">
        <f aca="false">'Raw Data'!A331</f>
        <v>41967</v>
      </c>
      <c r="B334" s="32" t="n">
        <f aca="false">'Raw Data'!E331</f>
        <v>41.9193820178939</v>
      </c>
      <c r="C334" s="32" t="n">
        <f aca="false">'Raw Data'!F331</f>
        <v>36.6864925399306</v>
      </c>
      <c r="D334" s="15" t="n">
        <f aca="false">'Raw Data'!H331</f>
        <v>0.124832219037237</v>
      </c>
      <c r="E334" s="15" t="n">
        <f aca="false">'Raw Data'!I331</f>
        <v>0.124832219037237</v>
      </c>
      <c r="F334" s="17" t="b">
        <f aca="false">'Raw Data'!S331</f>
        <v>0</v>
      </c>
    </row>
    <row r="335" customFormat="false" ht="15" hidden="false" customHeight="true" outlineLevel="0" collapsed="false">
      <c r="A335" s="12" t="n">
        <f aca="false">'Raw Data'!A332</f>
        <v>41968</v>
      </c>
      <c r="B335" s="32" t="n">
        <f aca="false">'Raw Data'!E332</f>
        <v>41.8704982362397</v>
      </c>
      <c r="C335" s="32" t="n">
        <f aca="false">'Raw Data'!F332</f>
        <v>36.8535028545106</v>
      </c>
      <c r="D335" s="15" t="n">
        <f aca="false">'Raw Data'!H332</f>
        <v>0.119821726348285</v>
      </c>
      <c r="E335" s="15" t="n">
        <f aca="false">'Raw Data'!I332</f>
        <v>0.119821726348285</v>
      </c>
      <c r="F335" s="17" t="b">
        <f aca="false">'Raw Data'!S332</f>
        <v>0</v>
      </c>
    </row>
    <row r="336" customFormat="false" ht="15" hidden="false" customHeight="true" outlineLevel="0" collapsed="false">
      <c r="A336" s="12" t="n">
        <f aca="false">'Raw Data'!A333</f>
        <v>41969</v>
      </c>
      <c r="B336" s="32" t="n">
        <f aca="false">'Raw Data'!E333</f>
        <v>42.8369976516924</v>
      </c>
      <c r="C336" s="32" t="n">
        <f aca="false">'Raw Data'!F333</f>
        <v>36.7487294334012</v>
      </c>
      <c r="D336" s="15" t="n">
        <f aca="false">'Raw Data'!H333</f>
        <v>0.142126398955288</v>
      </c>
      <c r="E336" s="15" t="n">
        <f aca="false">'Raw Data'!I333</f>
        <v>0.142126398955288</v>
      </c>
      <c r="F336" s="17" t="b">
        <f aca="false">'Raw Data'!S333</f>
        <v>0</v>
      </c>
    </row>
    <row r="337" customFormat="false" ht="15" hidden="false" customHeight="true" outlineLevel="0" collapsed="false">
      <c r="A337" s="12" t="n">
        <f aca="false">'Raw Data'!A334</f>
        <v>41970</v>
      </c>
      <c r="B337" s="32" t="n">
        <f aca="false">'Raw Data'!E334</f>
        <v>42.9280213258521</v>
      </c>
      <c r="C337" s="32" t="n">
        <f aca="false">'Raw Data'!F334</f>
        <v>37.1814654959337</v>
      </c>
      <c r="D337" s="15" t="n">
        <f aca="false">'Raw Data'!H334</f>
        <v>0.13386491276405</v>
      </c>
      <c r="E337" s="15" t="n">
        <f aca="false">'Raw Data'!I334</f>
        <v>0.133864912764049</v>
      </c>
      <c r="F337" s="17" t="b">
        <f aca="false">'Raw Data'!S334</f>
        <v>0</v>
      </c>
    </row>
    <row r="338" customFormat="false" ht="15" hidden="false" customHeight="true" outlineLevel="0" collapsed="false">
      <c r="A338" s="12" t="n">
        <f aca="false">'Raw Data'!A335</f>
        <v>41971</v>
      </c>
      <c r="B338" s="32" t="n">
        <f aca="false">'Raw Data'!E335</f>
        <v>42.7173406228193</v>
      </c>
      <c r="C338" s="32" t="n">
        <f aca="false">'Raw Data'!F335</f>
        <v>37.0917667963972</v>
      </c>
      <c r="D338" s="15" t="n">
        <f aca="false">'Raw Data'!H335</f>
        <v>0.131692978645233</v>
      </c>
      <c r="E338" s="15" t="n">
        <f aca="false">'Raw Data'!I335</f>
        <v>0.131692978645233</v>
      </c>
      <c r="F338" s="17" t="b">
        <f aca="false">'Raw Data'!S335</f>
        <v>0</v>
      </c>
    </row>
    <row r="339" customFormat="false" ht="15" hidden="false" customHeight="true" outlineLevel="0" collapsed="false">
      <c r="A339" s="12" t="n">
        <f aca="false">'Raw Data'!A336</f>
        <v>41972</v>
      </c>
      <c r="B339" s="32" t="n">
        <f aca="false">'Raw Data'!E336</f>
        <v>42.7087164167122</v>
      </c>
      <c r="C339" s="32" t="n">
        <f aca="false">'Raw Data'!F336</f>
        <v>38.6268102915554</v>
      </c>
      <c r="D339" s="15" t="n">
        <f aca="false">'Raw Data'!H336</f>
        <v>0.0955754812513992</v>
      </c>
      <c r="E339" s="15" t="n">
        <f aca="false">'Raw Data'!I336</f>
        <v>0.0955754812513992</v>
      </c>
      <c r="F339" s="17" t="b">
        <f aca="false">'Raw Data'!S336</f>
        <v>0</v>
      </c>
    </row>
    <row r="340" customFormat="false" ht="15" hidden="false" customHeight="true" outlineLevel="0" collapsed="false">
      <c r="A340" s="12" t="n">
        <f aca="false">'Raw Data'!A337</f>
        <v>41973</v>
      </c>
      <c r="B340" s="32" t="n">
        <f aca="false">'Raw Data'!E337</f>
        <v>42.5422432967544</v>
      </c>
      <c r="C340" s="32" t="n">
        <f aca="false">'Raw Data'!F337</f>
        <v>39.2327935597433</v>
      </c>
      <c r="D340" s="15" t="n">
        <f aca="false">'Raw Data'!H337</f>
        <v>0.0777920833634922</v>
      </c>
      <c r="E340" s="15" t="n">
        <f aca="false">'Raw Data'!I337</f>
        <v>0.0777920833634921</v>
      </c>
      <c r="F340" s="17" t="b">
        <f aca="false">'Raw Data'!S337</f>
        <v>0</v>
      </c>
    </row>
    <row r="341" customFormat="false" ht="15" hidden="false" customHeight="true" outlineLevel="0" collapsed="false">
      <c r="A341" s="12" t="n">
        <f aca="false">'Raw Data'!A338</f>
        <v>41974</v>
      </c>
      <c r="B341" s="32" t="n">
        <f aca="false">'Raw Data'!E338</f>
        <v>42.1752277883272</v>
      </c>
      <c r="C341" s="32" t="n">
        <f aca="false">'Raw Data'!F338</f>
        <v>39.0278469766169</v>
      </c>
      <c r="D341" s="15" t="n">
        <f aca="false">'Raw Data'!H338</f>
        <v>0.0746262907578512</v>
      </c>
      <c r="E341" s="15" t="n">
        <f aca="false">'Raw Data'!I338</f>
        <v>0.0746262907578512</v>
      </c>
      <c r="F341" s="17" t="b">
        <f aca="false">'Raw Data'!S338</f>
        <v>0</v>
      </c>
    </row>
    <row r="342" customFormat="false" ht="15" hidden="false" customHeight="true" outlineLevel="0" collapsed="false">
      <c r="A342" s="12" t="n">
        <f aca="false">'Raw Data'!A339</f>
        <v>41975</v>
      </c>
      <c r="B342" s="32" t="n">
        <f aca="false">'Raw Data'!E339</f>
        <v>40.6541592111198</v>
      </c>
      <c r="C342" s="32" t="n">
        <f aca="false">'Raw Data'!F339</f>
        <v>39.4163266927735</v>
      </c>
      <c r="D342" s="15" t="n">
        <f aca="false">'Raw Data'!H339</f>
        <v>0.0304478691077612</v>
      </c>
      <c r="E342" s="15" t="n">
        <f aca="false">'Raw Data'!I339</f>
        <v>0.030447869107761</v>
      </c>
      <c r="F342" s="17" t="b">
        <f aca="false">'Raw Data'!S339</f>
        <v>0</v>
      </c>
    </row>
    <row r="343" customFormat="false" ht="15" hidden="false" customHeight="true" outlineLevel="0" collapsed="false">
      <c r="A343" s="12" t="n">
        <f aca="false">'Raw Data'!A340</f>
        <v>41976</v>
      </c>
      <c r="B343" s="32" t="n">
        <f aca="false">'Raw Data'!E340</f>
        <v>40.1291307675002</v>
      </c>
      <c r="C343" s="32" t="n">
        <f aca="false">'Raw Data'!F340</f>
        <v>39.0442434450135</v>
      </c>
      <c r="D343" s="15" t="n">
        <f aca="false">'Raw Data'!H340</f>
        <v>0.0270349071045759</v>
      </c>
      <c r="E343" s="15" t="n">
        <f aca="false">'Raw Data'!I340</f>
        <v>0.027034907104576</v>
      </c>
      <c r="F343" s="17" t="b">
        <f aca="false">'Raw Data'!S340</f>
        <v>0</v>
      </c>
    </row>
    <row r="344" customFormat="false" ht="15" hidden="false" customHeight="true" outlineLevel="0" collapsed="false">
      <c r="A344" s="12" t="n">
        <f aca="false">'Raw Data'!A341</f>
        <v>41977</v>
      </c>
      <c r="B344" s="32" t="n">
        <f aca="false">'Raw Data'!E341</f>
        <v>40.2022088396347</v>
      </c>
      <c r="C344" s="32" t="n">
        <f aca="false">'Raw Data'!F341</f>
        <v>39.8413951370647</v>
      </c>
      <c r="D344" s="15" t="n">
        <f aca="false">'Raw Data'!H341</f>
        <v>0.0089749720969119</v>
      </c>
      <c r="E344" s="15" t="n">
        <f aca="false">'Raw Data'!I341</f>
        <v>0.00897497209691197</v>
      </c>
      <c r="F344" s="17" t="b">
        <f aca="false">'Raw Data'!S341</f>
        <v>0</v>
      </c>
    </row>
    <row r="345" customFormat="false" ht="15" hidden="false" customHeight="true" outlineLevel="0" collapsed="false">
      <c r="A345" s="12" t="n">
        <f aca="false">'Raw Data'!A342</f>
        <v>41978</v>
      </c>
      <c r="B345" s="32" t="n">
        <f aca="false">'Raw Data'!E342</f>
        <v>40.6918399215389</v>
      </c>
      <c r="C345" s="32" t="n">
        <f aca="false">'Raw Data'!F342</f>
        <v>40.5534456057421</v>
      </c>
      <c r="D345" s="15" t="n">
        <f aca="false">'Raw Data'!H342</f>
        <v>0.00340103362403009</v>
      </c>
      <c r="E345" s="15" t="n">
        <f aca="false">'Raw Data'!I342</f>
        <v>0.00340103362403004</v>
      </c>
      <c r="F345" s="17" t="b">
        <f aca="false">'Raw Data'!S342</f>
        <v>0</v>
      </c>
    </row>
    <row r="346" customFormat="false" ht="15" hidden="false" customHeight="true" outlineLevel="0" collapsed="false">
      <c r="A346" s="12" t="n">
        <f aca="false">'Raw Data'!A343</f>
        <v>41979</v>
      </c>
      <c r="B346" s="32" t="n">
        <f aca="false">'Raw Data'!E343</f>
        <v>39.9389420248808</v>
      </c>
      <c r="C346" s="32" t="n">
        <f aca="false">'Raw Data'!F343</f>
        <v>41.168349158533</v>
      </c>
      <c r="D346" s="15" t="n">
        <f aca="false">'Raw Data'!H343</f>
        <v>-0.0307821657590803</v>
      </c>
      <c r="E346" s="15" t="n">
        <f aca="false">'Raw Data'!I343</f>
        <v>-0.0307821657590803</v>
      </c>
      <c r="F346" s="17" t="b">
        <f aca="false">'Raw Data'!S343</f>
        <v>0</v>
      </c>
    </row>
    <row r="347" customFormat="false" ht="15" hidden="false" customHeight="true" outlineLevel="0" collapsed="false">
      <c r="A347" s="12" t="n">
        <f aca="false">'Raw Data'!A344</f>
        <v>41980</v>
      </c>
      <c r="B347" s="32" t="n">
        <f aca="false">'Raw Data'!E344</f>
        <v>38.5971150867807</v>
      </c>
      <c r="C347" s="32" t="n">
        <f aca="false">'Raw Data'!F344</f>
        <v>41.2624402295278</v>
      </c>
      <c r="D347" s="15" t="n">
        <f aca="false">'Raw Data'!H344</f>
        <v>-0.0690550352469208</v>
      </c>
      <c r="E347" s="15" t="n">
        <f aca="false">'Raw Data'!I344</f>
        <v>-0.0690550352469207</v>
      </c>
      <c r="F347" s="17" t="b">
        <f aca="false">'Raw Data'!S344</f>
        <v>1</v>
      </c>
    </row>
    <row r="348" customFormat="false" ht="15" hidden="false" customHeight="true" outlineLevel="0" collapsed="false">
      <c r="A348" s="12" t="n">
        <f aca="false">'Raw Data'!A345</f>
        <v>41981</v>
      </c>
      <c r="B348" s="32" t="n">
        <f aca="false">'Raw Data'!E345</f>
        <v>40.558744588238</v>
      </c>
      <c r="C348" s="32" t="n">
        <f aca="false">'Raw Data'!F345</f>
        <v>40.990849772316</v>
      </c>
      <c r="D348" s="15" t="n">
        <f aca="false">'Raw Data'!H345</f>
        <v>-0.0106538106261639</v>
      </c>
      <c r="E348" s="15" t="n">
        <f aca="false">'Raw Data'!I345</f>
        <v>-0.010653810626164</v>
      </c>
      <c r="F348" s="17" t="b">
        <f aca="false">'Raw Data'!S345</f>
        <v>0</v>
      </c>
    </row>
    <row r="349" customFormat="false" ht="15" hidden="false" customHeight="true" outlineLevel="0" collapsed="false">
      <c r="A349" s="12" t="n">
        <f aca="false">'Raw Data'!A346</f>
        <v>41982</v>
      </c>
      <c r="B349" s="32" t="n">
        <f aca="false">'Raw Data'!E346</f>
        <v>40.5295237497531</v>
      </c>
      <c r="C349" s="32" t="n">
        <f aca="false">'Raw Data'!F346</f>
        <v>41.3832648900084</v>
      </c>
      <c r="D349" s="15" t="n">
        <f aca="false">'Raw Data'!H346</f>
        <v>-0.0210646723984879</v>
      </c>
      <c r="E349" s="15" t="n">
        <f aca="false">'Raw Data'!I346</f>
        <v>-0.021064672398488</v>
      </c>
      <c r="F349" s="17" t="b">
        <f aca="false">'Raw Data'!S346</f>
        <v>0</v>
      </c>
    </row>
    <row r="350" customFormat="false" ht="15" hidden="false" customHeight="true" outlineLevel="0" collapsed="false">
      <c r="A350" s="12" t="n">
        <f aca="false">'Raw Data'!A347</f>
        <v>41983</v>
      </c>
      <c r="B350" s="32" t="n">
        <f aca="false">'Raw Data'!E347</f>
        <v>39.5225419867335</v>
      </c>
      <c r="C350" s="32" t="n">
        <f aca="false">'Raw Data'!F347</f>
        <v>41.3549495933736</v>
      </c>
      <c r="D350" s="15" t="n">
        <f aca="false">'Raw Data'!H347</f>
        <v>-0.0463636070588566</v>
      </c>
      <c r="E350" s="15" t="n">
        <f aca="false">'Raw Data'!I347</f>
        <v>-0.0463636070588566</v>
      </c>
      <c r="F350" s="17" t="b">
        <f aca="false">'Raw Data'!S347</f>
        <v>0</v>
      </c>
    </row>
    <row r="351" customFormat="false" ht="15" hidden="false" customHeight="true" outlineLevel="0" collapsed="false">
      <c r="A351" s="12" t="n">
        <f aca="false">'Raw Data'!A348</f>
        <v>41984</v>
      </c>
      <c r="B351" s="32" t="n">
        <f aca="false">'Raw Data'!E348</f>
        <v>38.1533213779176</v>
      </c>
      <c r="C351" s="32" t="n">
        <f aca="false">'Raw Data'!F348</f>
        <v>41.3021394290434</v>
      </c>
      <c r="D351" s="15" t="n">
        <f aca="false">'Raw Data'!H348</f>
        <v>-0.0825306405158279</v>
      </c>
      <c r="E351" s="15" t="n">
        <f aca="false">'Raw Data'!I348</f>
        <v>-0.0825306405158279</v>
      </c>
      <c r="F351" s="17" t="b">
        <f aca="false">'Raw Data'!S348</f>
        <v>1</v>
      </c>
    </row>
    <row r="352" customFormat="false" ht="15" hidden="false" customHeight="true" outlineLevel="0" collapsed="false">
      <c r="A352" s="12" t="n">
        <f aca="false">'Raw Data'!A349</f>
        <v>41985</v>
      </c>
      <c r="B352" s="32" t="n">
        <f aca="false">'Raw Data'!E349</f>
        <v>38.4477332905979</v>
      </c>
      <c r="C352" s="32" t="n">
        <f aca="false">'Raw Data'!F349</f>
        <v>41.4982931367695</v>
      </c>
      <c r="D352" s="15" t="n">
        <f aca="false">'Raw Data'!H349</f>
        <v>-0.079343034948633</v>
      </c>
      <c r="E352" s="15" t="n">
        <f aca="false">'Raw Data'!I349</f>
        <v>-0.079343034948633</v>
      </c>
      <c r="F352" s="17" t="b">
        <f aca="false">'Raw Data'!S349</f>
        <v>1</v>
      </c>
    </row>
    <row r="353" customFormat="false" ht="15" hidden="false" customHeight="true" outlineLevel="0" collapsed="false">
      <c r="A353" s="12" t="n">
        <f aca="false">'Raw Data'!A350</f>
        <v>41986</v>
      </c>
      <c r="B353" s="32" t="n">
        <f aca="false">'Raw Data'!E350</f>
        <v>38.2588553429561</v>
      </c>
      <c r="C353" s="32" t="n">
        <f aca="false">'Raw Data'!F350</f>
        <v>41.6992623397126</v>
      </c>
      <c r="D353" s="15" t="n">
        <f aca="false">'Raw Data'!H350</f>
        <v>-0.0899244623477711</v>
      </c>
      <c r="E353" s="15" t="n">
        <f aca="false">'Raw Data'!I350</f>
        <v>-0.089924462347771</v>
      </c>
      <c r="F353" s="17" t="b">
        <f aca="false">'Raw Data'!S350</f>
        <v>1</v>
      </c>
    </row>
    <row r="354" customFormat="false" ht="15" hidden="false" customHeight="true" outlineLevel="0" collapsed="false">
      <c r="A354" s="12" t="n">
        <f aca="false">'Raw Data'!A351</f>
        <v>41987</v>
      </c>
      <c r="B354" s="32" t="n">
        <f aca="false">'Raw Data'!E351</f>
        <v>38.3204032222817</v>
      </c>
      <c r="C354" s="32" t="n">
        <f aca="false">'Raw Data'!F351</f>
        <v>41.5214422832733</v>
      </c>
      <c r="D354" s="15" t="n">
        <f aca="false">'Raw Data'!H351</f>
        <v>-0.0835335432778101</v>
      </c>
      <c r="E354" s="15" t="n">
        <f aca="false">'Raw Data'!I351</f>
        <v>-0.0835335432778101</v>
      </c>
      <c r="F354" s="17" t="b">
        <f aca="false">'Raw Data'!S351</f>
        <v>0</v>
      </c>
    </row>
    <row r="355" customFormat="false" ht="15" hidden="false" customHeight="true" outlineLevel="0" collapsed="false">
      <c r="A355" s="12" t="n">
        <f aca="false">'Raw Data'!A352</f>
        <v>41988</v>
      </c>
      <c r="B355" s="32" t="n">
        <f aca="false">'Raw Data'!E352</f>
        <v>38.4479810214259</v>
      </c>
      <c r="C355" s="32" t="n">
        <f aca="false">'Raw Data'!F352</f>
        <v>41.477950994678</v>
      </c>
      <c r="D355" s="15" t="n">
        <f aca="false">'Raw Data'!H352</f>
        <v>-0.0788069982546953</v>
      </c>
      <c r="E355" s="15" t="n">
        <f aca="false">'Raw Data'!I352</f>
        <v>-0.0788069982546954</v>
      </c>
      <c r="F355" s="17" t="b">
        <f aca="false">'Raw Data'!S352</f>
        <v>0</v>
      </c>
    </row>
    <row r="356" customFormat="false" ht="15" hidden="false" customHeight="true" outlineLevel="0" collapsed="false">
      <c r="A356" s="12" t="n">
        <f aca="false">'Raw Data'!A353</f>
        <v>41989</v>
      </c>
      <c r="B356" s="32" t="n">
        <f aca="false">'Raw Data'!E353</f>
        <v>38.5417654896736</v>
      </c>
      <c r="C356" s="32" t="n">
        <f aca="false">'Raw Data'!F353</f>
        <v>41.6831775951581</v>
      </c>
      <c r="D356" s="15" t="n">
        <f aca="false">'Raw Data'!H353</f>
        <v>-0.0815066996950669</v>
      </c>
      <c r="E356" s="15" t="n">
        <f aca="false">'Raw Data'!I353</f>
        <v>-0.081506699695067</v>
      </c>
      <c r="F356" s="17" t="b">
        <f aca="false">'Raw Data'!S353</f>
        <v>0</v>
      </c>
    </row>
    <row r="357" customFormat="false" ht="15" hidden="false" customHeight="true" outlineLevel="0" collapsed="false">
      <c r="A357" s="12" t="n">
        <f aca="false">'Raw Data'!A354</f>
        <v>41990</v>
      </c>
      <c r="B357" s="32" t="n">
        <f aca="false">'Raw Data'!E354</f>
        <v>38.5280720207396</v>
      </c>
      <c r="C357" s="32" t="n">
        <f aca="false">'Raw Data'!F354</f>
        <v>41.6914675298959</v>
      </c>
      <c r="D357" s="15" t="n">
        <f aca="false">'Raw Data'!H354</f>
        <v>-0.0821062498910765</v>
      </c>
      <c r="E357" s="15" t="n">
        <f aca="false">'Raw Data'!I354</f>
        <v>-0.0821062498910766</v>
      </c>
      <c r="F357" s="17" t="b">
        <f aca="false">'Raw Data'!S354</f>
        <v>0</v>
      </c>
    </row>
    <row r="358" customFormat="false" ht="15" hidden="false" customHeight="true" outlineLevel="0" collapsed="false">
      <c r="A358" s="12" t="n">
        <f aca="false">'Raw Data'!A355</f>
        <v>41991</v>
      </c>
      <c r="B358" s="32" t="n">
        <f aca="false">'Raw Data'!E355</f>
        <v>38.267614012835</v>
      </c>
      <c r="C358" s="32" t="n">
        <f aca="false">'Raw Data'!F355</f>
        <v>41.8751453573442</v>
      </c>
      <c r="D358" s="15" t="n">
        <f aca="false">'Raw Data'!H355</f>
        <v>-0.0942711333740134</v>
      </c>
      <c r="E358" s="15" t="n">
        <f aca="false">'Raw Data'!I355</f>
        <v>-0.0942711333740134</v>
      </c>
      <c r="F358" s="17" t="b">
        <f aca="false">'Raw Data'!S355</f>
        <v>0</v>
      </c>
    </row>
    <row r="359" customFormat="false" ht="15" hidden="false" customHeight="true" outlineLevel="0" collapsed="false">
      <c r="A359" s="12" t="n">
        <f aca="false">'Raw Data'!A356</f>
        <v>41992</v>
      </c>
      <c r="B359" s="32" t="n">
        <f aca="false">'Raw Data'!E356</f>
        <v>38.4181003144145</v>
      </c>
      <c r="C359" s="32" t="n">
        <f aca="false">'Raw Data'!F356</f>
        <v>41.9432625353568</v>
      </c>
      <c r="D359" s="15" t="n">
        <f aca="false">'Raw Data'!H356</f>
        <v>-0.0917578483082789</v>
      </c>
      <c r="E359" s="15" t="n">
        <f aca="false">'Raw Data'!I356</f>
        <v>-0.0917578483082789</v>
      </c>
      <c r="F359" s="17" t="b">
        <f aca="false">'Raw Data'!S356</f>
        <v>0</v>
      </c>
    </row>
    <row r="360" customFormat="false" ht="15" hidden="false" customHeight="true" outlineLevel="0" collapsed="false">
      <c r="A360" s="12" t="n">
        <f aca="false">'Raw Data'!A357</f>
        <v>41993</v>
      </c>
      <c r="B360" s="32" t="n">
        <f aca="false">'Raw Data'!E357</f>
        <v>38.2398493781535</v>
      </c>
      <c r="C360" s="32" t="n">
        <f aca="false">'Raw Data'!F357</f>
        <v>41.8938443115443</v>
      </c>
      <c r="D360" s="15" t="n">
        <f aca="false">'Raw Data'!H357</f>
        <v>-0.0955546371863688</v>
      </c>
      <c r="E360" s="15" t="n">
        <f aca="false">'Raw Data'!I357</f>
        <v>-0.0955546371863687</v>
      </c>
      <c r="F360" s="17" t="b">
        <f aca="false">'Raw Data'!S357</f>
        <v>0</v>
      </c>
    </row>
    <row r="361" customFormat="false" ht="15" hidden="false" customHeight="true" outlineLevel="0" collapsed="false">
      <c r="A361" s="12" t="n">
        <f aca="false">'Raw Data'!A358</f>
        <v>41994</v>
      </c>
      <c r="B361" s="32" t="n">
        <f aca="false">'Raw Data'!E358</f>
        <v>38.2808632742598</v>
      </c>
      <c r="C361" s="32" t="n">
        <f aca="false">'Raw Data'!F358</f>
        <v>41.9829336200598</v>
      </c>
      <c r="D361" s="15" t="n">
        <f aca="false">'Raw Data'!H358</f>
        <v>-0.0967081206940633</v>
      </c>
      <c r="E361" s="15" t="n">
        <f aca="false">'Raw Data'!I358</f>
        <v>-0.0967081206940634</v>
      </c>
      <c r="F361" s="17" t="b">
        <f aca="false">'Raw Data'!S358</f>
        <v>0</v>
      </c>
    </row>
    <row r="362" customFormat="false" ht="15" hidden="false" customHeight="true" outlineLevel="0" collapsed="false">
      <c r="A362" s="12" t="n">
        <f aca="false">'Raw Data'!A359</f>
        <v>41995</v>
      </c>
      <c r="B362" s="32" t="n">
        <f aca="false">'Raw Data'!E359</f>
        <v>40.798779783688</v>
      </c>
      <c r="C362" s="32" t="n">
        <f aca="false">'Raw Data'!F359</f>
        <v>41.920404748793</v>
      </c>
      <c r="D362" s="15" t="n">
        <f aca="false">'Raw Data'!H359</f>
        <v>-0.0274916301676607</v>
      </c>
      <c r="E362" s="15" t="n">
        <f aca="false">'Raw Data'!I359</f>
        <v>-0.0274916301676608</v>
      </c>
      <c r="F362" s="17" t="b">
        <f aca="false">'Raw Data'!S359</f>
        <v>0</v>
      </c>
    </row>
    <row r="363" customFormat="false" ht="15" hidden="false" customHeight="true" outlineLevel="0" collapsed="false">
      <c r="A363" s="12" t="n">
        <f aca="false">'Raw Data'!A360</f>
        <v>41996</v>
      </c>
      <c r="B363" s="32" t="n">
        <f aca="false">'Raw Data'!E360</f>
        <v>40.6781603056453</v>
      </c>
      <c r="C363" s="32" t="n">
        <f aca="false">'Raw Data'!F360</f>
        <v>41.9937179758776</v>
      </c>
      <c r="D363" s="15" t="n">
        <f aca="false">'Raw Data'!H360</f>
        <v>-0.0323406383264994</v>
      </c>
      <c r="E363" s="15" t="n">
        <f aca="false">'Raw Data'!I360</f>
        <v>-0.0323406383264994</v>
      </c>
      <c r="F363" s="17" t="b">
        <f aca="false">'Raw Data'!S360</f>
        <v>0</v>
      </c>
    </row>
    <row r="364" customFormat="false" ht="15" hidden="false" customHeight="true" outlineLevel="0" collapsed="false">
      <c r="A364" s="12" t="n">
        <f aca="false">'Raw Data'!A361</f>
        <v>41997</v>
      </c>
      <c r="B364" s="32" t="n">
        <f aca="false">'Raw Data'!E361</f>
        <v>41.17455501682</v>
      </c>
      <c r="C364" s="32" t="n">
        <f aca="false">'Raw Data'!F361</f>
        <v>41.9941645832328</v>
      </c>
      <c r="D364" s="15" t="n">
        <f aca="false">'Raw Data'!H361</f>
        <v>-0.0199057297905938</v>
      </c>
      <c r="E364" s="15" t="n">
        <f aca="false">'Raw Data'!I361</f>
        <v>-0.0199057297905938</v>
      </c>
      <c r="F364" s="17" t="b">
        <f aca="false">'Raw Data'!S361</f>
        <v>0</v>
      </c>
    </row>
    <row r="365" customFormat="false" ht="15" hidden="false" customHeight="true" outlineLevel="0" collapsed="false">
      <c r="A365" s="12" t="n">
        <f aca="false">'Raw Data'!A362</f>
        <v>41998</v>
      </c>
      <c r="B365" s="32" t="n">
        <f aca="false">'Raw Data'!E362</f>
        <v>41.1742021831957</v>
      </c>
      <c r="C365" s="32" t="n">
        <f aca="false">'Raw Data'!F362</f>
        <v>42.0232615852582</v>
      </c>
      <c r="D365" s="15" t="n">
        <f aca="false">'Raw Data'!H362</f>
        <v>-0.0206211500658787</v>
      </c>
      <c r="E365" s="15" t="n">
        <f aca="false">'Raw Data'!I362</f>
        <v>-0.0206211500658789</v>
      </c>
      <c r="F365" s="17" t="b">
        <f aca="false">'Raw Data'!S362</f>
        <v>0</v>
      </c>
    </row>
    <row r="366" customFormat="false" ht="15" hidden="false" customHeight="true" outlineLevel="0" collapsed="false">
      <c r="A366" s="12" t="n">
        <f aca="false">'Raw Data'!A363</f>
        <v>41999</v>
      </c>
      <c r="B366" s="32" t="n">
        <f aca="false">'Raw Data'!E363</f>
        <v>41.1488130102911</v>
      </c>
      <c r="C366" s="32" t="n">
        <f aca="false">'Raw Data'!F363</f>
        <v>41.9404320549049</v>
      </c>
      <c r="D366" s="15" t="n">
        <f aca="false">'Raw Data'!H363</f>
        <v>-0.0192379557683923</v>
      </c>
      <c r="E366" s="15" t="n">
        <f aca="false">'Raw Data'!I363</f>
        <v>-0.0192379557683923</v>
      </c>
      <c r="F366" s="17" t="b">
        <f aca="false">'Raw Data'!S363</f>
        <v>0</v>
      </c>
    </row>
    <row r="367" customFormat="false" ht="15" hidden="false" customHeight="true" outlineLevel="0" collapsed="false">
      <c r="A367" s="12" t="n">
        <f aca="false">'Raw Data'!A364</f>
        <v>42000</v>
      </c>
      <c r="B367" s="32" t="n">
        <f aca="false">'Raw Data'!E364</f>
        <v>41.1667159874993</v>
      </c>
      <c r="C367" s="32" t="n">
        <f aca="false">'Raw Data'!F364</f>
        <v>41.9968457575883</v>
      </c>
      <c r="D367" s="15" t="n">
        <f aca="false">'Raw Data'!H364</f>
        <v>-0.0201650714703868</v>
      </c>
      <c r="E367" s="15" t="n">
        <f aca="false">'Raw Data'!I364</f>
        <v>-0.020165071470387</v>
      </c>
      <c r="F367" s="17" t="b">
        <f aca="false">'Raw Data'!S364</f>
        <v>0</v>
      </c>
    </row>
    <row r="368" customFormat="false" ht="15" hidden="false" customHeight="true" outlineLevel="0" collapsed="false">
      <c r="A368" s="12" t="n">
        <f aca="false">'Raw Data'!A365</f>
        <v>42001</v>
      </c>
      <c r="B368" s="32" t="n">
        <f aca="false">'Raw Data'!E365</f>
        <v>41.1755140688255</v>
      </c>
      <c r="C368" s="32" t="n">
        <f aca="false">'Raw Data'!F365</f>
        <v>42.0290505682583</v>
      </c>
      <c r="D368" s="15" t="n">
        <f aca="false">'Raw Data'!H365</f>
        <v>-0.0207292250925161</v>
      </c>
      <c r="E368" s="15" t="n">
        <f aca="false">'Raw Data'!I365</f>
        <v>-0.020729225092516</v>
      </c>
      <c r="F368" s="17" t="b">
        <f aca="false">'Raw Data'!S365</f>
        <v>0</v>
      </c>
    </row>
    <row r="369" customFormat="false" ht="15" hidden="false" customHeight="true" outlineLevel="0" collapsed="false">
      <c r="A369" s="12" t="n">
        <f aca="false">'Raw Data'!A366</f>
        <v>42002</v>
      </c>
      <c r="B369" s="32" t="n">
        <f aca="false">'Raw Data'!E366</f>
        <v>41.1823815146208</v>
      </c>
      <c r="C369" s="32" t="n">
        <f aca="false">'Raw Data'!F366</f>
        <v>42.0152865386938</v>
      </c>
      <c r="D369" s="15" t="n">
        <f aca="false">'Raw Data'!H366</f>
        <v>-0.0202247901515183</v>
      </c>
      <c r="E369" s="15" t="n">
        <f aca="false">'Raw Data'!I366</f>
        <v>-0.0202247901515183</v>
      </c>
      <c r="F369" s="17" t="b">
        <f aca="false">'Raw Data'!S366</f>
        <v>0</v>
      </c>
    </row>
    <row r="370" customFormat="false" ht="15" hidden="false" customHeight="true" outlineLevel="0" collapsed="false">
      <c r="A370" s="12" t="n">
        <f aca="false">'Raw Data'!A367</f>
        <v>42003</v>
      </c>
      <c r="B370" s="32" t="n">
        <f aca="false">'Raw Data'!E367</f>
        <v>38.5927419776806</v>
      </c>
      <c r="C370" s="32" t="n">
        <f aca="false">'Raw Data'!F367</f>
        <v>42.0409781975938</v>
      </c>
      <c r="D370" s="15" t="n">
        <f aca="false">'Raw Data'!H367</f>
        <v>-0.0893493450635717</v>
      </c>
      <c r="E370" s="15" t="n">
        <f aca="false">'Raw Data'!I367</f>
        <v>-0.0893493450635717</v>
      </c>
      <c r="F370" s="17" t="b">
        <f aca="false">'Raw Data'!S367</f>
        <v>0</v>
      </c>
    </row>
    <row r="371" customFormat="false" ht="15" hidden="false" customHeight="true" outlineLevel="0" collapsed="false">
      <c r="A371" s="12" t="n">
        <f aca="false">'Raw Data'!A368</f>
        <v>42004</v>
      </c>
      <c r="B371" s="32" t="n">
        <f aca="false">'Raw Data'!E368</f>
        <v>38.5730464933138</v>
      </c>
      <c r="C371" s="32" t="n">
        <f aca="false">'Raw Data'!F368</f>
        <v>42.0555101786108</v>
      </c>
      <c r="D371" s="15" t="n">
        <f aca="false">'Raw Data'!H368</f>
        <v>-0.0902823085519208</v>
      </c>
      <c r="E371" s="15" t="n">
        <f aca="false">'Raw Data'!I368</f>
        <v>-0.0902823085519208</v>
      </c>
      <c r="F371" s="17" t="b">
        <f aca="false">'Raw Data'!S368</f>
        <v>0</v>
      </c>
    </row>
    <row r="372" customFormat="false" ht="15" hidden="false" customHeight="true" outlineLevel="0" collapsed="false">
      <c r="A372" s="12" t="n">
        <f aca="false">'Raw Data'!A369</f>
        <v>42005</v>
      </c>
      <c r="B372" s="32" t="n">
        <f aca="false">'Raw Data'!E369</f>
        <v>38.6097830006035</v>
      </c>
      <c r="C372" s="32" t="n">
        <f aca="false">'Raw Data'!F369</f>
        <v>42.0552260532281</v>
      </c>
      <c r="D372" s="15" t="n">
        <f aca="false">'Raw Data'!H369</f>
        <v>-0.0892375658410416</v>
      </c>
      <c r="E372" s="15" t="n">
        <f aca="false">'Raw Data'!I369</f>
        <v>-0.0892375658410417</v>
      </c>
      <c r="F372" s="17" t="b">
        <f aca="false">'Raw Data'!S369</f>
        <v>0</v>
      </c>
    </row>
    <row r="373" customFormat="false" ht="15" hidden="false" customHeight="true" outlineLevel="0" collapsed="false">
      <c r="A373" s="12" t="n">
        <f aca="false">'Raw Data'!A370</f>
        <v>42006</v>
      </c>
      <c r="B373" s="32" t="n">
        <f aca="false">'Raw Data'!E370</f>
        <v>38.6019452755678</v>
      </c>
      <c r="C373" s="32" t="n">
        <f aca="false">'Raw Data'!F370</f>
        <v>42.0076134742404</v>
      </c>
      <c r="D373" s="15" t="n">
        <f aca="false">'Raw Data'!H370</f>
        <v>-0.0882252999003168</v>
      </c>
      <c r="E373" s="15" t="n">
        <f aca="false">'Raw Data'!I370</f>
        <v>-0.0882252999003168</v>
      </c>
      <c r="F373" s="17" t="b">
        <f aca="false">'Raw Data'!S370</f>
        <v>0</v>
      </c>
    </row>
    <row r="374" customFormat="false" ht="15" hidden="false" customHeight="true" outlineLevel="0" collapsed="false">
      <c r="A374" s="12" t="n">
        <f aca="false">'Raw Data'!A371</f>
        <v>42007</v>
      </c>
      <c r="B374" s="32" t="n">
        <f aca="false">'Raw Data'!E371</f>
        <v>38.5831562254158</v>
      </c>
      <c r="C374" s="32" t="n">
        <f aca="false">'Raw Data'!F371</f>
        <v>42.023971944023</v>
      </c>
      <c r="D374" s="15" t="n">
        <f aca="false">'Raw Data'!H371</f>
        <v>-0.0891792184782614</v>
      </c>
      <c r="E374" s="15" t="n">
        <f aca="false">'Raw Data'!I371</f>
        <v>-0.0891792184782614</v>
      </c>
      <c r="F374" s="17" t="b">
        <f aca="false">'Raw Data'!S371</f>
        <v>0</v>
      </c>
    </row>
    <row r="375" customFormat="false" ht="15" hidden="false" customHeight="true" outlineLevel="0" collapsed="false">
      <c r="A375" s="12" t="n">
        <f aca="false">'Raw Data'!A372</f>
        <v>42008</v>
      </c>
      <c r="B375" s="32" t="n">
        <f aca="false">'Raw Data'!E372</f>
        <v>38.5801929060443</v>
      </c>
      <c r="C375" s="32" t="n">
        <f aca="false">'Raw Data'!F372</f>
        <v>42.0474584717782</v>
      </c>
      <c r="D375" s="15" t="n">
        <f aca="false">'Raw Data'!H372</f>
        <v>-0.089871649272928</v>
      </c>
      <c r="E375" s="15" t="n">
        <f aca="false">'Raw Data'!I372</f>
        <v>-0.0898716492729279</v>
      </c>
      <c r="F375" s="17" t="b">
        <f aca="false">'Raw Data'!S372</f>
        <v>0</v>
      </c>
    </row>
    <row r="376" customFormat="false" ht="15" hidden="false" customHeight="true" outlineLevel="0" collapsed="false">
      <c r="A376" s="12" t="n">
        <f aca="false">'Raw Data'!A373</f>
        <v>42009</v>
      </c>
      <c r="B376" s="32" t="n">
        <f aca="false">'Raw Data'!E373</f>
        <v>38.5593198328258</v>
      </c>
      <c r="C376" s="32" t="n">
        <f aca="false">'Raw Data'!F373</f>
        <v>41.9779652720636</v>
      </c>
      <c r="D376" s="15" t="n">
        <f aca="false">'Raw Data'!H373</f>
        <v>-0.0886593812873081</v>
      </c>
      <c r="E376" s="15" t="n">
        <f aca="false">'Raw Data'!I373</f>
        <v>-0.0886593812873081</v>
      </c>
      <c r="F376" s="17" t="b">
        <f aca="false">'Raw Data'!S373</f>
        <v>0</v>
      </c>
    </row>
    <row r="377" customFormat="false" ht="15" hidden="false" customHeight="true" outlineLevel="0" collapsed="false">
      <c r="A377" s="12" t="n">
        <f aca="false">'Raw Data'!A374</f>
        <v>42010</v>
      </c>
      <c r="B377" s="32" t="n">
        <f aca="false">'Raw Data'!E374</f>
        <v>38.5832494522165</v>
      </c>
      <c r="C377" s="32" t="n">
        <f aca="false">'Raw Data'!F374</f>
        <v>41.9402643806186</v>
      </c>
      <c r="D377" s="15" t="n">
        <f aca="false">'Raw Data'!H374</f>
        <v>-0.0870070555503533</v>
      </c>
      <c r="E377" s="15" t="n">
        <f aca="false">'Raw Data'!I374</f>
        <v>-0.0870070555503532</v>
      </c>
      <c r="F377" s="17" t="b">
        <f aca="false">'Raw Data'!S374</f>
        <v>0</v>
      </c>
    </row>
    <row r="378" customFormat="false" ht="15" hidden="false" customHeight="true" outlineLevel="0" collapsed="false">
      <c r="A378" s="12" t="n">
        <f aca="false">'Raw Data'!A375</f>
        <v>42011</v>
      </c>
      <c r="B378" s="32" t="n">
        <f aca="false">'Raw Data'!E375</f>
        <v>41.1764759373269</v>
      </c>
      <c r="C378" s="32" t="n">
        <f aca="false">'Raw Data'!F375</f>
        <v>41.9449659389263</v>
      </c>
      <c r="D378" s="15" t="n">
        <f aca="false">'Raw Data'!H375</f>
        <v>-0.0186633261857841</v>
      </c>
      <c r="E378" s="15" t="n">
        <f aca="false">'Raw Data'!I375</f>
        <v>-0.018663326185784</v>
      </c>
      <c r="F378" s="17" t="b">
        <f aca="false">'Raw Data'!S375</f>
        <v>0</v>
      </c>
    </row>
    <row r="379" customFormat="false" ht="15" hidden="false" customHeight="true" outlineLevel="0" collapsed="false">
      <c r="A379" s="12" t="n">
        <f aca="false">'Raw Data'!A376</f>
        <v>42012</v>
      </c>
      <c r="B379" s="32" t="n">
        <f aca="false">'Raw Data'!E376</f>
        <v>41.1642287733969</v>
      </c>
      <c r="C379" s="32" t="n">
        <f aca="false">'Raw Data'!F376</f>
        <v>42.0064751068991</v>
      </c>
      <c r="D379" s="15" t="n">
        <f aca="false">'Raw Data'!H376</f>
        <v>-0.020460636785852</v>
      </c>
      <c r="E379" s="15" t="n">
        <f aca="false">'Raw Data'!I376</f>
        <v>-0.0204606367858519</v>
      </c>
      <c r="F379" s="17" t="b">
        <f aca="false">'Raw Data'!S376</f>
        <v>0</v>
      </c>
    </row>
    <row r="380" customFormat="false" ht="15" hidden="false" customHeight="true" outlineLevel="0" collapsed="false">
      <c r="A380" s="12" t="n">
        <f aca="false">'Raw Data'!A377</f>
        <v>42013</v>
      </c>
      <c r="B380" s="32" t="n">
        <f aca="false">'Raw Data'!E377</f>
        <v>41.1766582302984</v>
      </c>
      <c r="C380" s="32" t="n">
        <f aca="false">'Raw Data'!F377</f>
        <v>42.0359516350668</v>
      </c>
      <c r="D380" s="15" t="n">
        <f aca="false">'Raw Data'!H377</f>
        <v>-0.0208684590177872</v>
      </c>
      <c r="E380" s="15" t="n">
        <f aca="false">'Raw Data'!I377</f>
        <v>-0.0208684590177871</v>
      </c>
      <c r="F380" s="17" t="b">
        <f aca="false">'Raw Data'!S377</f>
        <v>0</v>
      </c>
    </row>
    <row r="381" customFormat="false" ht="15" hidden="false" customHeight="true" outlineLevel="0" collapsed="false">
      <c r="A381" s="12" t="n">
        <f aca="false">'Raw Data'!A378</f>
        <v>42014</v>
      </c>
      <c r="B381" s="32" t="n">
        <f aca="false">'Raw Data'!E378</f>
        <v>41.175042317085</v>
      </c>
      <c r="C381" s="32" t="n">
        <f aca="false">'Raw Data'!F378</f>
        <v>42.0561704389164</v>
      </c>
      <c r="D381" s="15" t="n">
        <f aca="false">'Raw Data'!H378</f>
        <v>-0.0213995680938452</v>
      </c>
      <c r="E381" s="15" t="n">
        <f aca="false">'Raw Data'!I378</f>
        <v>-0.0213995680938452</v>
      </c>
      <c r="F381" s="17" t="b">
        <f aca="false">'Raw Data'!S378</f>
        <v>0</v>
      </c>
    </row>
    <row r="382" customFormat="false" ht="15" hidden="false" customHeight="true" outlineLevel="0" collapsed="false">
      <c r="A382" s="12" t="n">
        <f aca="false">'Raw Data'!A379</f>
        <v>42015</v>
      </c>
      <c r="B382" s="32" t="n">
        <f aca="false">'Raw Data'!E379</f>
        <v>41.1818741712014</v>
      </c>
      <c r="C382" s="32" t="n">
        <f aca="false">'Raw Data'!F379</f>
        <v>42.0422269248123</v>
      </c>
      <c r="D382" s="15" t="n">
        <f aca="false">'Raw Data'!H379</f>
        <v>-0.0208915395650575</v>
      </c>
      <c r="E382" s="15" t="n">
        <f aca="false">'Raw Data'!I379</f>
        <v>-0.0208915395650576</v>
      </c>
      <c r="F382" s="17" t="b">
        <f aca="false">'Raw Data'!S379</f>
        <v>0</v>
      </c>
    </row>
    <row r="383" customFormat="false" ht="15" hidden="false" customHeight="true" outlineLevel="0" collapsed="false">
      <c r="A383" s="12" t="n">
        <f aca="false">'Raw Data'!A380</f>
        <v>42016</v>
      </c>
      <c r="B383" s="32" t="n">
        <f aca="false">'Raw Data'!E380</f>
        <v>41.1750701706803</v>
      </c>
      <c r="C383" s="32" t="n">
        <f aca="false">'Raw Data'!F380</f>
        <v>42.0153244656374</v>
      </c>
      <c r="D383" s="15" t="n">
        <f aca="false">'Raw Data'!H380</f>
        <v>-0.0204068697751813</v>
      </c>
      <c r="E383" s="15" t="n">
        <f aca="false">'Raw Data'!I380</f>
        <v>-0.0204068697751812</v>
      </c>
      <c r="F383" s="17" t="b">
        <f aca="false">'Raw Data'!S380</f>
        <v>0</v>
      </c>
    </row>
    <row r="384" customFormat="false" ht="15" hidden="false" customHeight="true" outlineLevel="0" collapsed="false">
      <c r="A384" s="12" t="n">
        <f aca="false">'Raw Data'!A381</f>
        <v>42017</v>
      </c>
      <c r="B384" s="32" t="n">
        <f aca="false">'Raw Data'!E381</f>
        <v>41.1808739733378</v>
      </c>
      <c r="C384" s="32" t="n">
        <f aca="false">'Raw Data'!F381</f>
        <v>42.0257465540508</v>
      </c>
      <c r="D384" s="15" t="n">
        <f aca="false">'Raw Data'!H381</f>
        <v>-0.0205161401202906</v>
      </c>
      <c r="E384" s="15" t="n">
        <f aca="false">'Raw Data'!I381</f>
        <v>-0.0205161401202907</v>
      </c>
      <c r="F384" s="17" t="b">
        <f aca="false">'Raw Data'!S381</f>
        <v>0</v>
      </c>
    </row>
    <row r="385" customFormat="false" ht="15" hidden="false" customHeight="true" outlineLevel="0" collapsed="false">
      <c r="A385" s="12" t="n">
        <f aca="false">'Raw Data'!A382</f>
        <v>42018</v>
      </c>
      <c r="B385" s="32" t="n">
        <f aca="false">'Raw Data'!E382</f>
        <v>41.1849142676489</v>
      </c>
      <c r="C385" s="32" t="n">
        <f aca="false">'Raw Data'!F382</f>
        <v>41.9801908912708</v>
      </c>
      <c r="D385" s="15" t="n">
        <f aca="false">'Raw Data'!H382</f>
        <v>-0.0193099011558864</v>
      </c>
      <c r="E385" s="15" t="n">
        <f aca="false">'Raw Data'!I382</f>
        <v>-0.0193099011558865</v>
      </c>
      <c r="F385" s="17" t="b">
        <f aca="false">'Raw Data'!S382</f>
        <v>0</v>
      </c>
    </row>
    <row r="386" customFormat="false" ht="15" hidden="false" customHeight="true" outlineLevel="0" collapsed="false">
      <c r="A386" s="12" t="n">
        <f aca="false">'Raw Data'!A383</f>
        <v>42019</v>
      </c>
      <c r="B386" s="32" t="n">
        <f aca="false">'Raw Data'!E383</f>
        <v>41.1664533876785</v>
      </c>
      <c r="C386" s="32" t="n">
        <f aca="false">'Raw Data'!F383</f>
        <v>41.8207955815589</v>
      </c>
      <c r="D386" s="15" t="n">
        <f aca="false">'Raw Data'!H383</f>
        <v>-0.0158950344281107</v>
      </c>
      <c r="E386" s="15" t="n">
        <f aca="false">'Raw Data'!I383</f>
        <v>-0.0158950344281108</v>
      </c>
      <c r="F386" s="17" t="b">
        <f aca="false">'Raw Data'!S383</f>
        <v>0</v>
      </c>
    </row>
    <row r="387" customFormat="false" ht="15" hidden="false" customHeight="true" outlineLevel="0" collapsed="false">
      <c r="A387" s="12" t="n">
        <f aca="false">'Raw Data'!A384</f>
        <v>42020</v>
      </c>
      <c r="B387" s="32" t="n">
        <f aca="false">'Raw Data'!E384</f>
        <v>41.1805061414863</v>
      </c>
      <c r="C387" s="32" t="n">
        <f aca="false">'Raw Data'!F384</f>
        <v>41.8933553266837</v>
      </c>
      <c r="D387" s="15" t="n">
        <f aca="false">'Raw Data'!H384</f>
        <v>-0.017310355116768</v>
      </c>
      <c r="E387" s="15" t="n">
        <f aca="false">'Raw Data'!I384</f>
        <v>-0.0173103551167681</v>
      </c>
      <c r="F387" s="17" t="b">
        <f aca="false">'Raw Data'!S384</f>
        <v>0</v>
      </c>
    </row>
    <row r="388" customFormat="false" ht="15" hidden="false" customHeight="true" outlineLevel="0" collapsed="false">
      <c r="A388" s="12" t="n">
        <f aca="false">'Raw Data'!A385</f>
        <v>42021</v>
      </c>
      <c r="B388" s="32" t="n">
        <f aca="false">'Raw Data'!E385</f>
        <v>41.1737644632943</v>
      </c>
      <c r="C388" s="32" t="n">
        <f aca="false">'Raw Data'!F385</f>
        <v>41.879108858601</v>
      </c>
      <c r="D388" s="15" t="n">
        <f aca="false">'Raw Data'!H385</f>
        <v>-0.0171309183044336</v>
      </c>
      <c r="E388" s="15" t="n">
        <f aca="false">'Raw Data'!I385</f>
        <v>-0.0171309183044335</v>
      </c>
      <c r="F388" s="17" t="b">
        <f aca="false">'Raw Data'!S385</f>
        <v>0</v>
      </c>
    </row>
    <row r="389" customFormat="false" ht="15" hidden="false" customHeight="true" outlineLevel="0" collapsed="false">
      <c r="A389" s="12" t="n">
        <f aca="false">'Raw Data'!A386</f>
        <v>42022</v>
      </c>
      <c r="B389" s="32" t="n">
        <f aca="false">'Raw Data'!E386</f>
        <v>41.1814232227331</v>
      </c>
      <c r="C389" s="32" t="n">
        <f aca="false">'Raw Data'!F386</f>
        <v>41.8754425643051</v>
      </c>
      <c r="D389" s="15" t="n">
        <f aca="false">'Raw Data'!H386</f>
        <v>-0.016852728421221</v>
      </c>
      <c r="E389" s="15" t="n">
        <f aca="false">'Raw Data'!I386</f>
        <v>-0.0168527284212211</v>
      </c>
      <c r="F389" s="17" t="b">
        <f aca="false">'Raw Data'!S386</f>
        <v>0</v>
      </c>
    </row>
    <row r="390" customFormat="false" ht="15" hidden="false" customHeight="true" outlineLevel="0" collapsed="false">
      <c r="A390" s="12" t="n">
        <f aca="false">'Raw Data'!A387</f>
        <v>42023</v>
      </c>
      <c r="B390" s="32" t="n">
        <f aca="false">'Raw Data'!E387</f>
        <v>41.1805214259889</v>
      </c>
      <c r="C390" s="32" t="n">
        <f aca="false">'Raw Data'!F387</f>
        <v>41.622187915941</v>
      </c>
      <c r="D390" s="15" t="n">
        <f aca="false">'Raw Data'!H387</f>
        <v>-0.0107251310730931</v>
      </c>
      <c r="E390" s="15" t="n">
        <f aca="false">'Raw Data'!I387</f>
        <v>-0.0107251310730931</v>
      </c>
      <c r="F390" s="17" t="b">
        <f aca="false">'Raw Data'!S387</f>
        <v>0</v>
      </c>
    </row>
    <row r="391" customFormat="false" ht="15" hidden="false" customHeight="true" outlineLevel="0" collapsed="false">
      <c r="A391" s="12" t="n">
        <f aca="false">'Raw Data'!A388</f>
        <v>42024</v>
      </c>
      <c r="B391" s="32" t="n">
        <f aca="false">'Raw Data'!E388</f>
        <v>41.1728993270114</v>
      </c>
      <c r="C391" s="32" t="n">
        <f aca="false">'Raw Data'!F388</f>
        <v>41.7231931770175</v>
      </c>
      <c r="D391" s="15" t="n">
        <f aca="false">'Raw Data'!H388</f>
        <v>-0.0133654384073236</v>
      </c>
      <c r="E391" s="15" t="n">
        <f aca="false">'Raw Data'!I388</f>
        <v>-0.0133654384073236</v>
      </c>
      <c r="F391" s="17" t="b">
        <f aca="false">'Raw Data'!S388</f>
        <v>0</v>
      </c>
    </row>
    <row r="392" customFormat="false" ht="15" hidden="false" customHeight="true" outlineLevel="0" collapsed="false">
      <c r="A392" s="12" t="n">
        <f aca="false">'Raw Data'!A389</f>
        <v>42025</v>
      </c>
      <c r="B392" s="32" t="n">
        <f aca="false">'Raw Data'!E389</f>
        <v>41.1776912432265</v>
      </c>
      <c r="C392" s="32" t="n">
        <f aca="false">'Raw Data'!F389</f>
        <v>42.0616976231121</v>
      </c>
      <c r="D392" s="15" t="n">
        <f aca="false">'Raw Data'!H389</f>
        <v>-0.0214680899583223</v>
      </c>
      <c r="E392" s="15" t="n">
        <f aca="false">'Raw Data'!I389</f>
        <v>-0.0214680899583224</v>
      </c>
      <c r="F392" s="17" t="b">
        <f aca="false">'Raw Data'!S389</f>
        <v>0</v>
      </c>
    </row>
    <row r="393" customFormat="false" ht="15" hidden="false" customHeight="true" outlineLevel="0" collapsed="false">
      <c r="A393" s="12" t="n">
        <f aca="false">'Raw Data'!A390</f>
        <v>42026</v>
      </c>
      <c r="B393" s="32" t="n">
        <f aca="false">'Raw Data'!E390</f>
        <v>41.182543209827</v>
      </c>
      <c r="C393" s="32" t="n">
        <f aca="false">'Raw Data'!F390</f>
        <v>42.0495981156197</v>
      </c>
      <c r="D393" s="15" t="n">
        <f aca="false">'Raw Data'!H390</f>
        <v>-0.0210539427197367</v>
      </c>
      <c r="E393" s="15" t="n">
        <f aca="false">'Raw Data'!I390</f>
        <v>-0.0210539427197367</v>
      </c>
      <c r="F393" s="17" t="b">
        <f aca="false">'Raw Data'!S390</f>
        <v>0</v>
      </c>
    </row>
    <row r="394" customFormat="false" ht="15" hidden="false" customHeight="true" outlineLevel="0" collapsed="false">
      <c r="A394" s="12" t="n">
        <f aca="false">'Raw Data'!A391</f>
        <v>42027</v>
      </c>
      <c r="B394" s="32" t="n">
        <f aca="false">'Raw Data'!E391</f>
        <v>41.1687225714011</v>
      </c>
      <c r="C394" s="32" t="n">
        <f aca="false">'Raw Data'!F391</f>
        <v>42.0632927982891</v>
      </c>
      <c r="D394" s="15" t="n">
        <f aca="false">'Raw Data'!H391</f>
        <v>-0.0217293656692037</v>
      </c>
      <c r="E394" s="15" t="n">
        <f aca="false">'Raw Data'!I391</f>
        <v>-0.0217293656692036</v>
      </c>
      <c r="F394" s="17" t="b">
        <f aca="false">'Raw Data'!S391</f>
        <v>0</v>
      </c>
    </row>
    <row r="395" customFormat="false" ht="15" hidden="false" customHeight="true" outlineLevel="0" collapsed="false">
      <c r="A395" s="12" t="n">
        <f aca="false">'Raw Data'!A392</f>
        <v>42028</v>
      </c>
      <c r="B395" s="32" t="n">
        <f aca="false">'Raw Data'!E392</f>
        <v>41.1730494488622</v>
      </c>
      <c r="C395" s="32" t="n">
        <f aca="false">'Raw Data'!F392</f>
        <v>42.0447259243877</v>
      </c>
      <c r="D395" s="15" t="n">
        <f aca="false">'Raw Data'!H392</f>
        <v>-0.0211710448264961</v>
      </c>
      <c r="E395" s="15" t="n">
        <f aca="false">'Raw Data'!I392</f>
        <v>-0.0211710448264961</v>
      </c>
      <c r="F395" s="17" t="b">
        <f aca="false">'Raw Data'!S392</f>
        <v>0</v>
      </c>
    </row>
    <row r="396" customFormat="false" ht="15" hidden="false" customHeight="true" outlineLevel="0" collapsed="false">
      <c r="A396" s="12" t="n">
        <f aca="false">'Raw Data'!A393</f>
        <v>42029</v>
      </c>
      <c r="B396" s="32" t="n">
        <f aca="false">'Raw Data'!E393</f>
        <v>41.1661976394468</v>
      </c>
      <c r="C396" s="32" t="n">
        <f aca="false">'Raw Data'!F393</f>
        <v>42.063807645314</v>
      </c>
      <c r="D396" s="15" t="n">
        <f aca="false">'Raw Data'!H393</f>
        <v>-0.0218045400677752</v>
      </c>
      <c r="E396" s="15" t="n">
        <f aca="false">'Raw Data'!I393</f>
        <v>-0.0218045400677752</v>
      </c>
      <c r="F396" s="17" t="b">
        <f aca="false">'Raw Data'!S393</f>
        <v>0</v>
      </c>
    </row>
    <row r="397" customFormat="false" ht="15" hidden="false" customHeight="true" outlineLevel="0" collapsed="false">
      <c r="A397" s="12" t="n">
        <f aca="false">'Raw Data'!A394</f>
        <v>42030</v>
      </c>
      <c r="B397" s="32" t="n">
        <f aca="false">'Raw Data'!E394</f>
        <v>41.1795524859999</v>
      </c>
      <c r="C397" s="32" t="n">
        <f aca="false">'Raw Data'!F394</f>
        <v>42.0664066129473</v>
      </c>
      <c r="D397" s="15" t="n">
        <f aca="false">'Raw Data'!H394</f>
        <v>-0.0215362740342752</v>
      </c>
      <c r="E397" s="15" t="n">
        <f aca="false">'Raw Data'!I394</f>
        <v>-0.0215362740342754</v>
      </c>
      <c r="F397" s="17" t="b">
        <f aca="false">'Raw Data'!S394</f>
        <v>0</v>
      </c>
    </row>
    <row r="398" customFormat="false" ht="15" hidden="false" customHeight="true" outlineLevel="0" collapsed="false">
      <c r="A398" s="12" t="n">
        <f aca="false">'Raw Data'!A395</f>
        <v>42031</v>
      </c>
      <c r="B398" s="32" t="n">
        <f aca="false">'Raw Data'!E395</f>
        <v>41.1726928787222</v>
      </c>
      <c r="C398" s="32" t="n">
        <f aca="false">'Raw Data'!F395</f>
        <v>42.0398169804149</v>
      </c>
      <c r="D398" s="15" t="n">
        <f aca="false">'Raw Data'!H395</f>
        <v>-0.0210606603810659</v>
      </c>
      <c r="E398" s="15" t="n">
        <f aca="false">'Raw Data'!I395</f>
        <v>-0.021060660381066</v>
      </c>
      <c r="F398" s="17" t="b">
        <f aca="false">'Raw Data'!S395</f>
        <v>0</v>
      </c>
    </row>
    <row r="399" customFormat="false" ht="15" hidden="false" customHeight="true" outlineLevel="0" collapsed="false">
      <c r="A399" s="12" t="n">
        <f aca="false">'Raw Data'!A396</f>
        <v>42032</v>
      </c>
      <c r="B399" s="32" t="n">
        <f aca="false">'Raw Data'!E396</f>
        <v>41.1668150377597</v>
      </c>
      <c r="C399" s="32" t="n">
        <f aca="false">'Raw Data'!F396</f>
        <v>42.0578558459722</v>
      </c>
      <c r="D399" s="15" t="n">
        <f aca="false">'Raw Data'!H396</f>
        <v>-0.0216446379783136</v>
      </c>
      <c r="E399" s="15" t="n">
        <f aca="false">'Raw Data'!I396</f>
        <v>-0.0216446379783137</v>
      </c>
      <c r="F399" s="17" t="b">
        <f aca="false">'Raw Data'!S396</f>
        <v>0</v>
      </c>
    </row>
    <row r="400" customFormat="false" ht="15" hidden="false" customHeight="true" outlineLevel="0" collapsed="false">
      <c r="A400" s="12" t="n">
        <f aca="false">'Raw Data'!A397</f>
        <v>42033</v>
      </c>
      <c r="B400" s="32" t="n">
        <f aca="false">'Raw Data'!E397</f>
        <v>41.1711164097129</v>
      </c>
      <c r="C400" s="32" t="n">
        <f aca="false">'Raw Data'!F397</f>
        <v>42.0484274318868</v>
      </c>
      <c r="D400" s="15" t="n">
        <f aca="false">'Raw Data'!H397</f>
        <v>-0.0213088956209834</v>
      </c>
      <c r="E400" s="15" t="n">
        <f aca="false">'Raw Data'!I397</f>
        <v>-0.0213088956209834</v>
      </c>
      <c r="F400" s="17" t="b">
        <f aca="false">'Raw Data'!S397</f>
        <v>0</v>
      </c>
    </row>
    <row r="401" customFormat="false" ht="15" hidden="false" customHeight="true" outlineLevel="0" collapsed="false">
      <c r="A401" s="12" t="n">
        <f aca="false">'Raw Data'!A398</f>
        <v>42034</v>
      </c>
      <c r="B401" s="32" t="n">
        <f aca="false">'Raw Data'!E398</f>
        <v>41.1689762747055</v>
      </c>
      <c r="C401" s="32" t="n">
        <f aca="false">'Raw Data'!F398</f>
        <v>41.9894545512782</v>
      </c>
      <c r="D401" s="15" t="n">
        <f aca="false">'Raw Data'!H398</f>
        <v>-0.0199295282714337</v>
      </c>
      <c r="E401" s="15" t="n">
        <f aca="false">'Raw Data'!I398</f>
        <v>-0.0199295282714338</v>
      </c>
      <c r="F401" s="17" t="b">
        <f aca="false">'Raw Data'!S398</f>
        <v>0</v>
      </c>
    </row>
    <row r="402" customFormat="false" ht="15" hidden="false" customHeight="true" outlineLevel="0" collapsed="false">
      <c r="A402" s="12" t="n">
        <f aca="false">'Raw Data'!A399</f>
        <v>42035</v>
      </c>
      <c r="B402" s="32" t="n">
        <f aca="false">'Raw Data'!E399</f>
        <v>41.1751567254546</v>
      </c>
      <c r="C402" s="32" t="n">
        <f aca="false">'Raw Data'!F399</f>
        <v>41.9199375543161</v>
      </c>
      <c r="D402" s="15" t="n">
        <f aca="false">'Raw Data'!H399</f>
        <v>-0.0180881115724103</v>
      </c>
      <c r="E402" s="15" t="n">
        <f aca="false">'Raw Data'!I399</f>
        <v>-0.0180881115724102</v>
      </c>
      <c r="F402" s="17" t="b">
        <f aca="false">'Raw Data'!S399</f>
        <v>0</v>
      </c>
    </row>
    <row r="403" customFormat="false" ht="15" hidden="false" customHeight="true" outlineLevel="0" collapsed="false">
      <c r="A403" s="12" t="n">
        <f aca="false">'Raw Data'!A400</f>
        <v>42036</v>
      </c>
      <c r="B403" s="32" t="n">
        <f aca="false">'Raw Data'!E400</f>
        <v>41.1692510275301</v>
      </c>
      <c r="C403" s="32" t="n">
        <f aca="false">'Raw Data'!F400</f>
        <v>41.9333632628966</v>
      </c>
      <c r="D403" s="15" t="n">
        <f aca="false">'Raw Data'!H400</f>
        <v>-0.0185602656423247</v>
      </c>
      <c r="E403" s="15" t="n">
        <f aca="false">'Raw Data'!I400</f>
        <v>-0.0185602656423246</v>
      </c>
      <c r="F403" s="17" t="b">
        <f aca="false">'Raw Data'!S400</f>
        <v>0</v>
      </c>
    </row>
    <row r="404" customFormat="false" ht="15" hidden="false" customHeight="true" outlineLevel="0" collapsed="false">
      <c r="A404" s="12" t="n">
        <f aca="false">'Raw Data'!A401</f>
        <v>42037</v>
      </c>
      <c r="B404" s="32" t="n">
        <f aca="false">'Raw Data'!E401</f>
        <v>41.1769928989051</v>
      </c>
      <c r="C404" s="32" t="n">
        <f aca="false">'Raw Data'!F401</f>
        <v>41.8313700985133</v>
      </c>
      <c r="D404" s="15" t="n">
        <f aca="false">'Raw Data'!H401</f>
        <v>-0.0158918161220472</v>
      </c>
      <c r="E404" s="15" t="n">
        <f aca="false">'Raw Data'!I401</f>
        <v>-0.0158918161220472</v>
      </c>
      <c r="F404" s="17" t="b">
        <f aca="false">'Raw Data'!S401</f>
        <v>0</v>
      </c>
    </row>
    <row r="405" customFormat="false" ht="15" hidden="false" customHeight="true" outlineLevel="0" collapsed="false">
      <c r="A405" s="12" t="n">
        <f aca="false">'Raw Data'!A402</f>
        <v>42038</v>
      </c>
      <c r="B405" s="32" t="n">
        <f aca="false">'Raw Data'!E402</f>
        <v>41.174846069213</v>
      </c>
      <c r="C405" s="32" t="n">
        <f aca="false">'Raw Data'!F402</f>
        <v>41.8051489427253</v>
      </c>
      <c r="D405" s="15" t="n">
        <f aca="false">'Raw Data'!H402</f>
        <v>-0.0153079594384602</v>
      </c>
      <c r="E405" s="15" t="n">
        <f aca="false">'Raw Data'!I402</f>
        <v>-0.0153079594384602</v>
      </c>
      <c r="F405" s="17" t="b">
        <f aca="false">'Raw Data'!S402</f>
        <v>0</v>
      </c>
    </row>
    <row r="406" customFormat="false" ht="15" hidden="false" customHeight="true" outlineLevel="0" collapsed="false">
      <c r="A406" s="12" t="n">
        <f aca="false">'Raw Data'!A403</f>
        <v>42039</v>
      </c>
      <c r="B406" s="32" t="n">
        <f aca="false">'Raw Data'!E403</f>
        <v>41.1541671421598</v>
      </c>
      <c r="C406" s="32" t="n">
        <f aca="false">'Raw Data'!F403</f>
        <v>41.5124146470634</v>
      </c>
      <c r="D406" s="15" t="n">
        <f aca="false">'Raw Data'!H403</f>
        <v>-0.00870501166178661</v>
      </c>
      <c r="E406" s="15" t="n">
        <f aca="false">'Raw Data'!I403</f>
        <v>-0.00870501166178661</v>
      </c>
      <c r="F406" s="17" t="b">
        <f aca="false">'Raw Data'!S403</f>
        <v>0</v>
      </c>
    </row>
    <row r="407" customFormat="false" ht="15" hidden="false" customHeight="true" outlineLevel="0" collapsed="false">
      <c r="A407" s="12" t="n">
        <f aca="false">'Raw Data'!A404</f>
        <v>42040</v>
      </c>
      <c r="B407" s="32" t="n">
        <f aca="false">'Raw Data'!E404</f>
        <v>41.1865708182444</v>
      </c>
      <c r="C407" s="32" t="n">
        <f aca="false">'Raw Data'!F404</f>
        <v>41.3612291597763</v>
      </c>
      <c r="D407" s="15" t="n">
        <f aca="false">'Raw Data'!H404</f>
        <v>-0.00424066238246941</v>
      </c>
      <c r="E407" s="15" t="n">
        <f aca="false">'Raw Data'!I404</f>
        <v>-0.00424066238246933</v>
      </c>
      <c r="F407" s="17" t="b">
        <f aca="false">'Raw Data'!S404</f>
        <v>0</v>
      </c>
    </row>
    <row r="408" customFormat="false" ht="15" hidden="false" customHeight="true" outlineLevel="0" collapsed="false">
      <c r="A408" s="12" t="n">
        <f aca="false">'Raw Data'!A405</f>
        <v>42041</v>
      </c>
      <c r="B408" s="32" t="n">
        <f aca="false">'Raw Data'!E405</f>
        <v>41.1769523585303</v>
      </c>
      <c r="C408" s="32" t="n">
        <f aca="false">'Raw Data'!F405</f>
        <v>41.1939045802409</v>
      </c>
      <c r="D408" s="15" t="n">
        <f aca="false">'Raw Data'!H405</f>
        <v>-0.000411691996119085</v>
      </c>
      <c r="E408" s="15" t="n">
        <f aca="false">'Raw Data'!I405</f>
        <v>-0.000411691996119046</v>
      </c>
      <c r="F408" s="17" t="b">
        <f aca="false">'Raw Data'!S405</f>
        <v>0</v>
      </c>
    </row>
    <row r="409" customFormat="false" ht="15" hidden="false" customHeight="true" outlineLevel="0" collapsed="false">
      <c r="A409" s="12" t="n">
        <f aca="false">'Raw Data'!A406</f>
        <v>42042</v>
      </c>
      <c r="B409" s="32" t="n">
        <f aca="false">'Raw Data'!E406</f>
        <v>41.1652908241774</v>
      </c>
      <c r="C409" s="32" t="n">
        <f aca="false">'Raw Data'!F406</f>
        <v>41.0658982669647</v>
      </c>
      <c r="D409" s="15" t="n">
        <f aca="false">'Raw Data'!H406</f>
        <v>0.00241447479715918</v>
      </c>
      <c r="E409" s="15" t="n">
        <f aca="false">'Raw Data'!I406</f>
        <v>0.00241447479715914</v>
      </c>
      <c r="F409" s="17" t="b">
        <f aca="false">'Raw Data'!S406</f>
        <v>0</v>
      </c>
    </row>
    <row r="410" customFormat="false" ht="15" hidden="false" customHeight="true" outlineLevel="0" collapsed="false">
      <c r="A410" s="12" t="n">
        <f aca="false">'Raw Data'!A407</f>
        <v>42043</v>
      </c>
      <c r="B410" s="32" t="n">
        <f aca="false">'Raw Data'!E407</f>
        <v>41.1734277740815</v>
      </c>
      <c r="C410" s="32" t="n">
        <f aca="false">'Raw Data'!F407</f>
        <v>41.1760055804266</v>
      </c>
      <c r="D410" s="15" t="n">
        <f aca="false">'Raw Data'!H407</f>
        <v>-6.26084949567539E-005</v>
      </c>
      <c r="E410" s="15" t="n">
        <f aca="false">'Raw Data'!I407</f>
        <v>-6.26084949568825E-005</v>
      </c>
      <c r="F410" s="17" t="b">
        <f aca="false">'Raw Data'!S407</f>
        <v>0</v>
      </c>
    </row>
    <row r="411" customFormat="false" ht="15" hidden="false" customHeight="true" outlineLevel="0" collapsed="false">
      <c r="A411" s="12" t="n">
        <f aca="false">'Raw Data'!A408</f>
        <v>42044</v>
      </c>
      <c r="B411" s="32" t="n">
        <f aca="false">'Raw Data'!E408</f>
        <v>41.1726438587463</v>
      </c>
      <c r="C411" s="32" t="n">
        <f aca="false">'Raw Data'!F408</f>
        <v>40.8317647561788</v>
      </c>
      <c r="D411" s="15" t="n">
        <f aca="false">'Raw Data'!H408</f>
        <v>0.00827926192296545</v>
      </c>
      <c r="E411" s="15" t="n">
        <f aca="false">'Raw Data'!I408</f>
        <v>0.00827926192296559</v>
      </c>
      <c r="F411" s="17" t="b">
        <f aca="false">'Raw Data'!S408</f>
        <v>0</v>
      </c>
    </row>
    <row r="412" customFormat="false" ht="15" hidden="false" customHeight="true" outlineLevel="0" collapsed="false">
      <c r="A412" s="12" t="n">
        <f aca="false">'Raw Data'!A409</f>
        <v>42045</v>
      </c>
      <c r="B412" s="32" t="n">
        <f aca="false">'Raw Data'!E409</f>
        <v>37.7121065844809</v>
      </c>
      <c r="C412" s="32" t="n">
        <f aca="false">'Raw Data'!F409</f>
        <v>40.3923984281806</v>
      </c>
      <c r="D412" s="15" t="n">
        <f aca="false">'Raw Data'!H409</f>
        <v>-0.0710724509036737</v>
      </c>
      <c r="E412" s="15" t="n">
        <f aca="false">'Raw Data'!I409</f>
        <v>-0.0710724509036736</v>
      </c>
      <c r="F412" s="17" t="b">
        <f aca="false">'Raw Data'!S409</f>
        <v>1</v>
      </c>
    </row>
    <row r="413" customFormat="false" ht="15" hidden="false" customHeight="true" outlineLevel="0" collapsed="false">
      <c r="A413" s="12" t="n">
        <f aca="false">'Raw Data'!A410</f>
        <v>42046</v>
      </c>
      <c r="B413" s="32" t="n">
        <f aca="false">'Raw Data'!E410</f>
        <v>37.7208893971445</v>
      </c>
      <c r="C413" s="32" t="n">
        <f aca="false">'Raw Data'!F410</f>
        <v>40.3958659769915</v>
      </c>
      <c r="D413" s="15" t="n">
        <f aca="false">'Raw Data'!H410</f>
        <v>-0.0709149922655204</v>
      </c>
      <c r="E413" s="15" t="n">
        <f aca="false">'Raw Data'!I410</f>
        <v>-0.0709149922655204</v>
      </c>
      <c r="F413" s="17" t="b">
        <f aca="false">'Raw Data'!S410</f>
        <v>1</v>
      </c>
    </row>
    <row r="414" customFormat="false" ht="15" hidden="false" customHeight="true" outlineLevel="0" collapsed="false">
      <c r="A414" s="12" t="n">
        <f aca="false">'Raw Data'!A411</f>
        <v>42047</v>
      </c>
      <c r="B414" s="32" t="n">
        <f aca="false">'Raw Data'!E411</f>
        <v>37.7028107795118</v>
      </c>
      <c r="C414" s="32" t="n">
        <f aca="false">'Raw Data'!F411</f>
        <v>40.2167508965202</v>
      </c>
      <c r="D414" s="15" t="n">
        <f aca="false">'Raw Data'!H411</f>
        <v>-0.0666777904626279</v>
      </c>
      <c r="E414" s="15" t="n">
        <f aca="false">'Raw Data'!I411</f>
        <v>-0.0666777904626281</v>
      </c>
      <c r="F414" s="17" t="b">
        <f aca="false">'Raw Data'!S411</f>
        <v>1</v>
      </c>
    </row>
    <row r="415" customFormat="false" ht="15" hidden="false" customHeight="true" outlineLevel="0" collapsed="false">
      <c r="A415" s="12" t="n">
        <f aca="false">'Raw Data'!A412</f>
        <v>42048</v>
      </c>
      <c r="B415" s="32" t="n">
        <f aca="false">'Raw Data'!E412</f>
        <v>37.7272412950193</v>
      </c>
      <c r="C415" s="32" t="n">
        <f aca="false">'Raw Data'!F412</f>
        <v>40.2364103542436</v>
      </c>
      <c r="D415" s="15" t="n">
        <f aca="false">'Raw Data'!H412</f>
        <v>-0.0665081509565745</v>
      </c>
      <c r="E415" s="15" t="n">
        <f aca="false">'Raw Data'!I412</f>
        <v>-0.0665081509565745</v>
      </c>
      <c r="F415" s="17" t="b">
        <f aca="false">'Raw Data'!S412</f>
        <v>1</v>
      </c>
    </row>
    <row r="416" customFormat="false" ht="15" hidden="false" customHeight="true" outlineLevel="0" collapsed="false">
      <c r="A416" s="12" t="n">
        <f aca="false">'Raw Data'!A413</f>
        <v>42049</v>
      </c>
      <c r="B416" s="32" t="n">
        <f aca="false">'Raw Data'!E413</f>
        <v>37.7333703405768</v>
      </c>
      <c r="C416" s="32" t="n">
        <f aca="false">'Raw Data'!F413</f>
        <v>40.1840373373342</v>
      </c>
      <c r="D416" s="15" t="n">
        <f aca="false">'Raw Data'!H413</f>
        <v>-0.0649469415172302</v>
      </c>
      <c r="E416" s="15" t="n">
        <f aca="false">'Raw Data'!I413</f>
        <v>-0.0649469415172304</v>
      </c>
      <c r="F416" s="17" t="b">
        <f aca="false">'Raw Data'!S413</f>
        <v>1</v>
      </c>
    </row>
    <row r="417" customFormat="false" ht="15" hidden="false" customHeight="true" outlineLevel="0" collapsed="false">
      <c r="A417" s="12" t="n">
        <f aca="false">'Raw Data'!A414</f>
        <v>42050</v>
      </c>
      <c r="B417" s="32" t="n">
        <f aca="false">'Raw Data'!E414</f>
        <v>37.710224265284</v>
      </c>
      <c r="C417" s="32" t="n">
        <f aca="false">'Raw Data'!F414</f>
        <v>40.1527220053325</v>
      </c>
      <c r="D417" s="15" t="n">
        <f aca="false">'Raw Data'!H414</f>
        <v>-0.064770172748535</v>
      </c>
      <c r="E417" s="15" t="n">
        <f aca="false">'Raw Data'!I414</f>
        <v>-0.0647701727485351</v>
      </c>
      <c r="F417" s="17" t="b">
        <f aca="false">'Raw Data'!S414</f>
        <v>1</v>
      </c>
    </row>
    <row r="418" customFormat="false" ht="15" hidden="false" customHeight="true" outlineLevel="0" collapsed="false">
      <c r="A418" s="12" t="n">
        <f aca="false">'Raw Data'!A415</f>
        <v>42051</v>
      </c>
      <c r="B418" s="32" t="n">
        <f aca="false">'Raw Data'!E415</f>
        <v>37.7191599953499</v>
      </c>
      <c r="C418" s="32" t="n">
        <f aca="false">'Raw Data'!F415</f>
        <v>40.1510810888338</v>
      </c>
      <c r="D418" s="15" t="n">
        <f aca="false">'Raw Data'!H415</f>
        <v>-0.0644744234437806</v>
      </c>
      <c r="E418" s="15" t="n">
        <f aca="false">'Raw Data'!I415</f>
        <v>-0.0644744234437805</v>
      </c>
      <c r="F418" s="17" t="b">
        <f aca="false">'Raw Data'!S415</f>
        <v>0</v>
      </c>
    </row>
    <row r="419" customFormat="false" ht="15" hidden="false" customHeight="true" outlineLevel="0" collapsed="false">
      <c r="A419" s="12" t="n">
        <f aca="false">'Raw Data'!A416</f>
        <v>42052</v>
      </c>
      <c r="B419" s="32" t="n">
        <f aca="false">'Raw Data'!E416</f>
        <v>37.6881058379599</v>
      </c>
      <c r="C419" s="32" t="n">
        <f aca="false">'Raw Data'!F416</f>
        <v>40.0478167778049</v>
      </c>
      <c r="D419" s="15" t="n">
        <f aca="false">'Raw Data'!H416</f>
        <v>-0.0626115557515829</v>
      </c>
      <c r="E419" s="15" t="n">
        <f aca="false">'Raw Data'!I416</f>
        <v>-0.0626115557515828</v>
      </c>
      <c r="F419" s="17" t="b">
        <f aca="false">'Raw Data'!S416</f>
        <v>0</v>
      </c>
    </row>
    <row r="420" customFormat="false" ht="15" hidden="false" customHeight="true" outlineLevel="0" collapsed="false">
      <c r="A420" s="12" t="n">
        <f aca="false">'Raw Data'!A417</f>
        <v>42053</v>
      </c>
      <c r="B420" s="32" t="n">
        <f aca="false">'Raw Data'!E417</f>
        <v>37.7200825163663</v>
      </c>
      <c r="C420" s="32" t="n">
        <f aca="false">'Raw Data'!F417</f>
        <v>39.9858001459411</v>
      </c>
      <c r="D420" s="15" t="n">
        <f aca="false">'Raw Data'!H417</f>
        <v>-0.0600666138148487</v>
      </c>
      <c r="E420" s="15" t="n">
        <f aca="false">'Raw Data'!I417</f>
        <v>-0.0600666138148488</v>
      </c>
      <c r="F420" s="17" t="b">
        <f aca="false">'Raw Data'!S417</f>
        <v>0</v>
      </c>
    </row>
    <row r="421" customFormat="false" ht="15" hidden="false" customHeight="true" outlineLevel="0" collapsed="false">
      <c r="A421" s="12" t="n">
        <f aca="false">'Raw Data'!A418</f>
        <v>42054</v>
      </c>
      <c r="B421" s="32" t="n">
        <f aca="false">'Raw Data'!E418</f>
        <v>37.713233652988</v>
      </c>
      <c r="C421" s="32" t="n">
        <f aca="false">'Raw Data'!F418</f>
        <v>39.9331368953239</v>
      </c>
      <c r="D421" s="15" t="n">
        <f aca="false">'Raw Data'!H418</f>
        <v>-0.058862712828127</v>
      </c>
      <c r="E421" s="15" t="n">
        <f aca="false">'Raw Data'!I418</f>
        <v>-0.058862712828127</v>
      </c>
      <c r="F421" s="17" t="b">
        <f aca="false">'Raw Data'!S418</f>
        <v>0</v>
      </c>
    </row>
    <row r="422" customFormat="false" ht="15" hidden="false" customHeight="true" outlineLevel="0" collapsed="false">
      <c r="A422" s="12" t="n">
        <f aca="false">'Raw Data'!A419</f>
        <v>42055</v>
      </c>
      <c r="B422" s="32" t="n">
        <f aca="false">'Raw Data'!E419</f>
        <v>37.7183731269502</v>
      </c>
      <c r="C422" s="32" t="n">
        <f aca="false">'Raw Data'!F419</f>
        <v>39.927976627457</v>
      </c>
      <c r="D422" s="15" t="n">
        <f aca="false">'Raw Data'!H419</f>
        <v>-0.0585816226238013</v>
      </c>
      <c r="E422" s="15" t="n">
        <f aca="false">'Raw Data'!I419</f>
        <v>-0.0585816226238012</v>
      </c>
      <c r="F422" s="17" t="b">
        <f aca="false">'Raw Data'!S419</f>
        <v>0</v>
      </c>
    </row>
    <row r="423" customFormat="false" ht="15" hidden="false" customHeight="true" outlineLevel="0" collapsed="false">
      <c r="A423" s="12" t="n">
        <f aca="false">'Raw Data'!A420</f>
        <v>42056</v>
      </c>
      <c r="B423" s="32" t="n">
        <f aca="false">'Raw Data'!E420</f>
        <v>37.7051751565627</v>
      </c>
      <c r="C423" s="32" t="n">
        <f aca="false">'Raw Data'!F420</f>
        <v>39.9085239135121</v>
      </c>
      <c r="D423" s="15" t="n">
        <f aca="false">'Raw Data'!H420</f>
        <v>-0.0584362424468398</v>
      </c>
      <c r="E423" s="15" t="n">
        <f aca="false">'Raw Data'!I420</f>
        <v>-0.0584362424468399</v>
      </c>
      <c r="F423" s="17" t="b">
        <f aca="false">'Raw Data'!S420</f>
        <v>0</v>
      </c>
    </row>
    <row r="424" customFormat="false" ht="15" hidden="false" customHeight="true" outlineLevel="0" collapsed="false">
      <c r="A424" s="12" t="n">
        <f aca="false">'Raw Data'!A421</f>
        <v>42057</v>
      </c>
      <c r="B424" s="32" t="n">
        <f aca="false">'Raw Data'!E421</f>
        <v>37.708616525395</v>
      </c>
      <c r="C424" s="32" t="n">
        <f aca="false">'Raw Data'!F421</f>
        <v>39.9168854655599</v>
      </c>
      <c r="D424" s="15" t="n">
        <f aca="false">'Raw Data'!H421</f>
        <v>-0.0585613884475907</v>
      </c>
      <c r="E424" s="15" t="n">
        <f aca="false">'Raw Data'!I421</f>
        <v>-0.0585613884475906</v>
      </c>
      <c r="F424" s="17" t="b">
        <f aca="false">'Raw Data'!S421</f>
        <v>0</v>
      </c>
    </row>
    <row r="425" customFormat="false" ht="15" hidden="false" customHeight="true" outlineLevel="0" collapsed="false">
      <c r="A425" s="12" t="n">
        <f aca="false">'Raw Data'!A422</f>
        <v>42058</v>
      </c>
      <c r="B425" s="32" t="n">
        <f aca="false">'Raw Data'!E422</f>
        <v>40.3271228327345</v>
      </c>
      <c r="C425" s="32" t="n">
        <f aca="false">'Raw Data'!F422</f>
        <v>39.8748681578059</v>
      </c>
      <c r="D425" s="15" t="n">
        <f aca="false">'Raw Data'!H422</f>
        <v>0.0112146526496428</v>
      </c>
      <c r="E425" s="15" t="n">
        <f aca="false">'Raw Data'!I422</f>
        <v>0.0112146526496428</v>
      </c>
      <c r="F425" s="17" t="b">
        <f aca="false">'Raw Data'!S422</f>
        <v>0</v>
      </c>
    </row>
    <row r="426" customFormat="false" ht="15" hidden="false" customHeight="true" outlineLevel="0" collapsed="false">
      <c r="A426" s="12" t="n">
        <f aca="false">'Raw Data'!A423</f>
        <v>42059</v>
      </c>
      <c r="B426" s="32" t="n">
        <f aca="false">'Raw Data'!E423</f>
        <v>37.7369001458892</v>
      </c>
      <c r="C426" s="32" t="n">
        <f aca="false">'Raw Data'!F423</f>
        <v>39.868586585279</v>
      </c>
      <c r="D426" s="15" t="n">
        <f aca="false">'Raw Data'!H423</f>
        <v>-0.0564881172313788</v>
      </c>
      <c r="E426" s="15" t="n">
        <f aca="false">'Raw Data'!I423</f>
        <v>-0.0564881172313788</v>
      </c>
      <c r="F426" s="17" t="b">
        <f aca="false">'Raw Data'!S423</f>
        <v>0</v>
      </c>
    </row>
    <row r="427" customFormat="false" ht="15" hidden="false" customHeight="true" outlineLevel="0" collapsed="false">
      <c r="A427" s="12" t="n">
        <f aca="false">'Raw Data'!A424</f>
        <v>42060</v>
      </c>
      <c r="B427" s="32" t="n">
        <f aca="false">'Raw Data'!E424</f>
        <v>37.7749148157208</v>
      </c>
      <c r="C427" s="32" t="n">
        <f aca="false">'Raw Data'!F424</f>
        <v>39.8819330114451</v>
      </c>
      <c r="D427" s="15" t="n">
        <f aca="false">'Raw Data'!H424</f>
        <v>-0.0557782381774523</v>
      </c>
      <c r="E427" s="15" t="n">
        <f aca="false">'Raw Data'!I424</f>
        <v>-0.0557782381774522</v>
      </c>
      <c r="F427" s="17" t="b">
        <f aca="false">'Raw Data'!S424</f>
        <v>0</v>
      </c>
    </row>
    <row r="428" customFormat="false" ht="15" hidden="false" customHeight="true" outlineLevel="0" collapsed="false">
      <c r="A428" s="12" t="n">
        <f aca="false">'Raw Data'!A425</f>
        <v>42061</v>
      </c>
      <c r="B428" s="32" t="n">
        <f aca="false">'Raw Data'!E425</f>
        <v>37.7107969309387</v>
      </c>
      <c r="C428" s="32" t="n">
        <f aca="false">'Raw Data'!F425</f>
        <v>39.8717424184777</v>
      </c>
      <c r="D428" s="15" t="n">
        <f aca="false">'Raw Data'!H425</f>
        <v>-0.0573030978766229</v>
      </c>
      <c r="E428" s="15" t="n">
        <f aca="false">'Raw Data'!I425</f>
        <v>-0.0573030978766228</v>
      </c>
      <c r="F428" s="17" t="b">
        <f aca="false">'Raw Data'!S425</f>
        <v>0</v>
      </c>
    </row>
    <row r="429" customFormat="false" ht="15" hidden="false" customHeight="true" outlineLevel="0" collapsed="false">
      <c r="A429" s="12" t="n">
        <f aca="false">'Raw Data'!A426</f>
        <v>42062</v>
      </c>
      <c r="B429" s="32" t="n">
        <f aca="false">'Raw Data'!E426</f>
        <v>37.7072921966941</v>
      </c>
      <c r="C429" s="32" t="n">
        <f aca="false">'Raw Data'!F426</f>
        <v>39.8476381164821</v>
      </c>
      <c r="D429" s="15" t="n">
        <f aca="false">'Raw Data'!H426</f>
        <v>-0.0567621219954819</v>
      </c>
      <c r="E429" s="15" t="n">
        <f aca="false">'Raw Data'!I426</f>
        <v>-0.0567621219954819</v>
      </c>
      <c r="F429" s="17" t="b">
        <f aca="false">'Raw Data'!S426</f>
        <v>0</v>
      </c>
    </row>
    <row r="430" customFormat="false" ht="15" hidden="false" customHeight="true" outlineLevel="0" collapsed="false">
      <c r="A430" s="12" t="n">
        <f aca="false">'Raw Data'!A427</f>
        <v>42063</v>
      </c>
      <c r="B430" s="32" t="n">
        <f aca="false">'Raw Data'!E427</f>
        <v>37.7472852313113</v>
      </c>
      <c r="C430" s="32" t="n">
        <f aca="false">'Raw Data'!F427</f>
        <v>40.3432267052559</v>
      </c>
      <c r="D430" s="15" t="n">
        <f aca="false">'Raw Data'!H427</f>
        <v>-0.0687716072304803</v>
      </c>
      <c r="E430" s="15" t="n">
        <f aca="false">'Raw Data'!I427</f>
        <v>-0.0687716072304805</v>
      </c>
      <c r="F430" s="17" t="b">
        <f aca="false">'Raw Data'!S427</f>
        <v>0</v>
      </c>
    </row>
    <row r="431" customFormat="false" ht="15" hidden="false" customHeight="true" outlineLevel="0" collapsed="false">
      <c r="A431" s="12" t="n">
        <f aca="false">'Raw Data'!A428</f>
        <v>42064</v>
      </c>
      <c r="B431" s="32" t="n">
        <f aca="false">'Raw Data'!E428</f>
        <v>37.7335797050332</v>
      </c>
      <c r="C431" s="32" t="n">
        <f aca="false">'Raw Data'!F428</f>
        <v>40.6540129931441</v>
      </c>
      <c r="D431" s="15" t="n">
        <f aca="false">'Raw Data'!H428</f>
        <v>-0.0773961365696088</v>
      </c>
      <c r="E431" s="15" t="n">
        <f aca="false">'Raw Data'!I428</f>
        <v>-0.0773961365696087</v>
      </c>
      <c r="F431" s="17" t="b">
        <f aca="false">'Raw Data'!S428</f>
        <v>0</v>
      </c>
    </row>
    <row r="432" customFormat="false" ht="15" hidden="false" customHeight="true" outlineLevel="0" collapsed="false">
      <c r="A432" s="12" t="n">
        <f aca="false">'Raw Data'!A429</f>
        <v>42065</v>
      </c>
      <c r="B432" s="32" t="n">
        <f aca="false">'Raw Data'!E429</f>
        <v>37.7279525444628</v>
      </c>
      <c r="C432" s="32" t="n">
        <f aca="false">'Raw Data'!F429</f>
        <v>40.6220580404693</v>
      </c>
      <c r="D432" s="15" t="n">
        <f aca="false">'Raw Data'!H429</f>
        <v>-0.0767098477606442</v>
      </c>
      <c r="E432" s="15" t="n">
        <f aca="false">'Raw Data'!I429</f>
        <v>-0.0767098477606441</v>
      </c>
      <c r="F432" s="17" t="b">
        <f aca="false">'Raw Data'!S429</f>
        <v>0</v>
      </c>
    </row>
    <row r="433" customFormat="false" ht="15" hidden="false" customHeight="true" outlineLevel="0" collapsed="false">
      <c r="A433" s="12" t="n">
        <f aca="false">'Raw Data'!A430</f>
        <v>42066</v>
      </c>
      <c r="B433" s="32" t="n">
        <f aca="false">'Raw Data'!E430</f>
        <v>37.7220640519708</v>
      </c>
      <c r="C433" s="32" t="n">
        <f aca="false">'Raw Data'!F430</f>
        <v>40.6537335285047</v>
      </c>
      <c r="D433" s="15" t="n">
        <f aca="false">'Raw Data'!H430</f>
        <v>-0.0777176315827997</v>
      </c>
      <c r="E433" s="15" t="n">
        <f aca="false">'Raw Data'!I430</f>
        <v>-0.0777176315827997</v>
      </c>
      <c r="F433" s="17" t="b">
        <f aca="false">'Raw Data'!S430</f>
        <v>0</v>
      </c>
    </row>
    <row r="434" customFormat="false" ht="15" hidden="false" customHeight="true" outlineLevel="0" collapsed="false">
      <c r="A434" s="12" t="n">
        <f aca="false">'Raw Data'!A431</f>
        <v>42067</v>
      </c>
      <c r="B434" s="32" t="n">
        <f aca="false">'Raw Data'!E431</f>
        <v>37.7336612841879</v>
      </c>
      <c r="C434" s="32" t="n">
        <f aca="false">'Raw Data'!F431</f>
        <v>40.7461064852457</v>
      </c>
      <c r="D434" s="15" t="n">
        <f aca="false">'Raw Data'!H431</f>
        <v>-0.0798344263062584</v>
      </c>
      <c r="E434" s="15" t="n">
        <f aca="false">'Raw Data'!I431</f>
        <v>-0.0798344263062584</v>
      </c>
      <c r="F434" s="17" t="b">
        <f aca="false">'Raw Data'!S431</f>
        <v>0</v>
      </c>
    </row>
    <row r="435" customFormat="false" ht="15" hidden="false" customHeight="true" outlineLevel="0" collapsed="false">
      <c r="A435" s="12" t="n">
        <f aca="false">'Raw Data'!A432</f>
        <v>42068</v>
      </c>
      <c r="B435" s="32" t="n">
        <f aca="false">'Raw Data'!E432</f>
        <v>37.8371783159215</v>
      </c>
      <c r="C435" s="32" t="n">
        <f aca="false">'Raw Data'!F432</f>
        <v>40.8444805252794</v>
      </c>
      <c r="D435" s="15" t="n">
        <f aca="false">'Raw Data'!H432</f>
        <v>-0.0794800866028764</v>
      </c>
      <c r="E435" s="15" t="n">
        <f aca="false">'Raw Data'!I432</f>
        <v>-0.0794800866028764</v>
      </c>
      <c r="F435" s="17" t="b">
        <f aca="false">'Raw Data'!S432</f>
        <v>0</v>
      </c>
    </row>
    <row r="436" customFormat="false" ht="15" hidden="false" customHeight="true" outlineLevel="0" collapsed="false">
      <c r="A436" s="12" t="n">
        <f aca="false">'Raw Data'!A433</f>
        <v>42069</v>
      </c>
      <c r="B436" s="32" t="n">
        <f aca="false">'Raw Data'!E433</f>
        <v>37.7721454241959</v>
      </c>
      <c r="C436" s="32" t="n">
        <f aca="false">'Raw Data'!F433</f>
        <v>40.876124797194</v>
      </c>
      <c r="D436" s="15" t="n">
        <f aca="false">'Raw Data'!H433</f>
        <v>-0.0821764116954225</v>
      </c>
      <c r="E436" s="15" t="n">
        <f aca="false">'Raw Data'!I433</f>
        <v>-0.0821764116954223</v>
      </c>
      <c r="F436" s="17" t="b">
        <f aca="false">'Raw Data'!S433</f>
        <v>0</v>
      </c>
    </row>
    <row r="437" customFormat="false" ht="15" hidden="false" customHeight="true" outlineLevel="0" collapsed="false">
      <c r="A437" s="12" t="n">
        <f aca="false">'Raw Data'!A434</f>
        <v>42070</v>
      </c>
      <c r="B437" s="32" t="n">
        <f aca="false">'Raw Data'!E434</f>
        <v>37.7654991511372</v>
      </c>
      <c r="C437" s="32" t="n">
        <f aca="false">'Raw Data'!F434</f>
        <v>40.8813106375644</v>
      </c>
      <c r="D437" s="15" t="n">
        <f aca="false">'Raw Data'!H434</f>
        <v>-0.0825041785879157</v>
      </c>
      <c r="E437" s="15" t="n">
        <f aca="false">'Raw Data'!I434</f>
        <v>-0.0825041785879157</v>
      </c>
      <c r="F437" s="17" t="b">
        <f aca="false">'Raw Data'!S434</f>
        <v>0</v>
      </c>
    </row>
    <row r="438" customFormat="false" ht="15" hidden="false" customHeight="true" outlineLevel="0" collapsed="false">
      <c r="A438" s="12" t="n">
        <f aca="false">'Raw Data'!A435</f>
        <v>42071</v>
      </c>
      <c r="B438" s="32" t="n">
        <f aca="false">'Raw Data'!E435</f>
        <v>41.168845455963</v>
      </c>
      <c r="C438" s="32" t="n">
        <f aca="false">'Raw Data'!F435</f>
        <v>40.9287971008672</v>
      </c>
      <c r="D438" s="15" t="n">
        <f aca="false">'Raw Data'!H435</f>
        <v>0.00583082552928445</v>
      </c>
      <c r="E438" s="15" t="n">
        <f aca="false">'Raw Data'!I435</f>
        <v>0.00583082552928443</v>
      </c>
      <c r="F438" s="17" t="b">
        <f aca="false">'Raw Data'!S435</f>
        <v>0</v>
      </c>
    </row>
    <row r="439" customFormat="false" ht="15" hidden="false" customHeight="true" outlineLevel="0" collapsed="false">
      <c r="A439" s="12" t="n">
        <f aca="false">'Raw Data'!A436</f>
        <v>42072</v>
      </c>
      <c r="B439" s="32" t="n">
        <f aca="false">'Raw Data'!E436</f>
        <v>41.169097548127</v>
      </c>
      <c r="C439" s="32" t="n">
        <f aca="false">'Raw Data'!F436</f>
        <v>40.8891386541468</v>
      </c>
      <c r="D439" s="15" t="n">
        <f aca="false">'Raw Data'!H436</f>
        <v>0.00680021935513639</v>
      </c>
      <c r="E439" s="15" t="n">
        <f aca="false">'Raw Data'!I436</f>
        <v>0.00680021935513639</v>
      </c>
      <c r="F439" s="17" t="b">
        <f aca="false">'Raw Data'!S436</f>
        <v>0</v>
      </c>
    </row>
    <row r="440" customFormat="false" ht="15" hidden="false" customHeight="true" outlineLevel="0" collapsed="false">
      <c r="A440" s="12" t="n">
        <f aca="false">'Raw Data'!A437</f>
        <v>42073</v>
      </c>
      <c r="B440" s="32" t="n">
        <f aca="false">'Raw Data'!E437</f>
        <v>41.1724632223718</v>
      </c>
      <c r="C440" s="32" t="n">
        <f aca="false">'Raw Data'!F437</f>
        <v>40.8918792188177</v>
      </c>
      <c r="D440" s="15" t="n">
        <f aca="false">'Raw Data'!H437</f>
        <v>0.00681484617616141</v>
      </c>
      <c r="E440" s="15" t="n">
        <f aca="false">'Raw Data'!I437</f>
        <v>0.00681484617616155</v>
      </c>
      <c r="F440" s="17" t="b">
        <f aca="false">'Raw Data'!S437</f>
        <v>0</v>
      </c>
    </row>
    <row r="441" customFormat="false" ht="15" hidden="false" customHeight="true" outlineLevel="0" collapsed="false">
      <c r="A441" s="12" t="n">
        <f aca="false">'Raw Data'!A438</f>
        <v>42074</v>
      </c>
      <c r="B441" s="32" t="n">
        <f aca="false">'Raw Data'!E438</f>
        <v>41.1717057173668</v>
      </c>
      <c r="C441" s="32" t="n">
        <f aca="false">'Raw Data'!F438</f>
        <v>40.8645608734546</v>
      </c>
      <c r="D441" s="15" t="n">
        <f aca="false">'Raw Data'!H438</f>
        <v>0.00746009519305897</v>
      </c>
      <c r="E441" s="15" t="n">
        <f aca="false">'Raw Data'!I438</f>
        <v>0.00746009519305904</v>
      </c>
      <c r="F441" s="17" t="b">
        <f aca="false">'Raw Data'!S438</f>
        <v>0</v>
      </c>
    </row>
    <row r="442" customFormat="false" ht="15" hidden="false" customHeight="true" outlineLevel="0" collapsed="false">
      <c r="A442" s="12" t="n">
        <f aca="false">'Raw Data'!A439</f>
        <v>42075</v>
      </c>
      <c r="B442" s="32" t="n">
        <f aca="false">'Raw Data'!E439</f>
        <v>41.1736559533964</v>
      </c>
      <c r="C442" s="32" t="n">
        <f aca="false">'Raw Data'!F439</f>
        <v>40.8933722803358</v>
      </c>
      <c r="D442" s="15" t="n">
        <f aca="false">'Raw Data'!H439</f>
        <v>0.00680735452246093</v>
      </c>
      <c r="E442" s="15" t="n">
        <f aca="false">'Raw Data'!I439</f>
        <v>0.00680735452246106</v>
      </c>
      <c r="F442" s="17" t="b">
        <f aca="false">'Raw Data'!S439</f>
        <v>0</v>
      </c>
    </row>
    <row r="443" customFormat="false" ht="15" hidden="false" customHeight="true" outlineLevel="0" collapsed="false">
      <c r="A443" s="12" t="n">
        <f aca="false">'Raw Data'!A440</f>
        <v>42076</v>
      </c>
      <c r="B443" s="32" t="n">
        <f aca="false">'Raw Data'!E440</f>
        <v>41.1660845122006</v>
      </c>
      <c r="C443" s="32" t="n">
        <f aca="false">'Raw Data'!F440</f>
        <v>40.8977012098348</v>
      </c>
      <c r="D443" s="15" t="n">
        <f aca="false">'Raw Data'!H440</f>
        <v>0.0065195246413648</v>
      </c>
      <c r="E443" s="15" t="n">
        <f aca="false">'Raw Data'!I440</f>
        <v>0.00651952464136481</v>
      </c>
      <c r="F443" s="17" t="b">
        <f aca="false">'Raw Data'!S440</f>
        <v>0</v>
      </c>
    </row>
    <row r="444" customFormat="false" ht="15" hidden="false" customHeight="true" outlineLevel="0" collapsed="false">
      <c r="A444" s="12" t="n">
        <f aca="false">'Raw Data'!A441</f>
        <v>42077</v>
      </c>
      <c r="B444" s="32" t="n">
        <f aca="false">'Raw Data'!E441</f>
        <v>41.1789849332336</v>
      </c>
      <c r="C444" s="32" t="n">
        <f aca="false">'Raw Data'!F441</f>
        <v>40.9006911656247</v>
      </c>
      <c r="D444" s="15" t="n">
        <f aca="false">'Raw Data'!H441</f>
        <v>0.00675815025698346</v>
      </c>
      <c r="E444" s="15" t="n">
        <f aca="false">'Raw Data'!I441</f>
        <v>0.00675815025698347</v>
      </c>
      <c r="F444" s="17" t="b">
        <f aca="false">'Raw Data'!S441</f>
        <v>0</v>
      </c>
    </row>
    <row r="445" customFormat="false" ht="15" hidden="false" customHeight="true" outlineLevel="0" collapsed="false">
      <c r="A445" s="12" t="n">
        <f aca="false">'Raw Data'!A442</f>
        <v>42078</v>
      </c>
      <c r="B445" s="32" t="n">
        <f aca="false">'Raw Data'!E442</f>
        <v>41.172578144476</v>
      </c>
      <c r="C445" s="32" t="n">
        <f aca="false">'Raw Data'!F442</f>
        <v>40.9582974971428</v>
      </c>
      <c r="D445" s="15" t="n">
        <f aca="false">'Raw Data'!H442</f>
        <v>0.00520445055884785</v>
      </c>
      <c r="E445" s="15" t="n">
        <f aca="false">'Raw Data'!I442</f>
        <v>0.00520445055884787</v>
      </c>
      <c r="F445" s="17" t="b">
        <f aca="false">'Raw Data'!S442</f>
        <v>0</v>
      </c>
    </row>
    <row r="446" customFormat="false" ht="15" hidden="false" customHeight="true" outlineLevel="0" collapsed="false">
      <c r="A446" s="12" t="n">
        <f aca="false">'Raw Data'!A443</f>
        <v>42079</v>
      </c>
      <c r="B446" s="32" t="n">
        <f aca="false">'Raw Data'!E443</f>
        <v>41.1614544403218</v>
      </c>
      <c r="C446" s="32" t="n">
        <f aca="false">'Raw Data'!F443</f>
        <v>40.8990763259528</v>
      </c>
      <c r="D446" s="15" t="n">
        <f aca="false">'Raw Data'!H443</f>
        <v>0.00637436451011267</v>
      </c>
      <c r="E446" s="15" t="n">
        <f aca="false">'Raw Data'!I443</f>
        <v>0.00637436451011266</v>
      </c>
      <c r="F446" s="17" t="b">
        <f aca="false">'Raw Data'!S443</f>
        <v>0</v>
      </c>
    </row>
    <row r="447" customFormat="false" ht="15" hidden="false" customHeight="true" outlineLevel="0" collapsed="false">
      <c r="A447" s="12" t="n">
        <f aca="false">'Raw Data'!A444</f>
        <v>42080</v>
      </c>
      <c r="B447" s="32" t="n">
        <f aca="false">'Raw Data'!E444</f>
        <v>41.1948269092198</v>
      </c>
      <c r="C447" s="32" t="n">
        <f aca="false">'Raw Data'!F444</f>
        <v>40.9015911009821</v>
      </c>
      <c r="D447" s="15" t="n">
        <f aca="false">'Raw Data'!H444</f>
        <v>0.00711826775929597</v>
      </c>
      <c r="E447" s="15" t="n">
        <f aca="false">'Raw Data'!I444</f>
        <v>0.00711826775929591</v>
      </c>
      <c r="F447" s="17" t="b">
        <f aca="false">'Raw Data'!S444</f>
        <v>0</v>
      </c>
    </row>
    <row r="448" customFormat="false" ht="15" hidden="false" customHeight="true" outlineLevel="0" collapsed="false">
      <c r="A448" s="12" t="n">
        <f aca="false">'Raw Data'!A445</f>
        <v>42081</v>
      </c>
      <c r="B448" s="32" t="n">
        <f aca="false">'Raw Data'!E445</f>
        <v>41.1582002241457</v>
      </c>
      <c r="C448" s="32" t="n">
        <f aca="false">'Raw Data'!F445</f>
        <v>40.9154558307511</v>
      </c>
      <c r="D448" s="15" t="n">
        <f aca="false">'Raw Data'!H445</f>
        <v>0.00589783790526979</v>
      </c>
      <c r="E448" s="15" t="n">
        <f aca="false">'Raw Data'!I445</f>
        <v>0.00589783790526966</v>
      </c>
      <c r="F448" s="17" t="b">
        <f aca="false">'Raw Data'!S445</f>
        <v>0</v>
      </c>
    </row>
    <row r="449" customFormat="false" ht="15" hidden="false" customHeight="true" outlineLevel="0" collapsed="false">
      <c r="A449" s="12" t="n">
        <f aca="false">'Raw Data'!A446</f>
        <v>42082</v>
      </c>
      <c r="B449" s="32" t="n">
        <f aca="false">'Raw Data'!E446</f>
        <v>41.155407254905</v>
      </c>
      <c r="C449" s="32" t="n">
        <f aca="false">'Raw Data'!F446</f>
        <v>40.9344922359567</v>
      </c>
      <c r="D449" s="15" t="n">
        <f aca="false">'Raw Data'!H446</f>
        <v>0.00536782487851452</v>
      </c>
      <c r="E449" s="15" t="n">
        <f aca="false">'Raw Data'!I446</f>
        <v>0.00536782487851451</v>
      </c>
      <c r="F449" s="17" t="b">
        <f aca="false">'Raw Data'!S446</f>
        <v>0</v>
      </c>
    </row>
    <row r="450" customFormat="false" ht="15" hidden="false" customHeight="true" outlineLevel="0" collapsed="false">
      <c r="A450" s="12" t="n">
        <f aca="false">'Raw Data'!A447</f>
        <v>42083</v>
      </c>
      <c r="B450" s="32" t="n">
        <f aca="false">'Raw Data'!E447</f>
        <v>41.1734033551166</v>
      </c>
      <c r="C450" s="32" t="n">
        <f aca="false">'Raw Data'!F447</f>
        <v>40.9916223055177</v>
      </c>
      <c r="D450" s="15" t="n">
        <f aca="false">'Raw Data'!H447</f>
        <v>0.00441501150708983</v>
      </c>
      <c r="E450" s="15" t="n">
        <f aca="false">'Raw Data'!I447</f>
        <v>0.0044150115070898</v>
      </c>
      <c r="F450" s="17" t="b">
        <f aca="false">'Raw Data'!S447</f>
        <v>0</v>
      </c>
    </row>
    <row r="451" customFormat="false" ht="15" hidden="false" customHeight="true" outlineLevel="0" collapsed="false">
      <c r="A451" s="12" t="n">
        <f aca="false">'Raw Data'!A448</f>
        <v>42084</v>
      </c>
      <c r="B451" s="32" t="n">
        <f aca="false">'Raw Data'!E448</f>
        <v>41.1811622467718</v>
      </c>
      <c r="C451" s="32" t="n">
        <f aca="false">'Raw Data'!F448</f>
        <v>41.0007763729455</v>
      </c>
      <c r="D451" s="15" t="n">
        <f aca="false">'Raw Data'!H448</f>
        <v>0.00438030070024069</v>
      </c>
      <c r="E451" s="15" t="n">
        <f aca="false">'Raw Data'!I448</f>
        <v>0.00438030070024053</v>
      </c>
      <c r="F451" s="17" t="b">
        <f aca="false">'Raw Data'!S448</f>
        <v>0</v>
      </c>
    </row>
    <row r="452" customFormat="false" ht="15" hidden="false" customHeight="true" outlineLevel="0" collapsed="false">
      <c r="A452" s="12" t="n">
        <f aca="false">'Raw Data'!A449</f>
        <v>42085</v>
      </c>
      <c r="B452" s="32" t="n">
        <f aca="false">'Raw Data'!E449</f>
        <v>41.1773470922327</v>
      </c>
      <c r="C452" s="32" t="n">
        <f aca="false">'Raw Data'!F449</f>
        <v>41.0555820686606</v>
      </c>
      <c r="D452" s="15" t="n">
        <f aca="false">'Raw Data'!H449</f>
        <v>0.00295708762634402</v>
      </c>
      <c r="E452" s="15" t="n">
        <f aca="false">'Raw Data'!I449</f>
        <v>0.00295708762634391</v>
      </c>
      <c r="F452" s="17" t="b">
        <f aca="false">'Raw Data'!S449</f>
        <v>0</v>
      </c>
    </row>
    <row r="453" customFormat="false" ht="15" hidden="false" customHeight="true" outlineLevel="0" collapsed="false">
      <c r="A453" s="12" t="n">
        <f aca="false">'Raw Data'!A450</f>
        <v>42086</v>
      </c>
      <c r="B453" s="32" t="n">
        <f aca="false">'Raw Data'!E450</f>
        <v>41.1650560546206</v>
      </c>
      <c r="C453" s="32" t="n">
        <f aca="false">'Raw Data'!F450</f>
        <v>41.0587109803826</v>
      </c>
      <c r="D453" s="15" t="n">
        <f aca="false">'Raw Data'!H450</f>
        <v>0.00258338222829034</v>
      </c>
      <c r="E453" s="15" t="n">
        <f aca="false">'Raw Data'!I450</f>
        <v>0.0025833822282904</v>
      </c>
      <c r="F453" s="17" t="b">
        <f aca="false">'Raw Data'!S450</f>
        <v>0</v>
      </c>
    </row>
    <row r="454" customFormat="false" ht="15" hidden="false" customHeight="true" outlineLevel="0" collapsed="false">
      <c r="A454" s="12" t="n">
        <f aca="false">'Raw Data'!A451</f>
        <v>42087</v>
      </c>
      <c r="B454" s="32" t="n">
        <f aca="false">'Raw Data'!E451</f>
        <v>37.7598755772151</v>
      </c>
      <c r="C454" s="32" t="n">
        <f aca="false">'Raw Data'!F451</f>
        <v>41.1760726792019</v>
      </c>
      <c r="D454" s="15" t="n">
        <f aca="false">'Raw Data'!H451</f>
        <v>-0.09047161966943</v>
      </c>
      <c r="E454" s="15" t="n">
        <f aca="false">'Raw Data'!I451</f>
        <v>-0.09047161966943</v>
      </c>
      <c r="F454" s="17" t="b">
        <f aca="false">'Raw Data'!S451</f>
        <v>1</v>
      </c>
    </row>
    <row r="455" customFormat="false" ht="15" hidden="false" customHeight="true" outlineLevel="0" collapsed="false">
      <c r="A455" s="12" t="n">
        <f aca="false">'Raw Data'!A452</f>
        <v>42088</v>
      </c>
      <c r="B455" s="32" t="n">
        <f aca="false">'Raw Data'!E452</f>
        <v>37.771305376191</v>
      </c>
      <c r="C455" s="32" t="n">
        <f aca="false">'Raw Data'!F452</f>
        <v>41.1985127511997</v>
      </c>
      <c r="D455" s="15" t="n">
        <f aca="false">'Raw Data'!H452</f>
        <v>-0.090735740818983</v>
      </c>
      <c r="E455" s="15" t="n">
        <f aca="false">'Raw Data'!I452</f>
        <v>-0.0907357408189829</v>
      </c>
      <c r="F455" s="17" t="b">
        <f aca="false">'Raw Data'!S452</f>
        <v>1</v>
      </c>
    </row>
    <row r="456" customFormat="false" ht="15" hidden="false" customHeight="true" outlineLevel="0" collapsed="false">
      <c r="A456" s="12" t="n">
        <f aca="false">'Raw Data'!A453</f>
        <v>42089</v>
      </c>
      <c r="B456" s="32" t="n">
        <f aca="false">'Raw Data'!E453</f>
        <v>37.7134230509243</v>
      </c>
      <c r="C456" s="32" t="n">
        <f aca="false">'Raw Data'!F453</f>
        <v>41.1981487920562</v>
      </c>
      <c r="D456" s="15" t="n">
        <f aca="false">'Raw Data'!H453</f>
        <v>-0.0924001445434049</v>
      </c>
      <c r="E456" s="15" t="n">
        <f aca="false">'Raw Data'!I453</f>
        <v>-0.092400144543405</v>
      </c>
      <c r="F456" s="17" t="b">
        <f aca="false">'Raw Data'!S453</f>
        <v>1</v>
      </c>
    </row>
    <row r="457" customFormat="false" ht="15" hidden="false" customHeight="true" outlineLevel="0" collapsed="false">
      <c r="A457" s="12" t="n">
        <f aca="false">'Raw Data'!A454</f>
        <v>42090</v>
      </c>
      <c r="B457" s="32" t="n">
        <f aca="false">'Raw Data'!E454</f>
        <v>37.7361337045141</v>
      </c>
      <c r="C457" s="32" t="n">
        <f aca="false">'Raw Data'!F454</f>
        <v>41.1745846289139</v>
      </c>
      <c r="D457" s="15" t="n">
        <f aca="false">'Raw Data'!H454</f>
        <v>-0.0911182621760867</v>
      </c>
      <c r="E457" s="15" t="n">
        <f aca="false">'Raw Data'!I454</f>
        <v>-0.0911182621760869</v>
      </c>
      <c r="F457" s="17" t="b">
        <f aca="false">'Raw Data'!S454</f>
        <v>1</v>
      </c>
    </row>
    <row r="458" customFormat="false" ht="15" hidden="false" customHeight="true" outlineLevel="0" collapsed="false">
      <c r="A458" s="12" t="n">
        <f aca="false">'Raw Data'!A455</f>
        <v>42091</v>
      </c>
      <c r="B458" s="32" t="n">
        <f aca="false">'Raw Data'!E455</f>
        <v>37.7214240731866</v>
      </c>
      <c r="C458" s="32" t="n">
        <f aca="false">'Raw Data'!F455</f>
        <v>41.1593935219069</v>
      </c>
      <c r="D458" s="15" t="n">
        <f aca="false">'Raw Data'!H455</f>
        <v>-0.0911410301490737</v>
      </c>
      <c r="E458" s="15" t="n">
        <f aca="false">'Raw Data'!I455</f>
        <v>-0.0911410301490737</v>
      </c>
      <c r="F458" s="17" t="b">
        <f aca="false">'Raw Data'!S455</f>
        <v>1</v>
      </c>
    </row>
    <row r="459" customFormat="false" ht="15" hidden="false" customHeight="true" outlineLevel="0" collapsed="false">
      <c r="A459" s="12" t="n">
        <f aca="false">'Raw Data'!A456</f>
        <v>42092</v>
      </c>
      <c r="B459" s="32" t="n">
        <f aca="false">'Raw Data'!E456</f>
        <v>37.746823053868</v>
      </c>
      <c r="C459" s="32" t="n">
        <f aca="false">'Raw Data'!F456</f>
        <v>41.158801998018</v>
      </c>
      <c r="D459" s="15" t="n">
        <f aca="false">'Raw Data'!H456</f>
        <v>-0.0903911552842695</v>
      </c>
      <c r="E459" s="15" t="n">
        <f aca="false">'Raw Data'!I456</f>
        <v>-0.0903911552842696</v>
      </c>
      <c r="F459" s="17" t="b">
        <f aca="false">'Raw Data'!S456</f>
        <v>1</v>
      </c>
    </row>
    <row r="460" customFormat="false" ht="15" hidden="false" customHeight="true" outlineLevel="0" collapsed="false">
      <c r="A460" s="12" t="n">
        <f aca="false">'Raw Data'!A457</f>
        <v>42093</v>
      </c>
      <c r="B460" s="32" t="n">
        <f aca="false">'Raw Data'!E457</f>
        <v>37.7153099863929</v>
      </c>
      <c r="C460" s="32" t="n">
        <f aca="false">'Raw Data'!F457</f>
        <v>41.1530752587959</v>
      </c>
      <c r="D460" s="15" t="n">
        <f aca="false">'Raw Data'!H457</f>
        <v>-0.0911503915424068</v>
      </c>
      <c r="E460" s="15" t="n">
        <f aca="false">'Raw Data'!I457</f>
        <v>-0.0911503915424067</v>
      </c>
      <c r="F460" s="17" t="b">
        <f aca="false">'Raw Data'!S457</f>
        <v>1</v>
      </c>
    </row>
    <row r="461" customFormat="false" ht="15" hidden="false" customHeight="true" outlineLevel="0" collapsed="false">
      <c r="A461" s="12" t="n">
        <f aca="false">'Raw Data'!A458</f>
        <v>42094</v>
      </c>
      <c r="B461" s="32" t="n">
        <f aca="false">'Raw Data'!E458</f>
        <v>37.7385534488979</v>
      </c>
      <c r="C461" s="32" t="n">
        <f aca="false">'Raw Data'!F458</f>
        <v>41.0772651256219</v>
      </c>
      <c r="D461" s="15" t="n">
        <f aca="false">'Raw Data'!H458</f>
        <v>-0.0884695191416119</v>
      </c>
      <c r="E461" s="15" t="n">
        <f aca="false">'Raw Data'!I458</f>
        <v>-0.088469519141612</v>
      </c>
      <c r="F461" s="17" t="b">
        <f aca="false">'Raw Data'!S458</f>
        <v>0</v>
      </c>
    </row>
    <row r="462" customFormat="false" ht="15" hidden="false" customHeight="true" outlineLevel="0" collapsed="false">
      <c r="A462" s="12" t="n">
        <f aca="false">'Raw Data'!A459</f>
        <v>42095</v>
      </c>
      <c r="B462" s="32" t="n">
        <f aca="false">'Raw Data'!E459</f>
        <v>37.7749938616004</v>
      </c>
      <c r="C462" s="32" t="n">
        <f aca="false">'Raw Data'!F459</f>
        <v>41.0754778379275</v>
      </c>
      <c r="D462" s="15" t="n">
        <f aca="false">'Raw Data'!H459</f>
        <v>-0.0873721909371955</v>
      </c>
      <c r="E462" s="15" t="n">
        <f aca="false">'Raw Data'!I459</f>
        <v>-0.0873721909371955</v>
      </c>
      <c r="F462" s="17" t="b">
        <f aca="false">'Raw Data'!S459</f>
        <v>0</v>
      </c>
    </row>
    <row r="463" customFormat="false" ht="15" hidden="false" customHeight="true" outlineLevel="0" collapsed="false">
      <c r="A463" s="12" t="n">
        <f aca="false">'Raw Data'!A460</f>
        <v>42096</v>
      </c>
      <c r="B463" s="32" t="n">
        <f aca="false">'Raw Data'!E460</f>
        <v>37.7604663007099</v>
      </c>
      <c r="C463" s="32" t="n">
        <f aca="false">'Raw Data'!F460</f>
        <v>41.0605298241981</v>
      </c>
      <c r="D463" s="15" t="n">
        <f aca="false">'Raw Data'!H460</f>
        <v>-0.0873946708498716</v>
      </c>
      <c r="E463" s="15" t="n">
        <f aca="false">'Raw Data'!I460</f>
        <v>-0.0873946708498716</v>
      </c>
      <c r="F463" s="17" t="b">
        <f aca="false">'Raw Data'!S460</f>
        <v>0</v>
      </c>
    </row>
    <row r="464" customFormat="false" ht="15" hidden="false" customHeight="true" outlineLevel="0" collapsed="false">
      <c r="A464" s="12" t="n">
        <f aca="false">'Raw Data'!A461</f>
        <v>42097</v>
      </c>
      <c r="B464" s="32" t="n">
        <f aca="false">'Raw Data'!E461</f>
        <v>37.7908031996689</v>
      </c>
      <c r="C464" s="32" t="n">
        <f aca="false">'Raw Data'!F461</f>
        <v>41.0397555664243</v>
      </c>
      <c r="D464" s="15" t="n">
        <f aca="false">'Raw Data'!H461</f>
        <v>-0.0859720379476836</v>
      </c>
      <c r="E464" s="15" t="n">
        <f aca="false">'Raw Data'!I461</f>
        <v>-0.0859720379476836</v>
      </c>
      <c r="F464" s="17" t="b">
        <f aca="false">'Raw Data'!S461</f>
        <v>0</v>
      </c>
    </row>
    <row r="465" customFormat="false" ht="15" hidden="false" customHeight="true" outlineLevel="0" collapsed="false">
      <c r="A465" s="12" t="n">
        <f aca="false">'Raw Data'!A462</f>
        <v>42098</v>
      </c>
      <c r="B465" s="32" t="n">
        <f aca="false">'Raw Data'!E462</f>
        <v>37.7643433483407</v>
      </c>
      <c r="C465" s="32" t="n">
        <f aca="false">'Raw Data'!F462</f>
        <v>41.0257291424855</v>
      </c>
      <c r="D465" s="15" t="n">
        <f aca="false">'Raw Data'!H462</f>
        <v>-0.0863615120766585</v>
      </c>
      <c r="E465" s="15" t="n">
        <f aca="false">'Raw Data'!I462</f>
        <v>-0.0863615120766583</v>
      </c>
      <c r="F465" s="17" t="b">
        <f aca="false">'Raw Data'!S462</f>
        <v>0</v>
      </c>
    </row>
    <row r="466" customFormat="false" ht="15" hidden="false" customHeight="true" outlineLevel="0" collapsed="false">
      <c r="A466" s="12" t="n">
        <f aca="false">'Raw Data'!A463</f>
        <v>42099</v>
      </c>
      <c r="B466" s="32" t="n">
        <f aca="false">'Raw Data'!E463</f>
        <v>37.7549995669835</v>
      </c>
      <c r="C466" s="32" t="n">
        <f aca="false">'Raw Data'!F463</f>
        <v>41.0292188954792</v>
      </c>
      <c r="D466" s="15" t="n">
        <f aca="false">'Raw Data'!H463</f>
        <v>-0.0867228013785769</v>
      </c>
      <c r="E466" s="15" t="n">
        <f aca="false">'Raw Data'!I463</f>
        <v>-0.0867228013785768</v>
      </c>
      <c r="F466" s="17" t="b">
        <f aca="false">'Raw Data'!S463</f>
        <v>0</v>
      </c>
    </row>
    <row r="467" customFormat="false" ht="15" hidden="false" customHeight="true" outlineLevel="0" collapsed="false">
      <c r="A467" s="12" t="n">
        <f aca="false">'Raw Data'!A464</f>
        <v>42100</v>
      </c>
      <c r="B467" s="32" t="n">
        <f aca="false">'Raw Data'!E464</f>
        <v>37.7308220034451</v>
      </c>
      <c r="C467" s="32" t="n">
        <f aca="false">'Raw Data'!F464</f>
        <v>41.0267223143767</v>
      </c>
      <c r="D467" s="15" t="n">
        <f aca="false">'Raw Data'!H464</f>
        <v>-0.0873529951356664</v>
      </c>
      <c r="E467" s="15" t="n">
        <f aca="false">'Raw Data'!I464</f>
        <v>-0.0873529951356665</v>
      </c>
      <c r="F467" s="17" t="b">
        <f aca="false">'Raw Data'!S464</f>
        <v>0</v>
      </c>
    </row>
    <row r="468" customFormat="false" ht="15" hidden="false" customHeight="true" outlineLevel="0" collapsed="false">
      <c r="A468" s="12" t="n">
        <f aca="false">'Raw Data'!A465</f>
        <v>42101</v>
      </c>
      <c r="B468" s="32" t="n">
        <f aca="false">'Raw Data'!E465</f>
        <v>40.6656399653796</v>
      </c>
      <c r="C468" s="32" t="n">
        <f aca="false">'Raw Data'!F465</f>
        <v>41.028093160431</v>
      </c>
      <c r="D468" s="15" t="n">
        <f aca="false">'Raw Data'!H465</f>
        <v>-0.00891300850939431</v>
      </c>
      <c r="E468" s="15" t="n">
        <f aca="false">'Raw Data'!I465</f>
        <v>-0.00891300850939433</v>
      </c>
      <c r="F468" s="17" t="b">
        <f aca="false">'Raw Data'!S465</f>
        <v>0</v>
      </c>
    </row>
    <row r="469" customFormat="false" ht="15" hidden="false" customHeight="true" outlineLevel="0" collapsed="false">
      <c r="A469" s="12" t="n">
        <f aca="false">'Raw Data'!A466</f>
        <v>42102</v>
      </c>
      <c r="B469" s="32" t="n">
        <f aca="false">'Raw Data'!E466</f>
        <v>41.1740806059563</v>
      </c>
      <c r="C469" s="32" t="n">
        <f aca="false">'Raw Data'!F466</f>
        <v>41.0359563232824</v>
      </c>
      <c r="D469" s="15" t="n">
        <f aca="false">'Raw Data'!H466</f>
        <v>0.0033546415764752</v>
      </c>
      <c r="E469" s="15" t="n">
        <f aca="false">'Raw Data'!I466</f>
        <v>0.00335464157647511</v>
      </c>
      <c r="F469" s="17" t="b">
        <f aca="false">'Raw Data'!S466</f>
        <v>0</v>
      </c>
    </row>
    <row r="470" customFormat="false" ht="15" hidden="false" customHeight="true" outlineLevel="0" collapsed="false">
      <c r="A470" s="12" t="n">
        <f aca="false">'Raw Data'!A467</f>
        <v>42103</v>
      </c>
      <c r="B470" s="32" t="n">
        <f aca="false">'Raw Data'!E467</f>
        <v>41.1745715156838</v>
      </c>
      <c r="C470" s="32" t="n">
        <f aca="false">'Raw Data'!F467</f>
        <v>41.0295402272238</v>
      </c>
      <c r="D470" s="15" t="n">
        <f aca="false">'Raw Data'!H467</f>
        <v>0.00352235088602697</v>
      </c>
      <c r="E470" s="15" t="n">
        <f aca="false">'Raw Data'!I467</f>
        <v>0.00352235088602689</v>
      </c>
      <c r="F470" s="17" t="b">
        <f aca="false">'Raw Data'!S467</f>
        <v>0</v>
      </c>
    </row>
    <row r="471" customFormat="false" ht="15" hidden="false" customHeight="true" outlineLevel="0" collapsed="false">
      <c r="A471" s="12" t="n">
        <f aca="false">'Raw Data'!A468</f>
        <v>42104</v>
      </c>
      <c r="B471" s="32" t="n">
        <f aca="false">'Raw Data'!E468</f>
        <v>41.1794502172301</v>
      </c>
      <c r="C471" s="32" t="n">
        <f aca="false">'Raw Data'!F468</f>
        <v>41.0303153657835</v>
      </c>
      <c r="D471" s="15" t="n">
        <f aca="false">'Raw Data'!H468</f>
        <v>0.00362158432567484</v>
      </c>
      <c r="E471" s="15" t="n">
        <f aca="false">'Raw Data'!I468</f>
        <v>0.00362158432567477</v>
      </c>
      <c r="F471" s="17" t="b">
        <f aca="false">'Raw Data'!S468</f>
        <v>0</v>
      </c>
    </row>
    <row r="472" customFormat="false" ht="15" hidden="false" customHeight="true" outlineLevel="0" collapsed="false">
      <c r="A472" s="12" t="n">
        <f aca="false">'Raw Data'!A469</f>
        <v>42105</v>
      </c>
      <c r="B472" s="32" t="n">
        <f aca="false">'Raw Data'!E469</f>
        <v>41.1809247855359</v>
      </c>
      <c r="C472" s="32" t="n">
        <f aca="false">'Raw Data'!F469</f>
        <v>41.0298727732218</v>
      </c>
      <c r="D472" s="15" t="n">
        <f aca="false">'Raw Data'!H469</f>
        <v>0.00366800923244787</v>
      </c>
      <c r="E472" s="15" t="n">
        <f aca="false">'Raw Data'!I469</f>
        <v>0.00366800923244792</v>
      </c>
      <c r="F472" s="17" t="b">
        <f aca="false">'Raw Data'!S469</f>
        <v>0</v>
      </c>
    </row>
    <row r="473" customFormat="false" ht="15" hidden="false" customHeight="true" outlineLevel="0" collapsed="false">
      <c r="A473" s="12" t="n">
        <f aca="false">'Raw Data'!A470</f>
        <v>42106</v>
      </c>
      <c r="B473" s="32" t="n">
        <f aca="false">'Raw Data'!E470</f>
        <v>41.1833657676528</v>
      </c>
      <c r="C473" s="32" t="n">
        <f aca="false">'Raw Data'!F470</f>
        <v>41.0286465622248</v>
      </c>
      <c r="D473" s="15" t="n">
        <f aca="false">'Raw Data'!H470</f>
        <v>0.00375683731875902</v>
      </c>
      <c r="E473" s="15" t="n">
        <f aca="false">'Raw Data'!I470</f>
        <v>0.00375683731875908</v>
      </c>
      <c r="F473" s="17" t="b">
        <f aca="false">'Raw Data'!S470</f>
        <v>0</v>
      </c>
    </row>
    <row r="474" customFormat="false" ht="15" hidden="false" customHeight="true" outlineLevel="0" collapsed="false">
      <c r="A474" s="12" t="n">
        <f aca="false">'Raw Data'!A471</f>
        <v>42107</v>
      </c>
      <c r="B474" s="32" t="n">
        <f aca="false">'Raw Data'!E471</f>
        <v>41.1775296818179</v>
      </c>
      <c r="C474" s="32" t="n">
        <f aca="false">'Raw Data'!F471</f>
        <v>40.9610471373467</v>
      </c>
      <c r="D474" s="15" t="n">
        <f aca="false">'Raw Data'!H471</f>
        <v>0.00525729800072884</v>
      </c>
      <c r="E474" s="15" t="n">
        <f aca="false">'Raw Data'!I471</f>
        <v>0.00525729800072875</v>
      </c>
      <c r="F474" s="17" t="b">
        <f aca="false">'Raw Data'!S471</f>
        <v>0</v>
      </c>
    </row>
    <row r="475" customFormat="false" ht="15" hidden="false" customHeight="true" outlineLevel="0" collapsed="false">
      <c r="A475" s="12" t="n">
        <f aca="false">'Raw Data'!A472</f>
        <v>42108</v>
      </c>
      <c r="B475" s="32" t="n">
        <f aca="false">'Raw Data'!E472</f>
        <v>41.6506915849543</v>
      </c>
      <c r="C475" s="32" t="n">
        <f aca="false">'Raw Data'!F472</f>
        <v>40.7969352188184</v>
      </c>
      <c r="D475" s="15" t="n">
        <f aca="false">'Raw Data'!H472</f>
        <v>0.0204980117651709</v>
      </c>
      <c r="E475" s="15" t="n">
        <f aca="false">'Raw Data'!I472</f>
        <v>0.0204980117651709</v>
      </c>
      <c r="F475" s="17" t="b">
        <f aca="false">'Raw Data'!S472</f>
        <v>0</v>
      </c>
    </row>
    <row r="476" customFormat="false" ht="15" hidden="false" customHeight="true" outlineLevel="0" collapsed="false">
      <c r="A476" s="12" t="n">
        <f aca="false">'Raw Data'!A473</f>
        <v>42109</v>
      </c>
      <c r="B476" s="32" t="n">
        <f aca="false">'Raw Data'!E473</f>
        <v>41.6870228369459</v>
      </c>
      <c r="C476" s="32" t="n">
        <f aca="false">'Raw Data'!F473</f>
        <v>40.751017592446</v>
      </c>
      <c r="D476" s="15" t="n">
        <f aca="false">'Raw Data'!H473</f>
        <v>0.0224531564213885</v>
      </c>
      <c r="E476" s="15" t="n">
        <f aca="false">'Raw Data'!I473</f>
        <v>0.0224531564213886</v>
      </c>
      <c r="F476" s="17" t="b">
        <f aca="false">'Raw Data'!S473</f>
        <v>0</v>
      </c>
    </row>
    <row r="477" customFormat="false" ht="15" hidden="false" customHeight="true" outlineLevel="0" collapsed="false">
      <c r="A477" s="12" t="n">
        <f aca="false">'Raw Data'!A474</f>
        <v>42110</v>
      </c>
      <c r="B477" s="32" t="n">
        <f aca="false">'Raw Data'!E474</f>
        <v>41.7363117223875</v>
      </c>
      <c r="C477" s="32" t="n">
        <f aca="false">'Raw Data'!F474</f>
        <v>40.7578342079906</v>
      </c>
      <c r="D477" s="15" t="n">
        <f aca="false">'Raw Data'!H474</f>
        <v>0.0234442736796037</v>
      </c>
      <c r="E477" s="15" t="n">
        <f aca="false">'Raw Data'!I474</f>
        <v>0.0234442736796038</v>
      </c>
      <c r="F477" s="17" t="b">
        <f aca="false">'Raw Data'!S474</f>
        <v>0</v>
      </c>
    </row>
    <row r="478" customFormat="false" ht="15" hidden="false" customHeight="true" outlineLevel="0" collapsed="false">
      <c r="A478" s="12" t="n">
        <f aca="false">'Raw Data'!A475</f>
        <v>42111</v>
      </c>
      <c r="B478" s="32" t="n">
        <f aca="false">'Raw Data'!E475</f>
        <v>41.8156616024661</v>
      </c>
      <c r="C478" s="32" t="n">
        <f aca="false">'Raw Data'!F475</f>
        <v>40.8084304171912</v>
      </c>
      <c r="D478" s="15" t="n">
        <f aca="false">'Raw Data'!H475</f>
        <v>0.0240874147789505</v>
      </c>
      <c r="E478" s="15" t="n">
        <f aca="false">'Raw Data'!I475</f>
        <v>0.0240874147789505</v>
      </c>
      <c r="F478" s="17" t="b">
        <f aca="false">'Raw Data'!S475</f>
        <v>0</v>
      </c>
    </row>
    <row r="479" customFormat="false" ht="15" hidden="false" customHeight="true" outlineLevel="0" collapsed="false">
      <c r="A479" s="12" t="n">
        <f aca="false">'Raw Data'!A476</f>
        <v>42112</v>
      </c>
      <c r="B479" s="32" t="n">
        <f aca="false">'Raw Data'!E476</f>
        <v>41.8799566887063</v>
      </c>
      <c r="C479" s="32" t="n">
        <f aca="false">'Raw Data'!F476</f>
        <v>40.8403316908945</v>
      </c>
      <c r="D479" s="15" t="n">
        <f aca="false">'Raw Data'!H476</f>
        <v>0.0248239272437499</v>
      </c>
      <c r="E479" s="15" t="n">
        <f aca="false">'Raw Data'!I476</f>
        <v>0.0248239272437499</v>
      </c>
      <c r="F479" s="17" t="b">
        <f aca="false">'Raw Data'!S476</f>
        <v>0</v>
      </c>
    </row>
    <row r="480" customFormat="false" ht="15" hidden="false" customHeight="true" outlineLevel="0" collapsed="false">
      <c r="A480" s="12" t="n">
        <f aca="false">'Raw Data'!A477</f>
        <v>42113</v>
      </c>
      <c r="B480" s="32" t="n">
        <f aca="false">'Raw Data'!E477</f>
        <v>41.9416240996526</v>
      </c>
      <c r="C480" s="32" t="n">
        <f aca="false">'Raw Data'!F477</f>
        <v>40.8906185070585</v>
      </c>
      <c r="D480" s="15" t="n">
        <f aca="false">'Raw Data'!H477</f>
        <v>0.0250587719277863</v>
      </c>
      <c r="E480" s="15" t="n">
        <f aca="false">'Raw Data'!I477</f>
        <v>0.0250587719277864</v>
      </c>
      <c r="F480" s="17" t="b">
        <f aca="false">'Raw Data'!S477</f>
        <v>0</v>
      </c>
    </row>
    <row r="481" customFormat="false" ht="15" hidden="false" customHeight="true" outlineLevel="0" collapsed="false">
      <c r="A481" s="12" t="n">
        <f aca="false">'Raw Data'!A478</f>
        <v>42114</v>
      </c>
      <c r="B481" s="32" t="n">
        <f aca="false">'Raw Data'!E478</f>
        <v>41.9292356348426</v>
      </c>
      <c r="C481" s="32" t="n">
        <f aca="false">'Raw Data'!F478</f>
        <v>40.8108977476898</v>
      </c>
      <c r="D481" s="15" t="n">
        <f aca="false">'Raw Data'!H478</f>
        <v>0.0266720313456776</v>
      </c>
      <c r="E481" s="15" t="n">
        <f aca="false">'Raw Data'!I478</f>
        <v>0.0266720313456775</v>
      </c>
      <c r="F481" s="17" t="b">
        <f aca="false">'Raw Data'!S478</f>
        <v>0</v>
      </c>
    </row>
    <row r="482" customFormat="false" ht="15" hidden="false" customHeight="true" outlineLevel="0" collapsed="false">
      <c r="A482" s="12" t="n">
        <f aca="false">'Raw Data'!A479</f>
        <v>42115</v>
      </c>
      <c r="B482" s="32" t="n">
        <f aca="false">'Raw Data'!E479</f>
        <v>42.0357320436142</v>
      </c>
      <c r="C482" s="32" t="n">
        <f aca="false">'Raw Data'!F479</f>
        <v>40.7776579641897</v>
      </c>
      <c r="D482" s="15" t="n">
        <f aca="false">'Raw Data'!H479</f>
        <v>0.0299286825341637</v>
      </c>
      <c r="E482" s="15" t="n">
        <f aca="false">'Raw Data'!I479</f>
        <v>0.0299286825341637</v>
      </c>
      <c r="F482" s="17" t="b">
        <f aca="false">'Raw Data'!S479</f>
        <v>0</v>
      </c>
    </row>
    <row r="483" customFormat="false" ht="15" hidden="false" customHeight="true" outlineLevel="0" collapsed="false">
      <c r="A483" s="12" t="n">
        <f aca="false">'Raw Data'!A480</f>
        <v>42116</v>
      </c>
      <c r="B483" s="32" t="n">
        <f aca="false">'Raw Data'!E480</f>
        <v>38.5977717408836</v>
      </c>
      <c r="C483" s="32" t="n">
        <f aca="false">'Raw Data'!F480</f>
        <v>40.7862547549846</v>
      </c>
      <c r="D483" s="15" t="n">
        <f aca="false">'Raw Data'!H480</f>
        <v>-0.056699724242964</v>
      </c>
      <c r="E483" s="15" t="n">
        <f aca="false">'Raw Data'!I480</f>
        <v>-0.056699724242964</v>
      </c>
      <c r="F483" s="17" t="b">
        <f aca="false">'Raw Data'!S480</f>
        <v>1</v>
      </c>
    </row>
    <row r="484" customFormat="false" ht="15" hidden="false" customHeight="true" outlineLevel="0" collapsed="false">
      <c r="A484" s="12" t="n">
        <f aca="false">'Raw Data'!A481</f>
        <v>42117</v>
      </c>
      <c r="B484" s="32" t="n">
        <f aca="false">'Raw Data'!E481</f>
        <v>42.0574190712134</v>
      </c>
      <c r="C484" s="32" t="n">
        <f aca="false">'Raw Data'!F481</f>
        <v>40.7573604811028</v>
      </c>
      <c r="D484" s="15" t="n">
        <f aca="false">'Raw Data'!H481</f>
        <v>0.0309115161800422</v>
      </c>
      <c r="E484" s="15" t="n">
        <f aca="false">'Raw Data'!I481</f>
        <v>0.0309115161800423</v>
      </c>
      <c r="F484" s="17" t="b">
        <f aca="false">'Raw Data'!S481</f>
        <v>0</v>
      </c>
    </row>
    <row r="485" customFormat="false" ht="15" hidden="false" customHeight="true" outlineLevel="0" collapsed="false">
      <c r="A485" s="12" t="n">
        <f aca="false">'Raw Data'!A482</f>
        <v>42118</v>
      </c>
      <c r="B485" s="32" t="n">
        <f aca="false">'Raw Data'!E482</f>
        <v>38.6400144487988</v>
      </c>
      <c r="C485" s="32" t="n">
        <f aca="false">'Raw Data'!F482</f>
        <v>40.7546779174436</v>
      </c>
      <c r="D485" s="15" t="n">
        <f aca="false">'Raw Data'!H482</f>
        <v>-0.0547272949767357</v>
      </c>
      <c r="E485" s="15" t="n">
        <f aca="false">'Raw Data'!I482</f>
        <v>-0.0547272949767357</v>
      </c>
      <c r="F485" s="17" t="b">
        <f aca="false">'Raw Data'!S482</f>
        <v>1</v>
      </c>
    </row>
    <row r="486" customFormat="false" ht="15" hidden="false" customHeight="true" outlineLevel="0" collapsed="false">
      <c r="A486" s="12" t="n">
        <f aca="false">'Raw Data'!A483</f>
        <v>42119</v>
      </c>
      <c r="B486" s="32" t="n">
        <f aca="false">'Raw Data'!E483</f>
        <v>37.8029758843353</v>
      </c>
      <c r="C486" s="32" t="n">
        <f aca="false">'Raw Data'!F483</f>
        <v>40.7262636845852</v>
      </c>
      <c r="D486" s="15" t="n">
        <f aca="false">'Raw Data'!H483</f>
        <v>-0.0773295681587149</v>
      </c>
      <c r="E486" s="15" t="n">
        <f aca="false">'Raw Data'!I483</f>
        <v>-0.0773295681587149</v>
      </c>
      <c r="F486" s="17" t="b">
        <f aca="false">'Raw Data'!S483</f>
        <v>1</v>
      </c>
    </row>
    <row r="487" customFormat="false" ht="15" hidden="false" customHeight="true" outlineLevel="0" collapsed="false">
      <c r="A487" s="12" t="n">
        <f aca="false">'Raw Data'!A484</f>
        <v>42120</v>
      </c>
      <c r="B487" s="32" t="n">
        <f aca="false">'Raw Data'!E484</f>
        <v>38.6889032364667</v>
      </c>
      <c r="C487" s="32" t="n">
        <f aca="false">'Raw Data'!F484</f>
        <v>40.7346530386168</v>
      </c>
      <c r="D487" s="15" t="n">
        <f aca="false">'Raw Data'!H484</f>
        <v>-0.0528769138180643</v>
      </c>
      <c r="E487" s="15" t="n">
        <f aca="false">'Raw Data'!I484</f>
        <v>-0.0528769138180642</v>
      </c>
      <c r="F487" s="17" t="b">
        <f aca="false">'Raw Data'!S484</f>
        <v>1</v>
      </c>
    </row>
    <row r="488" customFormat="false" ht="15" hidden="false" customHeight="true" outlineLevel="0" collapsed="false">
      <c r="A488" s="12" t="n">
        <f aca="false">'Raw Data'!A485</f>
        <v>42121</v>
      </c>
      <c r="B488" s="32" t="n">
        <f aca="false">'Raw Data'!E485</f>
        <v>38.6972600357432</v>
      </c>
      <c r="C488" s="32" t="n">
        <f aca="false">'Raw Data'!F485</f>
        <v>40.6967488900373</v>
      </c>
      <c r="D488" s="15" t="n">
        <f aca="false">'Raw Data'!H485</f>
        <v>-0.0516700369082284</v>
      </c>
      <c r="E488" s="15" t="n">
        <f aca="false">'Raw Data'!I485</f>
        <v>-0.0516700369082285</v>
      </c>
      <c r="F488" s="17" t="b">
        <f aca="false">'Raw Data'!S485</f>
        <v>1</v>
      </c>
    </row>
    <row r="489" customFormat="false" ht="15" hidden="false" customHeight="true" outlineLevel="0" collapsed="false">
      <c r="A489" s="12" t="n">
        <f aca="false">'Raw Data'!A486</f>
        <v>42122</v>
      </c>
      <c r="B489" s="32" t="n">
        <f aca="false">'Raw Data'!E486</f>
        <v>38.6062761713599</v>
      </c>
      <c r="C489" s="32" t="n">
        <f aca="false">'Raw Data'!F486</f>
        <v>40.6815309653768</v>
      </c>
      <c r="D489" s="15" t="n">
        <f aca="false">'Raw Data'!H486</f>
        <v>-0.0537543373726484</v>
      </c>
      <c r="E489" s="15" t="n">
        <f aca="false">'Raw Data'!I486</f>
        <v>-0.0537543373726483</v>
      </c>
      <c r="F489" s="17" t="b">
        <f aca="false">'Raw Data'!S486</f>
        <v>1</v>
      </c>
    </row>
    <row r="490" customFormat="false" ht="15" hidden="false" customHeight="true" outlineLevel="0" collapsed="false">
      <c r="A490" s="12" t="n">
        <f aca="false">'Raw Data'!A487</f>
        <v>42123</v>
      </c>
      <c r="B490" s="32" t="n">
        <f aca="false">'Raw Data'!E487</f>
        <v>38.6379416742937</v>
      </c>
      <c r="C490" s="32" t="n">
        <f aca="false">'Raw Data'!F487</f>
        <v>40.6764807395675</v>
      </c>
      <c r="D490" s="15" t="n">
        <f aca="false">'Raw Data'!H487</f>
        <v>-0.0527600326761229</v>
      </c>
      <c r="E490" s="15" t="n">
        <f aca="false">'Raw Data'!I487</f>
        <v>-0.0527600326761228</v>
      </c>
      <c r="F490" s="17" t="b">
        <f aca="false">'Raw Data'!S487</f>
        <v>0</v>
      </c>
    </row>
    <row r="491" customFormat="false" ht="15" hidden="false" customHeight="true" outlineLevel="0" collapsed="false">
      <c r="A491" s="12" t="n">
        <f aca="false">'Raw Data'!A488</f>
        <v>42124</v>
      </c>
      <c r="B491" s="32" t="n">
        <f aca="false">'Raw Data'!E488</f>
        <v>38.6023304652221</v>
      </c>
      <c r="C491" s="32" t="n">
        <f aca="false">'Raw Data'!F488</f>
        <v>40.6821557774301</v>
      </c>
      <c r="D491" s="15" t="n">
        <f aca="false">'Raw Data'!H488</f>
        <v>-0.0538782318876236</v>
      </c>
      <c r="E491" s="15" t="n">
        <f aca="false">'Raw Data'!I488</f>
        <v>-0.0538782318876236</v>
      </c>
      <c r="F491" s="17" t="b">
        <f aca="false">'Raw Data'!S488</f>
        <v>0</v>
      </c>
    </row>
    <row r="492" customFormat="false" ht="15" hidden="false" customHeight="true" outlineLevel="0" collapsed="false">
      <c r="A492" s="12" t="n">
        <f aca="false">'Raw Data'!A489</f>
        <v>42125</v>
      </c>
      <c r="B492" s="32" t="n">
        <f aca="false">'Raw Data'!E489</f>
        <v>38.6259113177731</v>
      </c>
      <c r="C492" s="32" t="n">
        <f aca="false">'Raw Data'!F489</f>
        <v>40.674571938797</v>
      </c>
      <c r="D492" s="15" t="n">
        <f aca="false">'Raw Data'!H489</f>
        <v>-0.0530385057887619</v>
      </c>
      <c r="E492" s="15" t="n">
        <f aca="false">'Raw Data'!I489</f>
        <v>-0.0530385057887618</v>
      </c>
      <c r="F492" s="17" t="b">
        <f aca="false">'Raw Data'!S489</f>
        <v>0</v>
      </c>
    </row>
    <row r="493" customFormat="false" ht="15" hidden="false" customHeight="true" outlineLevel="0" collapsed="false">
      <c r="A493" s="12" t="n">
        <f aca="false">'Raw Data'!A490</f>
        <v>42126</v>
      </c>
      <c r="B493" s="32" t="n">
        <f aca="false">'Raw Data'!E490</f>
        <v>37.7889010297956</v>
      </c>
      <c r="C493" s="32" t="n">
        <f aca="false">'Raw Data'!F490</f>
        <v>40.6689696319126</v>
      </c>
      <c r="D493" s="15" t="n">
        <f aca="false">'Raw Data'!H490</f>
        <v>-0.0762146694831406</v>
      </c>
      <c r="E493" s="15" t="n">
        <f aca="false">'Raw Data'!I490</f>
        <v>-0.0762146694831405</v>
      </c>
      <c r="F493" s="17" t="b">
        <f aca="false">'Raw Data'!S490</f>
        <v>0</v>
      </c>
    </row>
    <row r="494" customFormat="false" ht="15" hidden="false" customHeight="true" outlineLevel="0" collapsed="false">
      <c r="A494" s="12" t="n">
        <f aca="false">'Raw Data'!A491</f>
        <v>42127</v>
      </c>
      <c r="B494" s="32" t="n">
        <f aca="false">'Raw Data'!E491</f>
        <v>38.6165166971454</v>
      </c>
      <c r="C494" s="32" t="n">
        <f aca="false">'Raw Data'!F491</f>
        <v>40.6606228790961</v>
      </c>
      <c r="D494" s="15" t="n">
        <f aca="false">'Raw Data'!H491</f>
        <v>-0.0529334688051192</v>
      </c>
      <c r="E494" s="15" t="n">
        <f aca="false">'Raw Data'!I491</f>
        <v>-0.0529334688051192</v>
      </c>
      <c r="F494" s="17" t="b">
        <f aca="false">'Raw Data'!S491</f>
        <v>0</v>
      </c>
    </row>
    <row r="495" customFormat="false" ht="15" hidden="false" customHeight="true" outlineLevel="0" collapsed="false">
      <c r="A495" s="12" t="n">
        <f aca="false">'Raw Data'!A492</f>
        <v>42128</v>
      </c>
      <c r="B495" s="32" t="n">
        <f aca="false">'Raw Data'!E492</f>
        <v>38.6706838586969</v>
      </c>
      <c r="C495" s="32" t="n">
        <f aca="false">'Raw Data'!F492</f>
        <v>40.654666469321</v>
      </c>
      <c r="D495" s="15" t="n">
        <f aca="false">'Raw Data'!H492</f>
        <v>-0.05130456492245</v>
      </c>
      <c r="E495" s="15" t="n">
        <f aca="false">'Raw Data'!I492</f>
        <v>-0.0513045649224499</v>
      </c>
      <c r="F495" s="17" t="b">
        <f aca="false">'Raw Data'!S492</f>
        <v>0</v>
      </c>
    </row>
    <row r="496" customFormat="false" ht="15" hidden="false" customHeight="true" outlineLevel="0" collapsed="false">
      <c r="A496" s="12" t="n">
        <f aca="false">'Raw Data'!A493</f>
        <v>42129</v>
      </c>
      <c r="B496" s="32" t="n">
        <f aca="false">'Raw Data'!E493</f>
        <v>38.7535128656033</v>
      </c>
      <c r="C496" s="32" t="n">
        <f aca="false">'Raw Data'!F493</f>
        <v>40.655946761622</v>
      </c>
      <c r="D496" s="15" t="n">
        <f aca="false">'Raw Data'!H493</f>
        <v>-0.0490906179942007</v>
      </c>
      <c r="E496" s="15" t="n">
        <f aca="false">'Raw Data'!I493</f>
        <v>-0.0490906179942006</v>
      </c>
      <c r="F496" s="17" t="b">
        <f aca="false">'Raw Data'!S493</f>
        <v>0</v>
      </c>
    </row>
    <row r="497" customFormat="false" ht="15" hidden="false" customHeight="true" outlineLevel="0" collapsed="false">
      <c r="A497" s="12" t="n">
        <f aca="false">'Raw Data'!A494</f>
        <v>42130</v>
      </c>
      <c r="B497" s="32" t="n">
        <f aca="false">'Raw Data'!E494</f>
        <v>37.7570389444799</v>
      </c>
      <c r="C497" s="32" t="n">
        <f aca="false">'Raw Data'!F494</f>
        <v>40.6544486557587</v>
      </c>
      <c r="D497" s="15" t="n">
        <f aca="false">'Raw Data'!H494</f>
        <v>-0.0767382663545038</v>
      </c>
      <c r="E497" s="15" t="n">
        <f aca="false">'Raw Data'!I494</f>
        <v>-0.0767382663545038</v>
      </c>
      <c r="F497" s="17" t="b">
        <f aca="false">'Raw Data'!S494</f>
        <v>0</v>
      </c>
    </row>
    <row r="498" customFormat="false" ht="15" hidden="false" customHeight="true" outlineLevel="0" collapsed="false">
      <c r="A498" s="12" t="n">
        <f aca="false">'Raw Data'!A495</f>
        <v>42131</v>
      </c>
      <c r="B498" s="32" t="n">
        <f aca="false">'Raw Data'!E495</f>
        <v>41.1509732197696</v>
      </c>
      <c r="C498" s="32" t="n">
        <f aca="false">'Raw Data'!F495</f>
        <v>40.649257839846</v>
      </c>
      <c r="D498" s="15" t="n">
        <f aca="false">'Raw Data'!H495</f>
        <v>0.0121920659626711</v>
      </c>
      <c r="E498" s="15" t="n">
        <f aca="false">'Raw Data'!I495</f>
        <v>0.0121920659626712</v>
      </c>
      <c r="F498" s="17" t="b">
        <f aca="false">'Raw Data'!S495</f>
        <v>0</v>
      </c>
    </row>
    <row r="499" customFormat="false" ht="15" hidden="false" customHeight="true" outlineLevel="0" collapsed="false">
      <c r="A499" s="12" t="n">
        <f aca="false">'Raw Data'!A496</f>
        <v>42132</v>
      </c>
      <c r="B499" s="32" t="n">
        <f aca="false">'Raw Data'!E496</f>
        <v>37.790260609609</v>
      </c>
      <c r="C499" s="32" t="n">
        <f aca="false">'Raw Data'!F496</f>
        <v>40.6452951228255</v>
      </c>
      <c r="D499" s="15" t="n">
        <f aca="false">'Raw Data'!H496</f>
        <v>-0.0755494793409958</v>
      </c>
      <c r="E499" s="15" t="n">
        <f aca="false">'Raw Data'!I496</f>
        <v>-0.0755494793409958</v>
      </c>
      <c r="F499" s="17" t="b">
        <f aca="false">'Raw Data'!S496</f>
        <v>0</v>
      </c>
    </row>
    <row r="500" customFormat="false" ht="15" hidden="false" customHeight="true" outlineLevel="0" collapsed="false">
      <c r="A500" s="12" t="n">
        <f aca="false">'Raw Data'!A497</f>
        <v>42133</v>
      </c>
      <c r="B500" s="32" t="n">
        <f aca="false">'Raw Data'!E497</f>
        <v>37.7550701670743</v>
      </c>
      <c r="C500" s="32" t="n">
        <f aca="false">'Raw Data'!F497</f>
        <v>40.645477444305</v>
      </c>
      <c r="D500" s="15" t="n">
        <f aca="false">'Raw Data'!H497</f>
        <v>-0.0765567979198578</v>
      </c>
      <c r="E500" s="15" t="n">
        <f aca="false">'Raw Data'!I497</f>
        <v>-0.0765567979198578</v>
      </c>
      <c r="F500" s="17" t="b">
        <f aca="false">'Raw Data'!S497</f>
        <v>0</v>
      </c>
    </row>
    <row r="501" customFormat="false" ht="15" hidden="false" customHeight="true" outlineLevel="0" collapsed="false">
      <c r="A501" s="12" t="n">
        <f aca="false">'Raw Data'!A498</f>
        <v>42134</v>
      </c>
      <c r="B501" s="32" t="n">
        <f aca="false">'Raw Data'!E498</f>
        <v>37.763265365889</v>
      </c>
      <c r="C501" s="32" t="n">
        <f aca="false">'Raw Data'!F498</f>
        <v>40.6446829554195</v>
      </c>
      <c r="D501" s="15" t="n">
        <f aca="false">'Raw Data'!H498</f>
        <v>-0.0763021301683636</v>
      </c>
      <c r="E501" s="15" t="n">
        <f aca="false">'Raw Data'!I498</f>
        <v>-0.0763021301683636</v>
      </c>
      <c r="F501" s="17" t="b">
        <f aca="false">'Raw Data'!S498</f>
        <v>0</v>
      </c>
    </row>
    <row r="502" customFormat="false" ht="15" hidden="false" customHeight="true" outlineLevel="0" collapsed="false">
      <c r="A502" s="12" t="n">
        <f aca="false">'Raw Data'!A499</f>
        <v>42135</v>
      </c>
      <c r="B502" s="32" t="n">
        <f aca="false">'Raw Data'!E499</f>
        <v>37.748318937384</v>
      </c>
      <c r="C502" s="32" t="n">
        <f aca="false">'Raw Data'!F499</f>
        <v>40.6460773113811</v>
      </c>
      <c r="D502" s="15" t="n">
        <f aca="false">'Raw Data'!H499</f>
        <v>-0.0767652296994669</v>
      </c>
      <c r="E502" s="15" t="n">
        <f aca="false">'Raw Data'!I499</f>
        <v>-0.0767652296994669</v>
      </c>
      <c r="F502" s="17" t="b">
        <f aca="false">'Raw Data'!S499</f>
        <v>0</v>
      </c>
    </row>
    <row r="503" customFormat="false" ht="15" hidden="false" customHeight="true" outlineLevel="0" collapsed="false">
      <c r="A503" s="12" t="n">
        <f aca="false">'Raw Data'!A500</f>
        <v>42136</v>
      </c>
      <c r="B503" s="32" t="n">
        <f aca="false">'Raw Data'!E500</f>
        <v>37.7456331677829</v>
      </c>
      <c r="C503" s="32" t="n">
        <f aca="false">'Raw Data'!F500</f>
        <v>40.64852939538</v>
      </c>
      <c r="D503" s="15" t="n">
        <f aca="false">'Raw Data'!H500</f>
        <v>-0.0769068097147414</v>
      </c>
      <c r="E503" s="15" t="n">
        <f aca="false">'Raw Data'!I500</f>
        <v>-0.0769068097147414</v>
      </c>
      <c r="F503" s="17" t="b">
        <f aca="false">'Raw Data'!S500</f>
        <v>0</v>
      </c>
    </row>
    <row r="504" customFormat="false" ht="15" hidden="false" customHeight="true" outlineLevel="0" collapsed="false">
      <c r="A504" s="12" t="n">
        <f aca="false">'Raw Data'!A501</f>
        <v>42137</v>
      </c>
      <c r="B504" s="32" t="n">
        <f aca="false">'Raw Data'!E501</f>
        <v>37.7331353732024</v>
      </c>
      <c r="C504" s="32" t="n">
        <f aca="false">'Raw Data'!F501</f>
        <v>40.639812311483</v>
      </c>
      <c r="D504" s="15" t="n">
        <f aca="false">'Raw Data'!H501</f>
        <v>-0.0770324784710267</v>
      </c>
      <c r="E504" s="15" t="n">
        <f aca="false">'Raw Data'!I501</f>
        <v>-0.0770324784710266</v>
      </c>
      <c r="F504" s="17" t="b">
        <f aca="false">'Raw Data'!S501</f>
        <v>0</v>
      </c>
    </row>
    <row r="505" customFormat="false" ht="15" hidden="false" customHeight="true" outlineLevel="0" collapsed="false">
      <c r="A505" s="12" t="n">
        <f aca="false">'Raw Data'!A502</f>
        <v>42138</v>
      </c>
      <c r="B505" s="32" t="n">
        <f aca="false">'Raw Data'!E502</f>
        <v>37.7476218322454</v>
      </c>
      <c r="C505" s="32" t="n">
        <f aca="false">'Raw Data'!F502</f>
        <v>40.6427649647958</v>
      </c>
      <c r="D505" s="15" t="n">
        <f aca="false">'Raw Data'!H502</f>
        <v>-0.0766973650794922</v>
      </c>
      <c r="E505" s="15" t="n">
        <f aca="false">'Raw Data'!I502</f>
        <v>-0.0766973650794922</v>
      </c>
      <c r="F505" s="17" t="b">
        <f aca="false">'Raw Data'!S502</f>
        <v>0</v>
      </c>
    </row>
    <row r="506" customFormat="false" ht="15" hidden="false" customHeight="true" outlineLevel="0" collapsed="false">
      <c r="A506" s="12" t="n">
        <f aca="false">'Raw Data'!A503</f>
        <v>42139</v>
      </c>
      <c r="B506" s="32" t="n">
        <f aca="false">'Raw Data'!E503</f>
        <v>37.7422230844335</v>
      </c>
      <c r="C506" s="32" t="n">
        <f aca="false">'Raw Data'!F503</f>
        <v>40.6398683720437</v>
      </c>
      <c r="D506" s="15" t="n">
        <f aca="false">'Raw Data'!H503</f>
        <v>-0.076774631985187</v>
      </c>
      <c r="E506" s="15" t="n">
        <f aca="false">'Raw Data'!I503</f>
        <v>-0.076774631985187</v>
      </c>
      <c r="F506" s="17" t="b">
        <f aca="false">'Raw Data'!S503</f>
        <v>0</v>
      </c>
    </row>
    <row r="507" customFormat="false" ht="15" hidden="false" customHeight="true" outlineLevel="0" collapsed="false">
      <c r="A507" s="12" t="n">
        <f aca="false">'Raw Data'!A504</f>
        <v>42140</v>
      </c>
      <c r="B507" s="32" t="n">
        <f aca="false">'Raw Data'!E504</f>
        <v>37.7325956705893</v>
      </c>
      <c r="C507" s="32" t="n">
        <f aca="false">'Raw Data'!F504</f>
        <v>40.6393395756481</v>
      </c>
      <c r="D507" s="15" t="n">
        <f aca="false">'Raw Data'!H504</f>
        <v>-0.0770353550663465</v>
      </c>
      <c r="E507" s="15" t="n">
        <f aca="false">'Raw Data'!I504</f>
        <v>-0.0770353550663466</v>
      </c>
      <c r="F507" s="17" t="b">
        <f aca="false">'Raw Data'!S504</f>
        <v>0</v>
      </c>
    </row>
    <row r="508" customFormat="false" ht="15" hidden="false" customHeight="true" outlineLevel="0" collapsed="false">
      <c r="A508" s="12" t="n">
        <f aca="false">'Raw Data'!A505</f>
        <v>42141</v>
      </c>
      <c r="B508" s="32" t="n">
        <f aca="false">'Raw Data'!E505</f>
        <v>37.7336896838379</v>
      </c>
      <c r="C508" s="32" t="n">
        <f aca="false">'Raw Data'!F505</f>
        <v>40.6414436515949</v>
      </c>
      <c r="D508" s="15" t="n">
        <f aca="false">'Raw Data'!H505</f>
        <v>-0.0770598897727826</v>
      </c>
      <c r="E508" s="15" t="n">
        <f aca="false">'Raw Data'!I505</f>
        <v>-0.0770598897727825</v>
      </c>
      <c r="F508" s="17" t="b">
        <f aca="false">'Raw Data'!S505</f>
        <v>0</v>
      </c>
    </row>
    <row r="509" customFormat="false" ht="15" hidden="false" customHeight="true" outlineLevel="0" collapsed="false">
      <c r="A509" s="12" t="n">
        <f aca="false">'Raw Data'!A506</f>
        <v>42142</v>
      </c>
      <c r="B509" s="32" t="n">
        <f aca="false">'Raw Data'!E506</f>
        <v>37.7369382395481</v>
      </c>
      <c r="C509" s="32" t="n">
        <f aca="false">'Raw Data'!F506</f>
        <v>40.6360780250423</v>
      </c>
      <c r="D509" s="15" t="n">
        <f aca="false">'Raw Data'!H506</f>
        <v>-0.0768249868892611</v>
      </c>
      <c r="E509" s="15" t="n">
        <f aca="false">'Raw Data'!I506</f>
        <v>-0.076824986889261</v>
      </c>
      <c r="F509" s="17" t="b">
        <f aca="false">'Raw Data'!S506</f>
        <v>0</v>
      </c>
    </row>
    <row r="510" customFormat="false" ht="15" hidden="false" customHeight="true" outlineLevel="0" collapsed="false">
      <c r="A510" s="12" t="n">
        <f aca="false">'Raw Data'!A507</f>
        <v>42143</v>
      </c>
      <c r="B510" s="32" t="n">
        <f aca="false">'Raw Data'!E507</f>
        <v>37.9166773402433</v>
      </c>
      <c r="C510" s="32" t="n">
        <f aca="false">'Raw Data'!F507</f>
        <v>40.6393766254526</v>
      </c>
      <c r="D510" s="15" t="n">
        <f aca="false">'Raw Data'!H507</f>
        <v>-0.0718074334619905</v>
      </c>
      <c r="E510" s="15" t="n">
        <f aca="false">'Raw Data'!I507</f>
        <v>-0.0718074334619904</v>
      </c>
      <c r="F510" s="17" t="b">
        <f aca="false">'Raw Data'!S507</f>
        <v>0</v>
      </c>
    </row>
    <row r="511" customFormat="false" ht="15" hidden="false" customHeight="true" outlineLevel="0" collapsed="false">
      <c r="A511" s="12" t="n">
        <f aca="false">'Raw Data'!A508</f>
        <v>42144</v>
      </c>
      <c r="B511" s="32" t="n">
        <f aca="false">'Raw Data'!E508</f>
        <v>37.8189084687284</v>
      </c>
      <c r="C511" s="32" t="n">
        <f aca="false">'Raw Data'!F508</f>
        <v>40.6390943288069</v>
      </c>
      <c r="D511" s="15" t="n">
        <f aca="false">'Raw Data'!H508</f>
        <v>-0.0745707894348775</v>
      </c>
      <c r="E511" s="15" t="n">
        <f aca="false">'Raw Data'!I508</f>
        <v>-0.0745707894348775</v>
      </c>
      <c r="F511" s="17" t="b">
        <f aca="false">'Raw Data'!S508</f>
        <v>0</v>
      </c>
    </row>
    <row r="512" customFormat="false" ht="15" hidden="false" customHeight="true" outlineLevel="0" collapsed="false">
      <c r="A512" s="12" t="n">
        <f aca="false">'Raw Data'!A509</f>
        <v>42145</v>
      </c>
      <c r="B512" s="32" t="n">
        <f aca="false">'Raw Data'!E509</f>
        <v>42.0498894496219</v>
      </c>
      <c r="C512" s="32" t="n">
        <f aca="false">'Raw Data'!F509</f>
        <v>40.6378068535438</v>
      </c>
      <c r="D512" s="15" t="n">
        <f aca="false">'Raw Data'!H509</f>
        <v>0.0335811250531303</v>
      </c>
      <c r="E512" s="15" t="n">
        <f aca="false">'Raw Data'!I509</f>
        <v>0.0335811250531304</v>
      </c>
      <c r="F512" s="17" t="b">
        <f aca="false">'Raw Data'!S509</f>
        <v>0</v>
      </c>
    </row>
    <row r="513" customFormat="false" ht="15" hidden="false" customHeight="true" outlineLevel="0" collapsed="false">
      <c r="A513" s="12" t="n">
        <f aca="false">'Raw Data'!A510</f>
        <v>42146</v>
      </c>
      <c r="B513" s="32" t="n">
        <f aca="false">'Raw Data'!E510</f>
        <v>37.7458386449403</v>
      </c>
      <c r="C513" s="32" t="n">
        <f aca="false">'Raw Data'!F510</f>
        <v>40.6389303699469</v>
      </c>
      <c r="D513" s="15" t="n">
        <f aca="false">'Raw Data'!H510</f>
        <v>-0.0766466405004471</v>
      </c>
      <c r="E513" s="15" t="n">
        <f aca="false">'Raw Data'!I510</f>
        <v>-0.0766466405004472</v>
      </c>
      <c r="F513" s="17" t="b">
        <f aca="false">'Raw Data'!S510</f>
        <v>0</v>
      </c>
    </row>
    <row r="514" customFormat="false" ht="15" hidden="false" customHeight="true" outlineLevel="0" collapsed="false">
      <c r="A514" s="12" t="n">
        <f aca="false">'Raw Data'!A511</f>
        <v>42147</v>
      </c>
      <c r="B514" s="32" t="n">
        <f aca="false">'Raw Data'!E511</f>
        <v>37.7357075207219</v>
      </c>
      <c r="C514" s="32" t="n">
        <f aca="false">'Raw Data'!F511</f>
        <v>40.6395349012522</v>
      </c>
      <c r="D514" s="15" t="n">
        <f aca="false">'Raw Data'!H511</f>
        <v>-0.076951714206915</v>
      </c>
      <c r="E514" s="15" t="n">
        <f aca="false">'Raw Data'!I511</f>
        <v>-0.076951714206915</v>
      </c>
      <c r="F514" s="17" t="b">
        <f aca="false">'Raw Data'!S511</f>
        <v>0</v>
      </c>
    </row>
    <row r="515" customFormat="false" ht="15" hidden="false" customHeight="true" outlineLevel="0" collapsed="false">
      <c r="A515" s="12" t="n">
        <f aca="false">'Raw Data'!A512</f>
        <v>42148</v>
      </c>
      <c r="B515" s="32" t="n">
        <f aca="false">'Raw Data'!E512</f>
        <v>37.7681590437428</v>
      </c>
      <c r="C515" s="32" t="n">
        <f aca="false">'Raw Data'!F512</f>
        <v>40.6369216844784</v>
      </c>
      <c r="D515" s="15" t="n">
        <f aca="false">'Raw Data'!H512</f>
        <v>-0.0759571743333569</v>
      </c>
      <c r="E515" s="15" t="n">
        <f aca="false">'Raw Data'!I512</f>
        <v>-0.0759571743333568</v>
      </c>
      <c r="F515" s="17" t="b">
        <f aca="false">'Raw Data'!S512</f>
        <v>0</v>
      </c>
    </row>
    <row r="516" customFormat="false" ht="15" hidden="false" customHeight="true" outlineLevel="0" collapsed="false">
      <c r="A516" s="12" t="n">
        <f aca="false">'Raw Data'!A513</f>
        <v>42149</v>
      </c>
      <c r="B516" s="32" t="n">
        <f aca="false">'Raw Data'!E513</f>
        <v>37.7387063923583</v>
      </c>
      <c r="C516" s="32" t="n">
        <f aca="false">'Raw Data'!F513</f>
        <v>40.6436780649738</v>
      </c>
      <c r="D516" s="15" t="n">
        <f aca="false">'Raw Data'!H513</f>
        <v>-0.0769759207539702</v>
      </c>
      <c r="E516" s="15" t="n">
        <f aca="false">'Raw Data'!I513</f>
        <v>-0.0769759207539702</v>
      </c>
      <c r="F516" s="17" t="b">
        <f aca="false">'Raw Data'!S513</f>
        <v>0</v>
      </c>
    </row>
    <row r="517" customFormat="false" ht="15" hidden="false" customHeight="true" outlineLevel="0" collapsed="false">
      <c r="A517" s="12" t="n">
        <f aca="false">'Raw Data'!A514</f>
        <v>42150</v>
      </c>
      <c r="B517" s="32" t="n">
        <f aca="false">'Raw Data'!E514</f>
        <v>37.7410396393849</v>
      </c>
      <c r="C517" s="32" t="n">
        <f aca="false">'Raw Data'!F514</f>
        <v>40.6435269390916</v>
      </c>
      <c r="D517" s="15" t="n">
        <f aca="false">'Raw Data'!H514</f>
        <v>-0.0769053350792649</v>
      </c>
      <c r="E517" s="15" t="n">
        <f aca="false">'Raw Data'!I514</f>
        <v>-0.0769053350792649</v>
      </c>
      <c r="F517" s="17" t="b">
        <f aca="false">'Raw Data'!S514</f>
        <v>0</v>
      </c>
    </row>
    <row r="518" customFormat="false" ht="15" hidden="false" customHeight="true" outlineLevel="0" collapsed="false">
      <c r="A518" s="12" t="n">
        <f aca="false">'Raw Data'!A515</f>
        <v>42151</v>
      </c>
      <c r="B518" s="32" t="n">
        <f aca="false">'Raw Data'!E515</f>
        <v>37.7427900726105</v>
      </c>
      <c r="C518" s="32" t="n">
        <f aca="false">'Raw Data'!F515</f>
        <v>40.6401797736568</v>
      </c>
      <c r="D518" s="15" t="n">
        <f aca="false">'Raw Data'!H515</f>
        <v>-0.0767667068457921</v>
      </c>
      <c r="E518" s="15" t="n">
        <f aca="false">'Raw Data'!I515</f>
        <v>-0.076766706845792</v>
      </c>
      <c r="F518" s="17" t="b">
        <f aca="false">'Raw Data'!S515</f>
        <v>0</v>
      </c>
    </row>
    <row r="519" customFormat="false" ht="15" hidden="false" customHeight="true" outlineLevel="0" collapsed="false">
      <c r="A519" s="12" t="n">
        <f aca="false">'Raw Data'!A516</f>
        <v>42152</v>
      </c>
      <c r="B519" s="32" t="n">
        <f aca="false">'Raw Data'!E516</f>
        <v>37.7376105580324</v>
      </c>
      <c r="C519" s="32" t="n">
        <f aca="false">'Raw Data'!F516</f>
        <v>40.6383738318557</v>
      </c>
      <c r="D519" s="15" t="n">
        <f aca="false">'Raw Data'!H516</f>
        <v>-0.0768666386379335</v>
      </c>
      <c r="E519" s="15" t="n">
        <f aca="false">'Raw Data'!I516</f>
        <v>-0.0768666386379335</v>
      </c>
      <c r="F519" s="17" t="b">
        <f aca="false">'Raw Data'!S516</f>
        <v>0</v>
      </c>
    </row>
    <row r="520" customFormat="false" ht="15" hidden="false" customHeight="true" outlineLevel="0" collapsed="false">
      <c r="A520" s="12" t="n">
        <f aca="false">'Raw Data'!A517</f>
        <v>42153</v>
      </c>
      <c r="B520" s="32" t="n">
        <f aca="false">'Raw Data'!E517</f>
        <v>37.7517192060245</v>
      </c>
      <c r="C520" s="32" t="n">
        <f aca="false">'Raw Data'!F517</f>
        <v>40.6384542235342</v>
      </c>
      <c r="D520" s="15" t="n">
        <f aca="false">'Raw Data'!H517</f>
        <v>-0.0764663193682836</v>
      </c>
      <c r="E520" s="15" t="n">
        <f aca="false">'Raw Data'!I517</f>
        <v>-0.0764663193682838</v>
      </c>
      <c r="F520" s="17" t="b">
        <f aca="false">'Raw Data'!S517</f>
        <v>0</v>
      </c>
    </row>
    <row r="521" customFormat="false" ht="15" hidden="false" customHeight="true" outlineLevel="0" collapsed="false">
      <c r="A521" s="12" t="n">
        <f aca="false">'Raw Data'!A518</f>
        <v>42154</v>
      </c>
      <c r="B521" s="32" t="n">
        <f aca="false">'Raw Data'!E518</f>
        <v>37.7295656245319</v>
      </c>
      <c r="C521" s="32" t="n">
        <f aca="false">'Raw Data'!F518</f>
        <v>40.6390453299332</v>
      </c>
      <c r="D521" s="15" t="n">
        <f aca="false">'Raw Data'!H518</f>
        <v>-0.0771140525272727</v>
      </c>
      <c r="E521" s="15" t="n">
        <f aca="false">'Raw Data'!I518</f>
        <v>-0.0771140525272726</v>
      </c>
      <c r="F521" s="17" t="b">
        <f aca="false">'Raw Data'!S518</f>
        <v>0</v>
      </c>
    </row>
    <row r="522" customFormat="false" ht="15" hidden="false" customHeight="true" outlineLevel="0" collapsed="false">
      <c r="A522" s="12" t="n">
        <f aca="false">'Raw Data'!A519</f>
        <v>42155</v>
      </c>
      <c r="B522" s="32" t="n">
        <f aca="false">'Raw Data'!E519</f>
        <v>37.7567934483822</v>
      </c>
      <c r="C522" s="32" t="n">
        <f aca="false">'Raw Data'!F519</f>
        <v>40.6375602305962</v>
      </c>
      <c r="D522" s="15" t="n">
        <f aca="false">'Raw Data'!H519</f>
        <v>-0.0762979723411196</v>
      </c>
      <c r="E522" s="15" t="n">
        <f aca="false">'Raw Data'!I519</f>
        <v>-0.0762979723411197</v>
      </c>
      <c r="F522" s="17" t="b">
        <f aca="false">'Raw Data'!S519</f>
        <v>0</v>
      </c>
    </row>
    <row r="523" customFormat="false" ht="15" hidden="false" customHeight="true" outlineLevel="0" collapsed="false">
      <c r="A523" s="12" t="n">
        <f aca="false">'Raw Data'!A520</f>
        <v>42156</v>
      </c>
      <c r="B523" s="32" t="n">
        <f aca="false">'Raw Data'!E520</f>
        <v>37.7229636127627</v>
      </c>
      <c r="C523" s="32" t="n">
        <f aca="false">'Raw Data'!F520</f>
        <v>40.637177244286</v>
      </c>
      <c r="D523" s="15" t="n">
        <f aca="false">'Raw Data'!H520</f>
        <v>-0.0772530403877755</v>
      </c>
      <c r="E523" s="15" t="n">
        <f aca="false">'Raw Data'!I520</f>
        <v>-0.0772530403877755</v>
      </c>
      <c r="F523" s="17" t="b">
        <f aca="false">'Raw Data'!S520</f>
        <v>0</v>
      </c>
    </row>
    <row r="524" customFormat="false" ht="15" hidden="false" customHeight="true" outlineLevel="0" collapsed="false">
      <c r="A524" s="12" t="n">
        <f aca="false">'Raw Data'!A521</f>
        <v>42157</v>
      </c>
      <c r="B524" s="32" t="n">
        <f aca="false">'Raw Data'!E521</f>
        <v>37.7207376546488</v>
      </c>
      <c r="C524" s="32" t="n">
        <f aca="false">'Raw Data'!F521</f>
        <v>40.6373493260756</v>
      </c>
      <c r="D524" s="15" t="n">
        <f aca="false">'Raw Data'!H521</f>
        <v>-0.077321172722808</v>
      </c>
      <c r="E524" s="15" t="n">
        <f aca="false">'Raw Data'!I521</f>
        <v>-0.0773211727228081</v>
      </c>
      <c r="F524" s="17" t="b">
        <f aca="false">'Raw Data'!S521</f>
        <v>0</v>
      </c>
    </row>
    <row r="525" customFormat="false" ht="15" hidden="false" customHeight="true" outlineLevel="0" collapsed="false">
      <c r="A525" s="12" t="n">
        <f aca="false">'Raw Data'!A522</f>
        <v>42158</v>
      </c>
      <c r="B525" s="32" t="n">
        <f aca="false">'Raw Data'!E522</f>
        <v>37.7498361257419</v>
      </c>
      <c r="C525" s="32" t="n">
        <f aca="false">'Raw Data'!F522</f>
        <v>40.6396343425185</v>
      </c>
      <c r="D525" s="15" t="n">
        <f aca="false">'Raw Data'!H522</f>
        <v>-0.0765512784519365</v>
      </c>
      <c r="E525" s="15" t="n">
        <f aca="false">'Raw Data'!I522</f>
        <v>-0.0765512784519365</v>
      </c>
      <c r="F525" s="17" t="b">
        <f aca="false">'Raw Data'!S522</f>
        <v>0</v>
      </c>
    </row>
    <row r="526" customFormat="false" ht="15" hidden="false" customHeight="true" outlineLevel="0" collapsed="false">
      <c r="A526" s="12" t="n">
        <f aca="false">'Raw Data'!A523</f>
        <v>42159</v>
      </c>
      <c r="B526" s="32" t="n">
        <f aca="false">'Raw Data'!E523</f>
        <v>37.7668962222738</v>
      </c>
      <c r="C526" s="32" t="n">
        <f aca="false">'Raw Data'!F523</f>
        <v>40.6362186327377</v>
      </c>
      <c r="D526" s="15" t="n">
        <f aca="false">'Raw Data'!H523</f>
        <v>-0.0759745358362717</v>
      </c>
      <c r="E526" s="15" t="n">
        <f aca="false">'Raw Data'!I523</f>
        <v>-0.0759745358362717</v>
      </c>
      <c r="F526" s="17" t="b">
        <f aca="false">'Raw Data'!S523</f>
        <v>0</v>
      </c>
    </row>
    <row r="527" customFormat="false" ht="15" hidden="false" customHeight="true" outlineLevel="0" collapsed="false">
      <c r="A527" s="12" t="n">
        <f aca="false">'Raw Data'!A524</f>
        <v>42160</v>
      </c>
      <c r="B527" s="32" t="n">
        <f aca="false">'Raw Data'!E524</f>
        <v>37.7441908602168</v>
      </c>
      <c r="C527" s="32" t="n">
        <f aca="false">'Raw Data'!F524</f>
        <v>40.6350948162822</v>
      </c>
      <c r="D527" s="15" t="n">
        <f aca="false">'Raw Data'!H524</f>
        <v>-0.0765920235718288</v>
      </c>
      <c r="E527" s="15" t="n">
        <f aca="false">'Raw Data'!I524</f>
        <v>-0.0765920235718288</v>
      </c>
      <c r="F527" s="17" t="b">
        <f aca="false">'Raw Data'!S524</f>
        <v>0</v>
      </c>
    </row>
    <row r="528" customFormat="false" ht="15" hidden="false" customHeight="true" outlineLevel="0" collapsed="false">
      <c r="A528" s="12" t="n">
        <f aca="false">'Raw Data'!A525</f>
        <v>42161</v>
      </c>
      <c r="B528" s="32" t="n">
        <f aca="false">'Raw Data'!E525</f>
        <v>37.7539718876788</v>
      </c>
      <c r="C528" s="32" t="n">
        <f aca="false">'Raw Data'!F525</f>
        <v>40.6369229395821</v>
      </c>
      <c r="D528" s="15" t="n">
        <f aca="false">'Raw Data'!H525</f>
        <v>-0.0763615298671186</v>
      </c>
      <c r="E528" s="15" t="n">
        <f aca="false">'Raw Data'!I525</f>
        <v>-0.0763615298671188</v>
      </c>
      <c r="F528" s="17" t="b">
        <f aca="false">'Raw Data'!S525</f>
        <v>0</v>
      </c>
    </row>
    <row r="529" customFormat="false" ht="15" hidden="false" customHeight="true" outlineLevel="0" collapsed="false">
      <c r="A529" s="12" t="n">
        <f aca="false">'Raw Data'!A526</f>
        <v>42162</v>
      </c>
      <c r="B529" s="32" t="n">
        <f aca="false">'Raw Data'!E526</f>
        <v>37.7475651877239</v>
      </c>
      <c r="C529" s="32" t="n">
        <f aca="false">'Raw Data'!F526</f>
        <v>40.6365261551553</v>
      </c>
      <c r="D529" s="15" t="n">
        <f aca="false">'Raw Data'!H526</f>
        <v>-0.076533703645896</v>
      </c>
      <c r="E529" s="15" t="n">
        <f aca="false">'Raw Data'!I526</f>
        <v>-0.0765337036458958</v>
      </c>
      <c r="F529" s="17" t="b">
        <f aca="false">'Raw Data'!S526</f>
        <v>0</v>
      </c>
    </row>
    <row r="530" customFormat="false" ht="15" hidden="false" customHeight="true" outlineLevel="0" collapsed="false">
      <c r="A530" s="12" t="n">
        <f aca="false">'Raw Data'!A527</f>
        <v>42163</v>
      </c>
      <c r="B530" s="32" t="n">
        <f aca="false">'Raw Data'!E527</f>
        <v>42.0247017511359</v>
      </c>
      <c r="C530" s="32" t="n">
        <f aca="false">'Raw Data'!F527</f>
        <v>40.6299585232521</v>
      </c>
      <c r="D530" s="15" t="n">
        <f aca="false">'Raw Data'!H527</f>
        <v>0.0331886526201476</v>
      </c>
      <c r="E530" s="15" t="n">
        <f aca="false">'Raw Data'!I527</f>
        <v>0.0331886526201476</v>
      </c>
      <c r="F530" s="17" t="b">
        <f aca="false">'Raw Data'!S527</f>
        <v>0</v>
      </c>
    </row>
    <row r="531" customFormat="false" ht="15" hidden="false" customHeight="true" outlineLevel="0" collapsed="false">
      <c r="A531" s="12" t="n">
        <f aca="false">'Raw Data'!A528</f>
        <v>42164</v>
      </c>
      <c r="B531" s="32" t="n">
        <f aca="false">'Raw Data'!E528</f>
        <v>42.052961941885</v>
      </c>
      <c r="C531" s="32" t="n">
        <f aca="false">'Raw Data'!F528</f>
        <v>40.5534374724314</v>
      </c>
      <c r="D531" s="15" t="n">
        <f aca="false">'Raw Data'!H528</f>
        <v>0.0356579988711837</v>
      </c>
      <c r="E531" s="15" t="n">
        <f aca="false">'Raw Data'!I528</f>
        <v>0.0356579988711837</v>
      </c>
      <c r="F531" s="17" t="b">
        <f aca="false">'Raw Data'!S528</f>
        <v>0</v>
      </c>
    </row>
    <row r="532" customFormat="false" ht="15" hidden="false" customHeight="true" outlineLevel="0" collapsed="false">
      <c r="A532" s="12" t="n">
        <f aca="false">'Raw Data'!A529</f>
        <v>42165</v>
      </c>
      <c r="B532" s="32" t="n">
        <f aca="false">'Raw Data'!E529</f>
        <v>42.0304536021485</v>
      </c>
      <c r="C532" s="32" t="n">
        <f aca="false">'Raw Data'!F529</f>
        <v>40.5368329184866</v>
      </c>
      <c r="D532" s="15" t="n">
        <f aca="false">'Raw Data'!H529</f>
        <v>0.0355366301253892</v>
      </c>
      <c r="E532" s="15" t="n">
        <f aca="false">'Raw Data'!I529</f>
        <v>0.0355366301253892</v>
      </c>
      <c r="F532" s="17" t="b">
        <f aca="false">'Raw Data'!S529</f>
        <v>0</v>
      </c>
    </row>
    <row r="533" customFormat="false" ht="15" hidden="false" customHeight="true" outlineLevel="0" collapsed="false">
      <c r="A533" s="12" t="n">
        <f aca="false">'Raw Data'!A530</f>
        <v>42166</v>
      </c>
      <c r="B533" s="32" t="n">
        <f aca="false">'Raw Data'!E530</f>
        <v>42.0148274484317</v>
      </c>
      <c r="C533" s="32" t="n">
        <f aca="false">'Raw Data'!F530</f>
        <v>40.5232431155712</v>
      </c>
      <c r="D533" s="15" t="n">
        <f aca="false">'Raw Data'!H530</f>
        <v>0.0355013794758805</v>
      </c>
      <c r="E533" s="15" t="n">
        <f aca="false">'Raw Data'!I530</f>
        <v>0.0355013794758805</v>
      </c>
      <c r="F533" s="17" t="b">
        <f aca="false">'Raw Data'!S530</f>
        <v>0</v>
      </c>
    </row>
    <row r="534" customFormat="false" ht="15" hidden="false" customHeight="true" outlineLevel="0" collapsed="false">
      <c r="A534" s="12" t="n">
        <f aca="false">'Raw Data'!A531</f>
        <v>42167</v>
      </c>
      <c r="B534" s="32" t="n">
        <f aca="false">'Raw Data'!E531</f>
        <v>42.0479347501372</v>
      </c>
      <c r="C534" s="32" t="n">
        <f aca="false">'Raw Data'!F531</f>
        <v>40.4941039514652</v>
      </c>
      <c r="D534" s="15" t="n">
        <f aca="false">'Raw Data'!H531</f>
        <v>0.036953795897596</v>
      </c>
      <c r="E534" s="15" t="n">
        <f aca="false">'Raw Data'!I531</f>
        <v>0.0369537958975959</v>
      </c>
      <c r="F534" s="17" t="b">
        <f aca="false">'Raw Data'!S531</f>
        <v>0</v>
      </c>
    </row>
    <row r="535" customFormat="false" ht="15" hidden="false" customHeight="true" outlineLevel="0" collapsed="false">
      <c r="A535" s="12" t="n">
        <f aca="false">'Raw Data'!A532</f>
        <v>42168</v>
      </c>
      <c r="B535" s="32" t="n">
        <f aca="false">'Raw Data'!E532</f>
        <v>42.0321351376053</v>
      </c>
      <c r="C535" s="32" t="n">
        <f aca="false">'Raw Data'!F532</f>
        <v>40.4966778784852</v>
      </c>
      <c r="D535" s="15" t="n">
        <f aca="false">'Raw Data'!H532</f>
        <v>0.0365305558257581</v>
      </c>
      <c r="E535" s="15" t="n">
        <f aca="false">'Raw Data'!I532</f>
        <v>0.0365305558257581</v>
      </c>
      <c r="F535" s="17" t="b">
        <f aca="false">'Raw Data'!S532</f>
        <v>0</v>
      </c>
    </row>
    <row r="536" customFormat="false" ht="15" hidden="false" customHeight="true" outlineLevel="0" collapsed="false">
      <c r="A536" s="12" t="n">
        <f aca="false">'Raw Data'!A533</f>
        <v>42169</v>
      </c>
      <c r="B536" s="32" t="n">
        <f aca="false">'Raw Data'!E533</f>
        <v>42.0580040214904</v>
      </c>
      <c r="C536" s="32" t="n">
        <f aca="false">'Raw Data'!F533</f>
        <v>40.4918784197199</v>
      </c>
      <c r="D536" s="15" t="n">
        <f aca="false">'Raw Data'!H533</f>
        <v>0.0372372783304288</v>
      </c>
      <c r="E536" s="15" t="n">
        <f aca="false">'Raw Data'!I533</f>
        <v>0.0372372783304289</v>
      </c>
      <c r="F536" s="17" t="b">
        <f aca="false">'Raw Data'!S533</f>
        <v>0</v>
      </c>
    </row>
    <row r="537" customFormat="false" ht="15" hidden="false" customHeight="true" outlineLevel="0" collapsed="false">
      <c r="A537" s="12" t="n">
        <f aca="false">'Raw Data'!A534</f>
        <v>42170</v>
      </c>
      <c r="B537" s="32" t="n">
        <f aca="false">'Raw Data'!E534</f>
        <v>42.0302430505363</v>
      </c>
      <c r="C537" s="32" t="n">
        <f aca="false">'Raw Data'!F534</f>
        <v>40.4731155167</v>
      </c>
      <c r="D537" s="15" t="n">
        <f aca="false">'Raw Data'!H534</f>
        <v>0.0370477879931369</v>
      </c>
      <c r="E537" s="15" t="n">
        <f aca="false">'Raw Data'!I534</f>
        <v>0.037047787993137</v>
      </c>
      <c r="F537" s="17" t="b">
        <f aca="false">'Raw Data'!S534</f>
        <v>0</v>
      </c>
    </row>
    <row r="538" customFormat="false" ht="15" hidden="false" customHeight="true" outlineLevel="0" collapsed="false">
      <c r="A538" s="12" t="n">
        <f aca="false">'Raw Data'!A535</f>
        <v>42171</v>
      </c>
      <c r="B538" s="32" t="n">
        <f aca="false">'Raw Data'!E535</f>
        <v>41.9529422933627</v>
      </c>
      <c r="C538" s="32" t="n">
        <f aca="false">'Raw Data'!F535</f>
        <v>40.4217551488806</v>
      </c>
      <c r="D538" s="15" t="n">
        <f aca="false">'Raw Data'!H535</f>
        <v>0.0364977296175081</v>
      </c>
      <c r="E538" s="15" t="n">
        <f aca="false">'Raw Data'!I535</f>
        <v>0.036497729617508</v>
      </c>
      <c r="F538" s="17" t="b">
        <f aca="false">'Raw Data'!S535</f>
        <v>0</v>
      </c>
    </row>
    <row r="539" customFormat="false" ht="15" hidden="false" customHeight="true" outlineLevel="0" collapsed="false">
      <c r="A539" s="12" t="n">
        <f aca="false">'Raw Data'!A536</f>
        <v>42172</v>
      </c>
      <c r="B539" s="32" t="n">
        <f aca="false">'Raw Data'!E536</f>
        <v>42.0154270505091</v>
      </c>
      <c r="C539" s="32" t="n">
        <f aca="false">'Raw Data'!F536</f>
        <v>40.3958998801861</v>
      </c>
      <c r="D539" s="15" t="n">
        <f aca="false">'Raw Data'!H536</f>
        <v>0.0385460123581752</v>
      </c>
      <c r="E539" s="15" t="n">
        <f aca="false">'Raw Data'!I536</f>
        <v>0.0385460123581753</v>
      </c>
      <c r="F539" s="17" t="b">
        <f aca="false">'Raw Data'!S536</f>
        <v>0</v>
      </c>
    </row>
    <row r="540" customFormat="false" ht="15" hidden="false" customHeight="true" outlineLevel="0" collapsed="false">
      <c r="A540" s="12" t="n">
        <f aca="false">'Raw Data'!A537</f>
        <v>42173</v>
      </c>
      <c r="B540" s="32" t="n">
        <f aca="false">'Raw Data'!E537</f>
        <v>41.9981844573438</v>
      </c>
      <c r="C540" s="32" t="n">
        <f aca="false">'Raw Data'!F537</f>
        <v>40.3593503932884</v>
      </c>
      <c r="D540" s="15" t="n">
        <f aca="false">'Raw Data'!H537</f>
        <v>0.0390215454603735</v>
      </c>
      <c r="E540" s="15" t="n">
        <f aca="false">'Raw Data'!I537</f>
        <v>0.0390215454603734</v>
      </c>
      <c r="F540" s="17" t="b">
        <f aca="false">'Raw Data'!S537</f>
        <v>0</v>
      </c>
    </row>
    <row r="541" customFormat="false" ht="15" hidden="false" customHeight="true" outlineLevel="0" collapsed="false">
      <c r="A541" s="12" t="n">
        <f aca="false">'Raw Data'!A538</f>
        <v>42174</v>
      </c>
      <c r="B541" s="32" t="n">
        <f aca="false">'Raw Data'!E538</f>
        <v>42.0359545111216</v>
      </c>
      <c r="C541" s="32" t="n">
        <f aca="false">'Raw Data'!F538</f>
        <v>40.2896180076295</v>
      </c>
      <c r="D541" s="15" t="n">
        <f aca="false">'Raw Data'!H538</f>
        <v>0.0415438765171847</v>
      </c>
      <c r="E541" s="15" t="n">
        <f aca="false">'Raw Data'!I538</f>
        <v>0.0415438765171846</v>
      </c>
      <c r="F541" s="17" t="b">
        <f aca="false">'Raw Data'!S538</f>
        <v>0</v>
      </c>
    </row>
    <row r="542" customFormat="false" ht="15" hidden="false" customHeight="true" outlineLevel="0" collapsed="false">
      <c r="A542" s="12" t="n">
        <f aca="false">'Raw Data'!A539</f>
        <v>42175</v>
      </c>
      <c r="B542" s="32" t="n">
        <f aca="false">'Raw Data'!E539</f>
        <v>42.0422841528471</v>
      </c>
      <c r="C542" s="32" t="n">
        <f aca="false">'Raw Data'!F539</f>
        <v>40.2999526259806</v>
      </c>
      <c r="D542" s="15" t="n">
        <f aca="false">'Raw Data'!H539</f>
        <v>0.0414423612316614</v>
      </c>
      <c r="E542" s="15" t="n">
        <f aca="false">'Raw Data'!I539</f>
        <v>0.0414423612316614</v>
      </c>
      <c r="F542" s="17" t="b">
        <f aca="false">'Raw Data'!S539</f>
        <v>0</v>
      </c>
    </row>
    <row r="543" customFormat="false" ht="15" hidden="false" customHeight="true" outlineLevel="0" collapsed="false">
      <c r="A543" s="12" t="n">
        <f aca="false">'Raw Data'!A540</f>
        <v>42176</v>
      </c>
      <c r="B543" s="32" t="n">
        <f aca="false">'Raw Data'!E540</f>
        <v>42.0640238891299</v>
      </c>
      <c r="C543" s="32" t="n">
        <f aca="false">'Raw Data'!F540</f>
        <v>40.3109995447508</v>
      </c>
      <c r="D543" s="15" t="n">
        <f aca="false">'Raw Data'!H540</f>
        <v>0.0416751461771619</v>
      </c>
      <c r="E543" s="15" t="n">
        <f aca="false">'Raw Data'!I540</f>
        <v>0.041675146177162</v>
      </c>
      <c r="F543" s="17" t="b">
        <f aca="false">'Raw Data'!S540</f>
        <v>0</v>
      </c>
    </row>
    <row r="544" customFormat="false" ht="15" hidden="false" customHeight="true" outlineLevel="0" collapsed="false">
      <c r="A544" s="12" t="n">
        <f aca="false">'Raw Data'!A541</f>
        <v>42177</v>
      </c>
      <c r="B544" s="32" t="n">
        <f aca="false">'Raw Data'!E541</f>
        <v>42.025452267419</v>
      </c>
      <c r="C544" s="32" t="n">
        <f aca="false">'Raw Data'!F541</f>
        <v>40.287014436416</v>
      </c>
      <c r="D544" s="15" t="n">
        <f aca="false">'Raw Data'!H541</f>
        <v>0.0413663086821962</v>
      </c>
      <c r="E544" s="15" t="n">
        <f aca="false">'Raw Data'!I541</f>
        <v>0.0413663086821964</v>
      </c>
      <c r="F544" s="17" t="b">
        <f aca="false">'Raw Data'!S541</f>
        <v>0</v>
      </c>
    </row>
    <row r="545" customFormat="false" ht="15" hidden="false" customHeight="true" outlineLevel="0" collapsed="false">
      <c r="A545" s="12" t="n">
        <f aca="false">'Raw Data'!A542</f>
        <v>42178</v>
      </c>
      <c r="B545" s="32" t="n">
        <f aca="false">'Raw Data'!E542</f>
        <v>42.0158228175289</v>
      </c>
      <c r="C545" s="32" t="n">
        <f aca="false">'Raw Data'!F542</f>
        <v>40.2133099125855</v>
      </c>
      <c r="D545" s="15" t="n">
        <f aca="false">'Raw Data'!H542</f>
        <v>0.0429008117435074</v>
      </c>
      <c r="E545" s="15" t="n">
        <f aca="false">'Raw Data'!I542</f>
        <v>0.0429008117435074</v>
      </c>
      <c r="F545" s="17" t="b">
        <f aca="false">'Raw Data'!S542</f>
        <v>0</v>
      </c>
    </row>
    <row r="546" customFormat="false" ht="15" hidden="false" customHeight="true" outlineLevel="0" collapsed="false">
      <c r="A546" s="12" t="n">
        <f aca="false">'Raw Data'!A543</f>
        <v>42179</v>
      </c>
      <c r="B546" s="32" t="n">
        <f aca="false">'Raw Data'!E543</f>
        <v>37.7793879643794</v>
      </c>
      <c r="C546" s="32" t="n">
        <f aca="false">'Raw Data'!F543</f>
        <v>40.1943565820933</v>
      </c>
      <c r="D546" s="15" t="n">
        <f aca="false">'Raw Data'!H543</f>
        <v>-0.0639229153206758</v>
      </c>
      <c r="E546" s="15" t="n">
        <f aca="false">'Raw Data'!I543</f>
        <v>-0.0639229153206758</v>
      </c>
      <c r="F546" s="17" t="b">
        <f aca="false">'Raw Data'!S543</f>
        <v>0</v>
      </c>
    </row>
    <row r="547" customFormat="false" ht="15" hidden="false" customHeight="true" outlineLevel="0" collapsed="false">
      <c r="A547" s="12" t="n">
        <f aca="false">'Raw Data'!A544</f>
        <v>42180</v>
      </c>
      <c r="B547" s="32" t="n">
        <f aca="false">'Raw Data'!E544</f>
        <v>37.7890683032359</v>
      </c>
      <c r="C547" s="32" t="n">
        <f aca="false">'Raw Data'!F544</f>
        <v>40.1573958314374</v>
      </c>
      <c r="D547" s="15" t="n">
        <f aca="false">'Raw Data'!H544</f>
        <v>-0.0626722921347772</v>
      </c>
      <c r="E547" s="15" t="n">
        <f aca="false">'Raw Data'!I544</f>
        <v>-0.0626722921347773</v>
      </c>
      <c r="F547" s="17" t="b">
        <f aca="false">'Raw Data'!S544</f>
        <v>1</v>
      </c>
    </row>
    <row r="548" customFormat="false" ht="15" hidden="false" customHeight="true" outlineLevel="0" collapsed="false">
      <c r="A548" s="12" t="n">
        <f aca="false">'Raw Data'!A545</f>
        <v>42181</v>
      </c>
      <c r="B548" s="32" t="n">
        <f aca="false">'Raw Data'!E545</f>
        <v>37.8200939756634</v>
      </c>
      <c r="C548" s="32" t="n">
        <f aca="false">'Raw Data'!F545</f>
        <v>40.1469457754387</v>
      </c>
      <c r="D548" s="15" t="n">
        <f aca="false">'Raw Data'!H545</f>
        <v>-0.0615242204652518</v>
      </c>
      <c r="E548" s="15" t="n">
        <f aca="false">'Raw Data'!I545</f>
        <v>-0.0615242204652518</v>
      </c>
      <c r="F548" s="17" t="b">
        <f aca="false">'Raw Data'!S545</f>
        <v>1</v>
      </c>
    </row>
    <row r="549" customFormat="false" ht="15" hidden="false" customHeight="true" outlineLevel="0" collapsed="false">
      <c r="A549" s="12" t="n">
        <f aca="false">'Raw Data'!A546</f>
        <v>42182</v>
      </c>
      <c r="B549" s="32" t="n">
        <f aca="false">'Raw Data'!E546</f>
        <v>37.7938340539048</v>
      </c>
      <c r="C549" s="32" t="n">
        <f aca="false">'Raw Data'!F546</f>
        <v>40.1246646316261</v>
      </c>
      <c r="D549" s="15" t="n">
        <f aca="false">'Raw Data'!H546</f>
        <v>-0.0616722445888091</v>
      </c>
      <c r="E549" s="15" t="n">
        <f aca="false">'Raw Data'!I546</f>
        <v>-0.0616722445888091</v>
      </c>
      <c r="F549" s="17" t="b">
        <f aca="false">'Raw Data'!S546</f>
        <v>1</v>
      </c>
    </row>
    <row r="550" customFormat="false" ht="15" hidden="false" customHeight="true" outlineLevel="0" collapsed="false">
      <c r="A550" s="12" t="n">
        <f aca="false">'Raw Data'!A547</f>
        <v>42183</v>
      </c>
      <c r="B550" s="32" t="n">
        <f aca="false">'Raw Data'!E547</f>
        <v>37.7795057176903</v>
      </c>
      <c r="C550" s="32" t="n">
        <f aca="false">'Raw Data'!F547</f>
        <v>40.108894738089</v>
      </c>
      <c r="D550" s="15" t="n">
        <f aca="false">'Raw Data'!H547</f>
        <v>-0.0616574774113029</v>
      </c>
      <c r="E550" s="15" t="n">
        <f aca="false">'Raw Data'!I547</f>
        <v>-0.0616574774113031</v>
      </c>
      <c r="F550" s="17" t="b">
        <f aca="false">'Raw Data'!S547</f>
        <v>1</v>
      </c>
    </row>
    <row r="551" customFormat="false" ht="15" hidden="false" customHeight="true" outlineLevel="0" collapsed="false">
      <c r="A551" s="12" t="n">
        <f aca="false">'Raw Data'!A548</f>
        <v>42184</v>
      </c>
      <c r="B551" s="32" t="n">
        <f aca="false">'Raw Data'!E548</f>
        <v>37.7554758914145</v>
      </c>
      <c r="C551" s="32" t="n">
        <f aca="false">'Raw Data'!F548</f>
        <v>40.1074369260029</v>
      </c>
      <c r="D551" s="15" t="n">
        <f aca="false">'Raw Data'!H548</f>
        <v>-0.0622945673192578</v>
      </c>
      <c r="E551" s="15" t="n">
        <f aca="false">'Raw Data'!I548</f>
        <v>-0.0622945673192577</v>
      </c>
      <c r="F551" s="17" t="b">
        <f aca="false">'Raw Data'!S548</f>
        <v>1</v>
      </c>
    </row>
    <row r="552" customFormat="false" ht="15" hidden="false" customHeight="true" outlineLevel="0" collapsed="false">
      <c r="A552" s="12" t="n">
        <f aca="false">'Raw Data'!A549</f>
        <v>42185</v>
      </c>
      <c r="B552" s="32" t="n">
        <f aca="false">'Raw Data'!E549</f>
        <v>37.7581452292414</v>
      </c>
      <c r="C552" s="32" t="n">
        <f aca="false">'Raw Data'!F549</f>
        <v>40.1064394038212</v>
      </c>
      <c r="D552" s="15" t="n">
        <f aca="false">'Raw Data'!H549</f>
        <v>-0.0621930489520223</v>
      </c>
      <c r="E552" s="15" t="n">
        <f aca="false">'Raw Data'!I549</f>
        <v>-0.0621930489520223</v>
      </c>
      <c r="F552" s="17" t="b">
        <f aca="false">'Raw Data'!S549</f>
        <v>1</v>
      </c>
    </row>
    <row r="553" customFormat="false" ht="15" hidden="false" customHeight="true" outlineLevel="0" collapsed="false">
      <c r="A553" s="12" t="n">
        <f aca="false">'Raw Data'!A550</f>
        <v>42186</v>
      </c>
      <c r="B553" s="32" t="n">
        <f aca="false">'Raw Data'!E550</f>
        <v>37.7481954101358</v>
      </c>
      <c r="C553" s="32" t="n">
        <f aca="false">'Raw Data'!F550</f>
        <v>40.1000298653648</v>
      </c>
      <c r="D553" s="15" t="n">
        <f aca="false">'Raw Data'!H550</f>
        <v>-0.0623032287948137</v>
      </c>
      <c r="E553" s="15" t="n">
        <f aca="false">'Raw Data'!I550</f>
        <v>-0.0623032287948138</v>
      </c>
      <c r="F553" s="17" t="b">
        <f aca="false">'Raw Data'!S550</f>
        <v>1</v>
      </c>
    </row>
    <row r="554" customFormat="false" ht="15" hidden="false" customHeight="true" outlineLevel="0" collapsed="false">
      <c r="A554" s="12" t="n">
        <f aca="false">'Raw Data'!A551</f>
        <v>42187</v>
      </c>
      <c r="B554" s="32" t="n">
        <f aca="false">'Raw Data'!E551</f>
        <v>37.7288172401332</v>
      </c>
      <c r="C554" s="32" t="n">
        <f aca="false">'Raw Data'!F551</f>
        <v>40.0756030062571</v>
      </c>
      <c r="D554" s="15" t="n">
        <f aca="false">'Raw Data'!H551</f>
        <v>-0.0622014136087874</v>
      </c>
      <c r="E554" s="15" t="n">
        <f aca="false">'Raw Data'!I551</f>
        <v>-0.0622014136087874</v>
      </c>
      <c r="F554" s="17" t="b">
        <f aca="false">'Raw Data'!S551</f>
        <v>0</v>
      </c>
    </row>
    <row r="555" customFormat="false" ht="15" hidden="false" customHeight="true" outlineLevel="0" collapsed="false">
      <c r="A555" s="12" t="n">
        <f aca="false">'Raw Data'!A552</f>
        <v>42188</v>
      </c>
      <c r="B555" s="32" t="n">
        <f aca="false">'Raw Data'!E552</f>
        <v>37.7830068555757</v>
      </c>
      <c r="C555" s="32" t="n">
        <f aca="false">'Raw Data'!F552</f>
        <v>40.0609508250608</v>
      </c>
      <c r="D555" s="15" t="n">
        <f aca="false">'Raw Data'!H552</f>
        <v>-0.0602901716687747</v>
      </c>
      <c r="E555" s="15" t="n">
        <f aca="false">'Raw Data'!I552</f>
        <v>-0.0602901716687746</v>
      </c>
      <c r="F555" s="17" t="b">
        <f aca="false">'Raw Data'!S552</f>
        <v>0</v>
      </c>
    </row>
    <row r="556" customFormat="false" ht="15" hidden="false" customHeight="true" outlineLevel="0" collapsed="false">
      <c r="A556" s="12" t="n">
        <f aca="false">'Raw Data'!A553</f>
        <v>42189</v>
      </c>
      <c r="B556" s="32" t="n">
        <f aca="false">'Raw Data'!E553</f>
        <v>37.8246650811086</v>
      </c>
      <c r="C556" s="32" t="n">
        <f aca="false">'Raw Data'!F553</f>
        <v>40.0556045385134</v>
      </c>
      <c r="D556" s="15" t="n">
        <f aca="false">'Raw Data'!H553</f>
        <v>-0.0589810763061879</v>
      </c>
      <c r="E556" s="15" t="n">
        <f aca="false">'Raw Data'!I553</f>
        <v>-0.0589810763061879</v>
      </c>
      <c r="F556" s="17" t="b">
        <f aca="false">'Raw Data'!S553</f>
        <v>0</v>
      </c>
    </row>
    <row r="557" customFormat="false" ht="15" hidden="false" customHeight="true" outlineLevel="0" collapsed="false">
      <c r="A557" s="12" t="n">
        <f aca="false">'Raw Data'!A554</f>
        <v>42190</v>
      </c>
      <c r="B557" s="32" t="n">
        <f aca="false">'Raw Data'!E554</f>
        <v>37.8372030048876</v>
      </c>
      <c r="C557" s="32" t="n">
        <f aca="false">'Raw Data'!F554</f>
        <v>40.0310237582343</v>
      </c>
      <c r="D557" s="15" t="n">
        <f aca="false">'Raw Data'!H554</f>
        <v>-0.0579805212627203</v>
      </c>
      <c r="E557" s="15" t="n">
        <f aca="false">'Raw Data'!I554</f>
        <v>-0.0579805212627203</v>
      </c>
      <c r="F557" s="17" t="b">
        <f aca="false">'Raw Data'!S554</f>
        <v>0</v>
      </c>
    </row>
    <row r="558" customFormat="false" ht="15" hidden="false" customHeight="true" outlineLevel="0" collapsed="false">
      <c r="A558" s="12" t="n">
        <f aca="false">'Raw Data'!A555</f>
        <v>42191</v>
      </c>
      <c r="B558" s="32" t="n">
        <f aca="false">'Raw Data'!E555</f>
        <v>37.8152035515761</v>
      </c>
      <c r="C558" s="32" t="n">
        <f aca="false">'Raw Data'!F555</f>
        <v>40.0323796949261</v>
      </c>
      <c r="D558" s="15" t="n">
        <f aca="false">'Raw Data'!H555</f>
        <v>-0.0586318711818118</v>
      </c>
      <c r="E558" s="15" t="n">
        <f aca="false">'Raw Data'!I555</f>
        <v>-0.0586318711818119</v>
      </c>
      <c r="F558" s="17" t="b">
        <f aca="false">'Raw Data'!S555</f>
        <v>0</v>
      </c>
    </row>
    <row r="559" customFormat="false" ht="15" hidden="false" customHeight="true" outlineLevel="0" collapsed="false">
      <c r="A559" s="12" t="n">
        <f aca="false">'Raw Data'!A556</f>
        <v>42192</v>
      </c>
      <c r="B559" s="32" t="n">
        <f aca="false">'Raw Data'!E556</f>
        <v>37.7828461013349</v>
      </c>
      <c r="C559" s="32" t="n">
        <f aca="false">'Raw Data'!F556</f>
        <v>40.0221538234148</v>
      </c>
      <c r="D559" s="15" t="n">
        <f aca="false">'Raw Data'!H556</f>
        <v>-0.0592678411804654</v>
      </c>
      <c r="E559" s="15" t="n">
        <f aca="false">'Raw Data'!I556</f>
        <v>-0.0592678411804654</v>
      </c>
      <c r="F559" s="17" t="b">
        <f aca="false">'Raw Data'!S556</f>
        <v>0</v>
      </c>
    </row>
    <row r="560" customFormat="false" ht="15" hidden="false" customHeight="true" outlineLevel="0" collapsed="false">
      <c r="A560" s="12" t="n">
        <f aca="false">'Raw Data'!A557</f>
        <v>42193</v>
      </c>
      <c r="B560" s="32" t="n">
        <f aca="false">'Raw Data'!E557</f>
        <v>39.936854026504</v>
      </c>
      <c r="C560" s="32" t="n">
        <f aca="false">'Raw Data'!F557</f>
        <v>40.0137005843997</v>
      </c>
      <c r="D560" s="15" t="n">
        <f aca="false">'Raw Data'!H557</f>
        <v>-0.00192420158695143</v>
      </c>
      <c r="E560" s="15" t="n">
        <f aca="false">'Raw Data'!I557</f>
        <v>-0.0019242015869515</v>
      </c>
      <c r="F560" s="17" t="b">
        <f aca="false">'Raw Data'!S557</f>
        <v>0</v>
      </c>
    </row>
    <row r="561" customFormat="false" ht="15" hidden="false" customHeight="true" outlineLevel="0" collapsed="false">
      <c r="A561" s="12" t="n">
        <f aca="false">'Raw Data'!A558</f>
        <v>42194</v>
      </c>
      <c r="B561" s="32" t="n">
        <f aca="false">'Raw Data'!E558</f>
        <v>39.4074514666279</v>
      </c>
      <c r="C561" s="32" t="n">
        <f aca="false">'Raw Data'!F558</f>
        <v>40.0184021038426</v>
      </c>
      <c r="D561" s="15" t="n">
        <f aca="false">'Raw Data'!H558</f>
        <v>-0.0155034292875328</v>
      </c>
      <c r="E561" s="15" t="n">
        <f aca="false">'Raw Data'!I558</f>
        <v>-0.0155034292875329</v>
      </c>
      <c r="F561" s="17" t="b">
        <f aca="false">'Raw Data'!S558</f>
        <v>0</v>
      </c>
    </row>
    <row r="562" customFormat="false" ht="15" hidden="false" customHeight="true" outlineLevel="0" collapsed="false">
      <c r="A562" s="12" t="n">
        <f aca="false">'Raw Data'!A559</f>
        <v>42195</v>
      </c>
      <c r="B562" s="32" t="n">
        <f aca="false">'Raw Data'!E559</f>
        <v>39.431346401736</v>
      </c>
      <c r="C562" s="32" t="n">
        <f aca="false">'Raw Data'!F559</f>
        <v>40.0264748808915</v>
      </c>
      <c r="D562" s="15" t="n">
        <f aca="false">'Raw Data'!H559</f>
        <v>-0.0150927760135869</v>
      </c>
      <c r="E562" s="15" t="n">
        <f aca="false">'Raw Data'!I559</f>
        <v>-0.0150927760135869</v>
      </c>
      <c r="F562" s="17" t="b">
        <f aca="false">'Raw Data'!S559</f>
        <v>0</v>
      </c>
    </row>
    <row r="563" customFormat="false" ht="15" hidden="false" customHeight="true" outlineLevel="0" collapsed="false">
      <c r="A563" s="12" t="n">
        <f aca="false">'Raw Data'!A560</f>
        <v>42196</v>
      </c>
      <c r="B563" s="32" t="n">
        <f aca="false">'Raw Data'!E560</f>
        <v>39.6045018195345</v>
      </c>
      <c r="C563" s="32" t="n">
        <f aca="false">'Raw Data'!F560</f>
        <v>40.0346495463248</v>
      </c>
      <c r="D563" s="15" t="n">
        <f aca="false">'Raw Data'!H560</f>
        <v>-0.0108610816202252</v>
      </c>
      <c r="E563" s="15" t="n">
        <f aca="false">'Raw Data'!I560</f>
        <v>-0.0108610816202253</v>
      </c>
      <c r="F563" s="17" t="b">
        <f aca="false">'Raw Data'!S560</f>
        <v>0</v>
      </c>
    </row>
    <row r="564" customFormat="false" ht="15" hidden="false" customHeight="true" outlineLevel="0" collapsed="false">
      <c r="A564" s="12" t="n">
        <f aca="false">'Raw Data'!A561</f>
        <v>42197</v>
      </c>
      <c r="B564" s="32" t="n">
        <f aca="false">'Raw Data'!E561</f>
        <v>39.1463399502455</v>
      </c>
      <c r="C564" s="32" t="n">
        <f aca="false">'Raw Data'!F561</f>
        <v>40.029339149115</v>
      </c>
      <c r="D564" s="15" t="n">
        <f aca="false">'Raw Data'!H561</f>
        <v>-0.0225563666997162</v>
      </c>
      <c r="E564" s="15" t="n">
        <f aca="false">'Raw Data'!I561</f>
        <v>-0.0225563666997163</v>
      </c>
      <c r="F564" s="17" t="b">
        <f aca="false">'Raw Data'!S561</f>
        <v>0</v>
      </c>
    </row>
    <row r="565" customFormat="false" ht="15" hidden="false" customHeight="true" outlineLevel="0" collapsed="false">
      <c r="A565" s="12" t="n">
        <f aca="false">'Raw Data'!A562</f>
        <v>42198</v>
      </c>
      <c r="B565" s="32" t="n">
        <f aca="false">'Raw Data'!E562</f>
        <v>39.3362304361679</v>
      </c>
      <c r="C565" s="32" t="n">
        <f aca="false">'Raw Data'!F562</f>
        <v>40.1801609130316</v>
      </c>
      <c r="D565" s="15" t="n">
        <f aca="false">'Raw Data'!H562</f>
        <v>-0.0214542793629679</v>
      </c>
      <c r="E565" s="15" t="n">
        <f aca="false">'Raw Data'!I562</f>
        <v>-0.0214542793629679</v>
      </c>
      <c r="F565" s="17" t="b">
        <f aca="false">'Raw Data'!S562</f>
        <v>0</v>
      </c>
    </row>
    <row r="566" customFormat="false" ht="15" hidden="false" customHeight="true" outlineLevel="0" collapsed="false">
      <c r="A566" s="12" t="n">
        <f aca="false">'Raw Data'!A563</f>
        <v>42199</v>
      </c>
      <c r="B566" s="32" t="n">
        <f aca="false">'Raw Data'!E563</f>
        <v>39.2050715786537</v>
      </c>
      <c r="C566" s="32" t="n">
        <f aca="false">'Raw Data'!F563</f>
        <v>40.1759114154523</v>
      </c>
      <c r="D566" s="15" t="n">
        <f aca="false">'Raw Data'!H563</f>
        <v>-0.0247631185891576</v>
      </c>
      <c r="E566" s="15" t="n">
        <f aca="false">'Raw Data'!I563</f>
        <v>-0.0247631185891575</v>
      </c>
      <c r="F566" s="17" t="b">
        <f aca="false">'Raw Data'!S563</f>
        <v>0</v>
      </c>
    </row>
    <row r="567" customFormat="false" ht="15" hidden="false" customHeight="true" outlineLevel="0" collapsed="false">
      <c r="A567" s="12" t="n">
        <f aca="false">'Raw Data'!A564</f>
        <v>42200</v>
      </c>
      <c r="B567" s="32" t="n">
        <f aca="false">'Raw Data'!E564</f>
        <v>39.1836296630489</v>
      </c>
      <c r="C567" s="32" t="n">
        <f aca="false">'Raw Data'!F564</f>
        <v>39.8684247327468</v>
      </c>
      <c r="D567" s="15" t="n">
        <f aca="false">'Raw Data'!H564</f>
        <v>-0.017476560379594</v>
      </c>
      <c r="E567" s="15" t="n">
        <f aca="false">'Raw Data'!I564</f>
        <v>-0.0174765603795941</v>
      </c>
      <c r="F567" s="17" t="b">
        <f aca="false">'Raw Data'!S564</f>
        <v>0</v>
      </c>
    </row>
    <row r="568" customFormat="false" ht="15" hidden="false" customHeight="true" outlineLevel="0" collapsed="false">
      <c r="A568" s="12" t="n">
        <f aca="false">'Raw Data'!A565</f>
        <v>42201</v>
      </c>
      <c r="B568" s="32" t="n">
        <f aca="false">'Raw Data'!E565</f>
        <v>38.8926802206924</v>
      </c>
      <c r="C568" s="32" t="n">
        <f aca="false">'Raw Data'!F565</f>
        <v>39.8932553668301</v>
      </c>
      <c r="D568" s="15" t="n">
        <f aca="false">'Raw Data'!H565</f>
        <v>-0.0257265670676334</v>
      </c>
      <c r="E568" s="15" t="n">
        <f aca="false">'Raw Data'!I565</f>
        <v>-0.0257265670676334</v>
      </c>
      <c r="F568" s="17" t="b">
        <f aca="false">'Raw Data'!S565</f>
        <v>0</v>
      </c>
    </row>
    <row r="569" customFormat="false" ht="15" hidden="false" customHeight="true" outlineLevel="0" collapsed="false">
      <c r="A569" s="12" t="n">
        <f aca="false">'Raw Data'!A566</f>
        <v>42202</v>
      </c>
      <c r="B569" s="32" t="n">
        <f aca="false">'Raw Data'!E566</f>
        <v>38.8287653207643</v>
      </c>
      <c r="C569" s="32" t="n">
        <f aca="false">'Raw Data'!F566</f>
        <v>39.9575568169138</v>
      </c>
      <c r="D569" s="15" t="n">
        <f aca="false">'Raw Data'!H566</f>
        <v>-0.0290710118342562</v>
      </c>
      <c r="E569" s="15" t="n">
        <f aca="false">'Raw Data'!I566</f>
        <v>-0.029071011834256</v>
      </c>
      <c r="F569" s="17" t="b">
        <f aca="false">'Raw Data'!S566</f>
        <v>0</v>
      </c>
    </row>
    <row r="570" customFormat="false" ht="15" hidden="false" customHeight="true" outlineLevel="0" collapsed="false">
      <c r="A570" s="12" t="n">
        <f aca="false">'Raw Data'!A567</f>
        <v>42203</v>
      </c>
      <c r="B570" s="32" t="n">
        <f aca="false">'Raw Data'!E567</f>
        <v>38.9648641350802</v>
      </c>
      <c r="C570" s="32" t="n">
        <f aca="false">'Raw Data'!F567</f>
        <v>39.8836338112263</v>
      </c>
      <c r="D570" s="15" t="n">
        <f aca="false">'Raw Data'!H567</f>
        <v>-0.0235794400042302</v>
      </c>
      <c r="E570" s="15" t="n">
        <f aca="false">'Raw Data'!I567</f>
        <v>-0.0235794400042302</v>
      </c>
      <c r="F570" s="17" t="b">
        <f aca="false">'Raw Data'!S567</f>
        <v>0</v>
      </c>
    </row>
    <row r="571" customFormat="false" ht="15" hidden="false" customHeight="true" outlineLevel="0" collapsed="false">
      <c r="A571" s="12" t="n">
        <f aca="false">'Raw Data'!A568</f>
        <v>42204</v>
      </c>
      <c r="B571" s="32" t="n">
        <f aca="false">'Raw Data'!E568</f>
        <v>39.1754540540465</v>
      </c>
      <c r="C571" s="32" t="n">
        <f aca="false">'Raw Data'!F568</f>
        <v>40.1390689890224</v>
      </c>
      <c r="D571" s="15" t="n">
        <f aca="false">'Raw Data'!H568</f>
        <v>-0.0245974158626579</v>
      </c>
      <c r="E571" s="15" t="n">
        <f aca="false">'Raw Data'!I568</f>
        <v>-0.0245974158626579</v>
      </c>
      <c r="F571" s="17" t="b">
        <f aca="false">'Raw Data'!S568</f>
        <v>0</v>
      </c>
    </row>
    <row r="572" customFormat="false" ht="15" hidden="false" customHeight="true" outlineLevel="0" collapsed="false">
      <c r="A572" s="12" t="n">
        <f aca="false">'Raw Data'!A569</f>
        <v>42205</v>
      </c>
      <c r="B572" s="32" t="n">
        <f aca="false">'Raw Data'!E569</f>
        <v>39.1307500629267</v>
      </c>
      <c r="C572" s="32" t="n">
        <f aca="false">'Raw Data'!F569</f>
        <v>39.9342573240833</v>
      </c>
      <c r="D572" s="15" t="n">
        <f aca="false">'Raw Data'!H569</f>
        <v>-0.0205339090067141</v>
      </c>
      <c r="E572" s="15" t="n">
        <f aca="false">'Raw Data'!I569</f>
        <v>-0.0205339090067142</v>
      </c>
      <c r="F572" s="17" t="b">
        <f aca="false">'Raw Data'!S569</f>
        <v>0</v>
      </c>
    </row>
    <row r="573" customFormat="false" ht="15" hidden="false" customHeight="true" outlineLevel="0" collapsed="false">
      <c r="A573" s="12" t="n">
        <f aca="false">'Raw Data'!A570</f>
        <v>42206</v>
      </c>
      <c r="B573" s="32" t="n">
        <f aca="false">'Raw Data'!E570</f>
        <v>38.9886480500217</v>
      </c>
      <c r="C573" s="32" t="n">
        <f aca="false">'Raw Data'!F570</f>
        <v>40.0063859148076</v>
      </c>
      <c r="D573" s="15" t="n">
        <f aca="false">'Raw Data'!H570</f>
        <v>-0.026103440762554</v>
      </c>
      <c r="E573" s="15" t="n">
        <f aca="false">'Raw Data'!I570</f>
        <v>-0.026103440762554</v>
      </c>
      <c r="F573" s="17" t="b">
        <f aca="false">'Raw Data'!S570</f>
        <v>0</v>
      </c>
    </row>
    <row r="574" customFormat="false" ht="15" hidden="false" customHeight="true" outlineLevel="0" collapsed="false">
      <c r="A574" s="12" t="n">
        <f aca="false">'Raw Data'!A571</f>
        <v>42207</v>
      </c>
      <c r="B574" s="32" t="n">
        <f aca="false">'Raw Data'!E571</f>
        <v>38.7958829791683</v>
      </c>
      <c r="C574" s="32" t="n">
        <f aca="false">'Raw Data'!F571</f>
        <v>39.815093674264</v>
      </c>
      <c r="D574" s="15" t="n">
        <f aca="false">'Raw Data'!H571</f>
        <v>-0.0262711044788664</v>
      </c>
      <c r="E574" s="15" t="n">
        <f aca="false">'Raw Data'!I571</f>
        <v>-0.0262711044788665</v>
      </c>
      <c r="F574" s="17" t="b">
        <f aca="false">'Raw Data'!S571</f>
        <v>0</v>
      </c>
    </row>
    <row r="575" customFormat="false" ht="15" hidden="false" customHeight="true" outlineLevel="0" collapsed="false">
      <c r="A575" s="12" t="n">
        <f aca="false">'Raw Data'!A572</f>
        <v>42208</v>
      </c>
      <c r="B575" s="32" t="n">
        <f aca="false">'Raw Data'!E572</f>
        <v>38.5234854270418</v>
      </c>
      <c r="C575" s="32" t="n">
        <f aca="false">'Raw Data'!F572</f>
        <v>39.9790356816099</v>
      </c>
      <c r="D575" s="15" t="n">
        <f aca="false">'Raw Data'!H572</f>
        <v>-0.0377834517939633</v>
      </c>
      <c r="E575" s="15" t="n">
        <f aca="false">'Raw Data'!I572</f>
        <v>-0.0377834517939633</v>
      </c>
      <c r="F575" s="17" t="b">
        <f aca="false">'Raw Data'!S572</f>
        <v>0</v>
      </c>
    </row>
    <row r="576" customFormat="false" ht="15" hidden="false" customHeight="true" outlineLevel="0" collapsed="false">
      <c r="A576" s="12" t="n">
        <f aca="false">'Raw Data'!A573</f>
        <v>42209</v>
      </c>
      <c r="B576" s="32" t="n">
        <f aca="false">'Raw Data'!E573</f>
        <v>38.56692017211</v>
      </c>
      <c r="C576" s="32" t="n">
        <f aca="false">'Raw Data'!F573</f>
        <v>40.0209347637671</v>
      </c>
      <c r="D576" s="15" t="n">
        <f aca="false">'Raw Data'!H573</f>
        <v>-0.0377010812677901</v>
      </c>
      <c r="E576" s="15" t="n">
        <f aca="false">'Raw Data'!I573</f>
        <v>-0.0377010812677901</v>
      </c>
      <c r="F576" s="17" t="b">
        <f aca="false">'Raw Data'!S573</f>
        <v>0</v>
      </c>
    </row>
    <row r="577" customFormat="false" ht="15" hidden="false" customHeight="true" outlineLevel="0" collapsed="false">
      <c r="A577" s="12" t="n">
        <f aca="false">'Raw Data'!A574</f>
        <v>42210</v>
      </c>
      <c r="B577" s="32" t="n">
        <f aca="false">'Raw Data'!E574</f>
        <v>38.8087751969863</v>
      </c>
      <c r="C577" s="32" t="n">
        <f aca="false">'Raw Data'!F574</f>
        <v>40.1840412146798</v>
      </c>
      <c r="D577" s="15" t="n">
        <f aca="false">'Raw Data'!H574</f>
        <v>-0.0354369858546916</v>
      </c>
      <c r="E577" s="15" t="n">
        <f aca="false">'Raw Data'!I574</f>
        <v>-0.0354369858546916</v>
      </c>
      <c r="F577" s="17" t="b">
        <f aca="false">'Raw Data'!S574</f>
        <v>0</v>
      </c>
    </row>
    <row r="578" customFormat="false" ht="15" hidden="false" customHeight="true" outlineLevel="0" collapsed="false">
      <c r="A578" s="12" t="n">
        <f aca="false">'Raw Data'!A575</f>
        <v>42211</v>
      </c>
      <c r="B578" s="32" t="n">
        <f aca="false">'Raw Data'!E575</f>
        <v>38.7458726087152</v>
      </c>
      <c r="C578" s="32" t="n">
        <f aca="false">'Raw Data'!F575</f>
        <v>40.345767392156</v>
      </c>
      <c r="D578" s="15" t="n">
        <f aca="false">'Raw Data'!H575</f>
        <v>-0.0412920054633353</v>
      </c>
      <c r="E578" s="15" t="n">
        <f aca="false">'Raw Data'!I575</f>
        <v>-0.0412920054633353</v>
      </c>
      <c r="F578" s="17" t="b">
        <f aca="false">'Raw Data'!S575</f>
        <v>0</v>
      </c>
    </row>
    <row r="579" customFormat="false" ht="15" hidden="false" customHeight="true" outlineLevel="0" collapsed="false">
      <c r="A579" s="12" t="n">
        <f aca="false">'Raw Data'!A576</f>
        <v>42212</v>
      </c>
      <c r="B579" s="32" t="n">
        <f aca="false">'Raw Data'!E576</f>
        <v>38.7345501150224</v>
      </c>
      <c r="C579" s="32" t="n">
        <f aca="false">'Raw Data'!F576</f>
        <v>40.2510232369106</v>
      </c>
      <c r="D579" s="15" t="n">
        <f aca="false">'Raw Data'!H576</f>
        <v>-0.0391503997693297</v>
      </c>
      <c r="E579" s="15" t="n">
        <f aca="false">'Raw Data'!I576</f>
        <v>-0.0391503997693297</v>
      </c>
      <c r="F579" s="17" t="b">
        <f aca="false">'Raw Data'!S576</f>
        <v>0</v>
      </c>
    </row>
    <row r="580" customFormat="false" ht="15" hidden="false" customHeight="true" outlineLevel="0" collapsed="false">
      <c r="A580" s="12" t="n">
        <f aca="false">'Raw Data'!A577</f>
        <v>42213</v>
      </c>
      <c r="B580" s="32" t="n">
        <f aca="false">'Raw Data'!E577</f>
        <v>38.6545354707601</v>
      </c>
      <c r="C580" s="32" t="n">
        <f aca="false">'Raw Data'!F577</f>
        <v>40.0909612332574</v>
      </c>
      <c r="D580" s="15" t="n">
        <f aca="false">'Raw Data'!H577</f>
        <v>-0.0371606008196347</v>
      </c>
      <c r="E580" s="15" t="n">
        <f aca="false">'Raw Data'!I577</f>
        <v>-0.0371606008196346</v>
      </c>
      <c r="F580" s="17" t="b">
        <f aca="false">'Raw Data'!S577</f>
        <v>0</v>
      </c>
    </row>
    <row r="581" customFormat="false" ht="15" hidden="false" customHeight="true" outlineLevel="0" collapsed="false">
      <c r="A581" s="12" t="n">
        <f aca="false">'Raw Data'!A578</f>
        <v>42214</v>
      </c>
      <c r="B581" s="32" t="n">
        <f aca="false">'Raw Data'!E578</f>
        <v>38.6920116057425</v>
      </c>
      <c r="C581" s="32" t="n">
        <f aca="false">'Raw Data'!F578</f>
        <v>40.2002357437217</v>
      </c>
      <c r="D581" s="15" t="n">
        <f aca="false">'Raw Data'!H578</f>
        <v>-0.0389802461900256</v>
      </c>
      <c r="E581" s="15" t="n">
        <f aca="false">'Raw Data'!I578</f>
        <v>-0.0389802461900256</v>
      </c>
      <c r="F581" s="17" t="b">
        <f aca="false">'Raw Data'!S578</f>
        <v>0</v>
      </c>
    </row>
    <row r="582" customFormat="false" ht="15" hidden="false" customHeight="true" outlineLevel="0" collapsed="false">
      <c r="A582" s="12" t="n">
        <f aca="false">'Raw Data'!A579</f>
        <v>42215</v>
      </c>
      <c r="B582" s="32" t="n">
        <f aca="false">'Raw Data'!E579</f>
        <v>38.744962627112</v>
      </c>
      <c r="C582" s="32" t="n">
        <f aca="false">'Raw Data'!F579</f>
        <v>40.1017222038035</v>
      </c>
      <c r="D582" s="15" t="n">
        <f aca="false">'Raw Data'!H579</f>
        <v>-0.0350177025526965</v>
      </c>
      <c r="E582" s="15" t="n">
        <f aca="false">'Raw Data'!I579</f>
        <v>-0.0350177025526966</v>
      </c>
      <c r="F582" s="17" t="b">
        <f aca="false">'Raw Data'!S579</f>
        <v>0</v>
      </c>
    </row>
    <row r="583" customFormat="false" ht="15" hidden="false" customHeight="true" outlineLevel="0" collapsed="false">
      <c r="A583" s="12" t="n">
        <f aca="false">'Raw Data'!A580</f>
        <v>42216</v>
      </c>
      <c r="B583" s="32" t="n">
        <f aca="false">'Raw Data'!E580</f>
        <v>38.7790403188944</v>
      </c>
      <c r="C583" s="32" t="n">
        <f aca="false">'Raw Data'!F580</f>
        <v>40.0740302893155</v>
      </c>
      <c r="D583" s="15" t="n">
        <f aca="false">'Raw Data'!H580</f>
        <v>-0.0333940695739744</v>
      </c>
      <c r="E583" s="15" t="n">
        <f aca="false">'Raw Data'!I580</f>
        <v>-0.0333940695739743</v>
      </c>
      <c r="F583" s="17" t="b">
        <f aca="false">'Raw Data'!S580</f>
        <v>0</v>
      </c>
    </row>
    <row r="584" customFormat="false" ht="15" hidden="false" customHeight="true" outlineLevel="0" collapsed="false">
      <c r="A584" s="12" t="n">
        <f aca="false">'Raw Data'!A581</f>
        <v>42217</v>
      </c>
      <c r="B584" s="32" t="n">
        <f aca="false">'Raw Data'!E581</f>
        <v>38.9191346260819</v>
      </c>
      <c r="C584" s="32" t="n">
        <f aca="false">'Raw Data'!F581</f>
        <v>40.1302438524814</v>
      </c>
      <c r="D584" s="15" t="n">
        <f aca="false">'Raw Data'!H581</f>
        <v>-0.031118606259755</v>
      </c>
      <c r="E584" s="15" t="n">
        <f aca="false">'Raw Data'!I581</f>
        <v>-0.0311186062597549</v>
      </c>
      <c r="F584" s="17" t="b">
        <f aca="false">'Raw Data'!S581</f>
        <v>0</v>
      </c>
    </row>
    <row r="585" customFormat="false" ht="15" hidden="false" customHeight="true" outlineLevel="0" collapsed="false">
      <c r="A585" s="12" t="n">
        <f aca="false">'Raw Data'!A582</f>
        <v>42218</v>
      </c>
      <c r="B585" s="32" t="n">
        <f aca="false">'Raw Data'!E582</f>
        <v>39.0408940267449</v>
      </c>
      <c r="C585" s="32" t="n">
        <f aca="false">'Raw Data'!F582</f>
        <v>40.2252709033762</v>
      </c>
      <c r="D585" s="15" t="n">
        <f aca="false">'Raw Data'!H582</f>
        <v>-0.0303368277329891</v>
      </c>
      <c r="E585" s="15" t="n">
        <f aca="false">'Raw Data'!I582</f>
        <v>-0.030336827732989</v>
      </c>
      <c r="F585" s="17" t="b">
        <f aca="false">'Raw Data'!S582</f>
        <v>0</v>
      </c>
    </row>
    <row r="586" customFormat="false" ht="15" hidden="false" customHeight="true" outlineLevel="0" collapsed="false">
      <c r="A586" s="12" t="n">
        <f aca="false">'Raw Data'!A583</f>
        <v>42219</v>
      </c>
      <c r="B586" s="32" t="n">
        <f aca="false">'Raw Data'!E583</f>
        <v>39.123446406842</v>
      </c>
      <c r="C586" s="32" t="n">
        <f aca="false">'Raw Data'!F583</f>
        <v>40.0745307663155</v>
      </c>
      <c r="D586" s="15" t="n">
        <f aca="false">'Raw Data'!H583</f>
        <v>-0.0243098307235829</v>
      </c>
      <c r="E586" s="15" t="n">
        <f aca="false">'Raw Data'!I583</f>
        <v>-0.0243098307235829</v>
      </c>
      <c r="F586" s="17" t="b">
        <f aca="false">'Raw Data'!S583</f>
        <v>0</v>
      </c>
    </row>
    <row r="587" customFormat="false" ht="15" hidden="false" customHeight="true" outlineLevel="0" collapsed="false">
      <c r="A587" s="12" t="n">
        <f aca="false">'Raw Data'!A584</f>
        <v>42220</v>
      </c>
      <c r="B587" s="32" t="n">
        <f aca="false">'Raw Data'!E584</f>
        <v>38.7009879311114</v>
      </c>
      <c r="C587" s="32" t="n">
        <f aca="false">'Raw Data'!F584</f>
        <v>40.0686330055672</v>
      </c>
      <c r="D587" s="15" t="n">
        <f aca="false">'Raw Data'!H584</f>
        <v>-0.0353387638809182</v>
      </c>
      <c r="E587" s="15" t="n">
        <f aca="false">'Raw Data'!I584</f>
        <v>-0.0353387638809182</v>
      </c>
      <c r="F587" s="17" t="b">
        <f aca="false">'Raw Data'!S584</f>
        <v>0</v>
      </c>
    </row>
    <row r="588" customFormat="false" ht="15" hidden="false" customHeight="true" outlineLevel="0" collapsed="false">
      <c r="A588" s="12" t="n">
        <f aca="false">'Raw Data'!A585</f>
        <v>42221</v>
      </c>
      <c r="B588" s="32" t="n">
        <f aca="false">'Raw Data'!E585</f>
        <v>38.7491902229469</v>
      </c>
      <c r="C588" s="32" t="n">
        <f aca="false">'Raw Data'!F585</f>
        <v>40.0535342274285</v>
      </c>
      <c r="D588" s="15" t="n">
        <f aca="false">'Raw Data'!H585</f>
        <v>-0.0336611938721026</v>
      </c>
      <c r="E588" s="15" t="n">
        <f aca="false">'Raw Data'!I585</f>
        <v>-0.0336611938721025</v>
      </c>
      <c r="F588" s="17" t="b">
        <f aca="false">'Raw Data'!S585</f>
        <v>0</v>
      </c>
    </row>
    <row r="589" customFormat="false" ht="15" hidden="false" customHeight="true" outlineLevel="0" collapsed="false">
      <c r="A589" s="12" t="n">
        <f aca="false">'Raw Data'!A586</f>
        <v>42222</v>
      </c>
      <c r="B589" s="32" t="n">
        <f aca="false">'Raw Data'!E586</f>
        <v>38.6860406358171</v>
      </c>
      <c r="C589" s="32" t="n">
        <f aca="false">'Raw Data'!F586</f>
        <v>40.0511473664971</v>
      </c>
      <c r="D589" s="15" t="n">
        <f aca="false">'Raw Data'!H586</f>
        <v>-0.0352868039283427</v>
      </c>
      <c r="E589" s="15" t="n">
        <f aca="false">'Raw Data'!I586</f>
        <v>-0.0352868039283427</v>
      </c>
      <c r="F589" s="17" t="b">
        <f aca="false">'Raw Data'!S586</f>
        <v>0</v>
      </c>
    </row>
    <row r="590" customFormat="false" ht="15" hidden="false" customHeight="true" outlineLevel="0" collapsed="false">
      <c r="A590" s="12" t="n">
        <f aca="false">'Raw Data'!A587</f>
        <v>42223</v>
      </c>
      <c r="B590" s="32" t="n">
        <f aca="false">'Raw Data'!E587</f>
        <v>38.9659573486716</v>
      </c>
      <c r="C590" s="32" t="n">
        <f aca="false">'Raw Data'!F587</f>
        <v>40.0608036182536</v>
      </c>
      <c r="D590" s="15" t="n">
        <f aca="false">'Raw Data'!H587</f>
        <v>-0.0280975072621758</v>
      </c>
      <c r="E590" s="15" t="n">
        <f aca="false">'Raw Data'!I587</f>
        <v>-0.0280975072621759</v>
      </c>
      <c r="F590" s="17" t="b">
        <f aca="false">'Raw Data'!S587</f>
        <v>0</v>
      </c>
    </row>
    <row r="591" customFormat="false" ht="15" hidden="false" customHeight="true" outlineLevel="0" collapsed="false">
      <c r="A591" s="12" t="n">
        <f aca="false">'Raw Data'!A588</f>
        <v>42224</v>
      </c>
      <c r="B591" s="32" t="n">
        <f aca="false">'Raw Data'!E588</f>
        <v>38.9220760047274</v>
      </c>
      <c r="C591" s="32" t="n">
        <f aca="false">'Raw Data'!F588</f>
        <v>40.0594527834507</v>
      </c>
      <c r="D591" s="15" t="n">
        <f aca="false">'Raw Data'!H588</f>
        <v>-0.0292218939859522</v>
      </c>
      <c r="E591" s="15" t="n">
        <f aca="false">'Raw Data'!I588</f>
        <v>-0.0292218939859523</v>
      </c>
      <c r="F591" s="17" t="b">
        <f aca="false">'Raw Data'!S588</f>
        <v>0</v>
      </c>
    </row>
    <row r="592" customFormat="false" ht="15" hidden="false" customHeight="true" outlineLevel="0" collapsed="false">
      <c r="A592" s="12" t="n">
        <f aca="false">'Raw Data'!A589</f>
        <v>42225</v>
      </c>
      <c r="B592" s="32" t="n">
        <f aca="false">'Raw Data'!E589</f>
        <v>38.8395075836525</v>
      </c>
      <c r="C592" s="32" t="n">
        <f aca="false">'Raw Data'!F589</f>
        <v>40.1124971561105</v>
      </c>
      <c r="D592" s="15" t="n">
        <f aca="false">'Raw Data'!H589</f>
        <v>-0.0327756362440028</v>
      </c>
      <c r="E592" s="15" t="n">
        <f aca="false">'Raw Data'!I589</f>
        <v>-0.0327756362440029</v>
      </c>
      <c r="F592" s="17" t="b">
        <f aca="false">'Raw Data'!S589</f>
        <v>0</v>
      </c>
    </row>
    <row r="593" customFormat="false" ht="15" hidden="false" customHeight="true" outlineLevel="0" collapsed="false">
      <c r="A593" s="12" t="n">
        <f aca="false">'Raw Data'!A590</f>
        <v>42226</v>
      </c>
      <c r="B593" s="32" t="n">
        <f aca="false">'Raw Data'!E590</f>
        <v>38.6137294145036</v>
      </c>
      <c r="C593" s="32" t="n">
        <f aca="false">'Raw Data'!F590</f>
        <v>40.1024975315216</v>
      </c>
      <c r="D593" s="15" t="n">
        <f aca="false">'Raw Data'!H590</f>
        <v>-0.038555408648481</v>
      </c>
      <c r="E593" s="15" t="n">
        <f aca="false">'Raw Data'!I590</f>
        <v>-0.0385554086484809</v>
      </c>
      <c r="F593" s="17" t="b">
        <f aca="false">'Raw Data'!S590</f>
        <v>0</v>
      </c>
    </row>
    <row r="594" customFormat="false" ht="15" hidden="false" customHeight="true" outlineLevel="0" collapsed="false">
      <c r="A594" s="12" t="n">
        <f aca="false">'Raw Data'!A591</f>
        <v>42227</v>
      </c>
      <c r="B594" s="32" t="n">
        <f aca="false">'Raw Data'!E591</f>
        <v>38.5074530052977</v>
      </c>
      <c r="C594" s="32" t="n">
        <f aca="false">'Raw Data'!F591</f>
        <v>40.0118319116603</v>
      </c>
      <c r="D594" s="15" t="n">
        <f aca="false">'Raw Data'!H591</f>
        <v>-0.0390672139794742</v>
      </c>
      <c r="E594" s="15" t="n">
        <f aca="false">'Raw Data'!I591</f>
        <v>-0.0390672139794741</v>
      </c>
      <c r="F594" s="17" t="b">
        <f aca="false">'Raw Data'!S591</f>
        <v>0</v>
      </c>
    </row>
    <row r="595" customFormat="false" ht="15" hidden="false" customHeight="true" outlineLevel="0" collapsed="false">
      <c r="A595" s="12" t="n">
        <f aca="false">'Raw Data'!A592</f>
        <v>42228</v>
      </c>
      <c r="B595" s="32" t="n">
        <f aca="false">'Raw Data'!E592</f>
        <v>38.1713926140865</v>
      </c>
      <c r="C595" s="32" t="n">
        <f aca="false">'Raw Data'!F592</f>
        <v>40.0081700653073</v>
      </c>
      <c r="D595" s="15" t="n">
        <f aca="false">'Raw Data'!H592</f>
        <v>-0.0481192150831564</v>
      </c>
      <c r="E595" s="15" t="n">
        <f aca="false">'Raw Data'!I592</f>
        <v>-0.0481192150831564</v>
      </c>
      <c r="F595" s="17" t="b">
        <f aca="false">'Raw Data'!S592</f>
        <v>0</v>
      </c>
    </row>
    <row r="596" customFormat="false" ht="15" hidden="false" customHeight="true" outlineLevel="0" collapsed="false">
      <c r="A596" s="12" t="n">
        <f aca="false">'Raw Data'!A593</f>
        <v>42229</v>
      </c>
      <c r="B596" s="32" t="n">
        <f aca="false">'Raw Data'!E593</f>
        <v>38.1288976424447</v>
      </c>
      <c r="C596" s="32" t="n">
        <f aca="false">'Raw Data'!F593</f>
        <v>40.0139307924056</v>
      </c>
      <c r="D596" s="15" t="n">
        <f aca="false">'Raw Data'!H593</f>
        <v>-0.0494384382060533</v>
      </c>
      <c r="E596" s="15" t="n">
        <f aca="false">'Raw Data'!I593</f>
        <v>-0.0494384382060533</v>
      </c>
      <c r="F596" s="17" t="b">
        <f aca="false">'Raw Data'!S593</f>
        <v>0</v>
      </c>
    </row>
    <row r="597" customFormat="false" ht="15" hidden="false" customHeight="true" outlineLevel="0" collapsed="false">
      <c r="A597" s="12" t="n">
        <f aca="false">'Raw Data'!A594</f>
        <v>42230</v>
      </c>
      <c r="B597" s="32" t="n">
        <f aca="false">'Raw Data'!E594</f>
        <v>38.1816185592436</v>
      </c>
      <c r="C597" s="32" t="n">
        <f aca="false">'Raw Data'!F594</f>
        <v>40.0084086459724</v>
      </c>
      <c r="D597" s="15" t="n">
        <f aca="false">'Raw Data'!H594</f>
        <v>-0.0478447524138965</v>
      </c>
      <c r="E597" s="15" t="n">
        <f aca="false">'Raw Data'!I594</f>
        <v>-0.0478447524138965</v>
      </c>
      <c r="F597" s="17" t="b">
        <f aca="false">'Raw Data'!S594</f>
        <v>0</v>
      </c>
    </row>
    <row r="598" customFormat="false" ht="15" hidden="false" customHeight="true" outlineLevel="0" collapsed="false">
      <c r="A598" s="12" t="n">
        <f aca="false">'Raw Data'!A595</f>
        <v>42231</v>
      </c>
      <c r="B598" s="32" t="n">
        <f aca="false">'Raw Data'!E595</f>
        <v>38.2294687267933</v>
      </c>
      <c r="C598" s="32" t="n">
        <f aca="false">'Raw Data'!F595</f>
        <v>39.9297122562898</v>
      </c>
      <c r="D598" s="15" t="n">
        <f aca="false">'Raw Data'!H595</f>
        <v>-0.044474683696165</v>
      </c>
      <c r="E598" s="15" t="n">
        <f aca="false">'Raw Data'!I595</f>
        <v>-0.044474683696165</v>
      </c>
      <c r="F598" s="17" t="b">
        <f aca="false">'Raw Data'!S595</f>
        <v>0</v>
      </c>
    </row>
    <row r="599" customFormat="false" ht="15" hidden="false" customHeight="true" outlineLevel="0" collapsed="false">
      <c r="A599" s="12" t="n">
        <f aca="false">'Raw Data'!A596</f>
        <v>42232</v>
      </c>
      <c r="B599" s="32" t="n">
        <f aca="false">'Raw Data'!E596</f>
        <v>38.0793467330013</v>
      </c>
      <c r="C599" s="32" t="n">
        <f aca="false">'Raw Data'!F596</f>
        <v>39.9727614502949</v>
      </c>
      <c r="D599" s="15" t="n">
        <f aca="false">'Raw Data'!H596</f>
        <v>-0.0497228781409906</v>
      </c>
      <c r="E599" s="15" t="n">
        <f aca="false">'Raw Data'!I596</f>
        <v>-0.0497228781409908</v>
      </c>
      <c r="F599" s="17" t="b">
        <f aca="false">'Raw Data'!S596</f>
        <v>0</v>
      </c>
    </row>
    <row r="600" customFormat="false" ht="15" hidden="false" customHeight="true" outlineLevel="0" collapsed="false">
      <c r="A600" s="12" t="n">
        <f aca="false">'Raw Data'!A597</f>
        <v>42233</v>
      </c>
      <c r="B600" s="32" t="n">
        <f aca="false">'Raw Data'!E597</f>
        <v>38.1030026351067</v>
      </c>
      <c r="C600" s="32" t="n">
        <f aca="false">'Raw Data'!F597</f>
        <v>39.9439373605229</v>
      </c>
      <c r="D600" s="15" t="n">
        <f aca="false">'Raw Data'!H597</f>
        <v>-0.0483146890822722</v>
      </c>
      <c r="E600" s="15" t="n">
        <f aca="false">'Raw Data'!I597</f>
        <v>-0.0483146890822723</v>
      </c>
      <c r="F600" s="17" t="b">
        <f aca="false">'Raw Data'!S597</f>
        <v>0</v>
      </c>
    </row>
    <row r="601" customFormat="false" ht="15" hidden="false" customHeight="true" outlineLevel="0" collapsed="false">
      <c r="A601" s="12" t="n">
        <f aca="false">'Raw Data'!A598</f>
        <v>42234</v>
      </c>
      <c r="B601" s="32" t="n">
        <f aca="false">'Raw Data'!E598</f>
        <v>38.1409675517627</v>
      </c>
      <c r="C601" s="32" t="n">
        <f aca="false">'Raw Data'!F598</f>
        <v>39.9587498078241</v>
      </c>
      <c r="D601" s="15" t="n">
        <f aca="false">'Raw Data'!H598</f>
        <v>-0.0476595737534543</v>
      </c>
      <c r="E601" s="15" t="n">
        <f aca="false">'Raw Data'!I598</f>
        <v>-0.0476595737534543</v>
      </c>
      <c r="F601" s="17" t="b">
        <f aca="false">'Raw Data'!S598</f>
        <v>0</v>
      </c>
    </row>
    <row r="602" customFormat="false" ht="15" hidden="false" customHeight="true" outlineLevel="0" collapsed="false">
      <c r="A602" s="12" t="n">
        <f aca="false">'Raw Data'!A599</f>
        <v>42235</v>
      </c>
      <c r="B602" s="32" t="n">
        <f aca="false">'Raw Data'!E599</f>
        <v>38.4671907204141</v>
      </c>
      <c r="C602" s="32" t="n">
        <f aca="false">'Raw Data'!F599</f>
        <v>39.9074271157492</v>
      </c>
      <c r="D602" s="15" t="n">
        <f aca="false">'Raw Data'!H599</f>
        <v>-0.0374406440491841</v>
      </c>
      <c r="E602" s="15" t="n">
        <f aca="false">'Raw Data'!I599</f>
        <v>-0.037440644049184</v>
      </c>
      <c r="F602" s="17" t="b">
        <f aca="false">'Raw Data'!S599</f>
        <v>0</v>
      </c>
    </row>
    <row r="603" customFormat="false" ht="15" hidden="false" customHeight="true" outlineLevel="0" collapsed="false">
      <c r="A603" s="12" t="n">
        <f aca="false">'Raw Data'!A600</f>
        <v>42236</v>
      </c>
      <c r="B603" s="32" t="n">
        <f aca="false">'Raw Data'!E600</f>
        <v>38.4991558037327</v>
      </c>
      <c r="C603" s="32" t="n">
        <f aca="false">'Raw Data'!F600</f>
        <v>39.5134900005384</v>
      </c>
      <c r="D603" s="15" t="n">
        <f aca="false">'Raw Data'!H600</f>
        <v>-0.0263469204877306</v>
      </c>
      <c r="E603" s="15" t="n">
        <f aca="false">'Raw Data'!I600</f>
        <v>-0.0263469204877306</v>
      </c>
      <c r="F603" s="17" t="b">
        <f aca="false">'Raw Data'!S600</f>
        <v>0</v>
      </c>
    </row>
    <row r="604" customFormat="false" ht="15" hidden="false" customHeight="true" outlineLevel="0" collapsed="false">
      <c r="A604" s="12" t="n">
        <f aca="false">'Raw Data'!A601</f>
        <v>42237</v>
      </c>
      <c r="B604" s="32" t="n">
        <f aca="false">'Raw Data'!E601</f>
        <v>38.2309486685222</v>
      </c>
      <c r="C604" s="32" t="n">
        <f aca="false">'Raw Data'!F601</f>
        <v>39.2282932779423</v>
      </c>
      <c r="D604" s="15" t="n">
        <f aca="false">'Raw Data'!H601</f>
        <v>-0.026087362311292</v>
      </c>
      <c r="E604" s="15" t="n">
        <f aca="false">'Raw Data'!I601</f>
        <v>-0.0260873623112921</v>
      </c>
      <c r="F604" s="17" t="b">
        <f aca="false">'Raw Data'!S601</f>
        <v>0</v>
      </c>
    </row>
    <row r="605" customFormat="false" ht="15" hidden="false" customHeight="true" outlineLevel="0" collapsed="false">
      <c r="A605" s="12" t="n">
        <f aca="false">'Raw Data'!A602</f>
        <v>42238</v>
      </c>
      <c r="B605" s="32" t="n">
        <f aca="false">'Raw Data'!E602</f>
        <v>38.188723120044</v>
      </c>
      <c r="C605" s="32" t="n">
        <f aca="false">'Raw Data'!F602</f>
        <v>39.1158040716386</v>
      </c>
      <c r="D605" s="15" t="n">
        <f aca="false">'Raw Data'!H602</f>
        <v>-0.0242763013751555</v>
      </c>
      <c r="E605" s="15" t="n">
        <f aca="false">'Raw Data'!I602</f>
        <v>-0.0242763013751556</v>
      </c>
      <c r="F605" s="17" t="b">
        <f aca="false">'Raw Data'!S602</f>
        <v>0</v>
      </c>
    </row>
    <row r="606" customFormat="false" ht="15" hidden="false" customHeight="true" outlineLevel="0" collapsed="false">
      <c r="A606" s="12" t="n">
        <f aca="false">'Raw Data'!A603</f>
        <v>42239</v>
      </c>
      <c r="B606" s="32" t="n">
        <f aca="false">'Raw Data'!E603</f>
        <v>38.8376741825429</v>
      </c>
      <c r="C606" s="32" t="n">
        <f aca="false">'Raw Data'!F603</f>
        <v>39.2290287344306</v>
      </c>
      <c r="D606" s="15" t="n">
        <f aca="false">'Raw Data'!H603</f>
        <v>-0.0100766732335277</v>
      </c>
      <c r="E606" s="15" t="n">
        <f aca="false">'Raw Data'!I603</f>
        <v>-0.0100766732335278</v>
      </c>
      <c r="F606" s="17" t="b">
        <f aca="false">'Raw Data'!S603</f>
        <v>0</v>
      </c>
    </row>
    <row r="607" customFormat="false" ht="15" hidden="false" customHeight="true" outlineLevel="0" collapsed="false">
      <c r="A607" s="12" t="n">
        <f aca="false">'Raw Data'!A604</f>
        <v>42240</v>
      </c>
      <c r="B607" s="32" t="n">
        <f aca="false">'Raw Data'!E604</f>
        <v>38.9023109392444</v>
      </c>
      <c r="C607" s="32" t="n">
        <f aca="false">'Raw Data'!F604</f>
        <v>39.126589407437</v>
      </c>
      <c r="D607" s="15" t="n">
        <f aca="false">'Raw Data'!H604</f>
        <v>-0.00576517082861604</v>
      </c>
      <c r="E607" s="15" t="n">
        <f aca="false">'Raw Data'!I604</f>
        <v>-0.00576517082861615</v>
      </c>
      <c r="F607" s="17" t="b">
        <f aca="false">'Raw Data'!S604</f>
        <v>0</v>
      </c>
    </row>
    <row r="608" customFormat="false" ht="15" hidden="false" customHeight="true" outlineLevel="0" collapsed="false">
      <c r="A608" s="12" t="n">
        <f aca="false">'Raw Data'!A605</f>
        <v>42241</v>
      </c>
      <c r="B608" s="32" t="n">
        <f aca="false">'Raw Data'!E605</f>
        <v>34.2269437522052</v>
      </c>
      <c r="C608" s="32" t="n">
        <f aca="false">'Raw Data'!F605</f>
        <v>38.8326620700697</v>
      </c>
      <c r="D608" s="15" t="n">
        <f aca="false">'Raw Data'!H605</f>
        <v>-0.134564112741376</v>
      </c>
      <c r="E608" s="15" t="n">
        <f aca="false">'Raw Data'!I605</f>
        <v>-0.134564112741376</v>
      </c>
      <c r="F608" s="17" t="b">
        <f aca="false">'Raw Data'!S605</f>
        <v>1</v>
      </c>
    </row>
    <row r="609" customFormat="false" ht="15" hidden="false" customHeight="true" outlineLevel="0" collapsed="false">
      <c r="A609" s="12" t="n">
        <f aca="false">'Raw Data'!A606</f>
        <v>42242</v>
      </c>
      <c r="B609" s="32" t="n">
        <f aca="false">'Raw Data'!E606</f>
        <v>34.2823655129056</v>
      </c>
      <c r="C609" s="32" t="n">
        <f aca="false">'Raw Data'!F606</f>
        <v>38.2193247515903</v>
      </c>
      <c r="D609" s="15" t="n">
        <f aca="false">'Raw Data'!H606</f>
        <v>-0.114839194430813</v>
      </c>
      <c r="E609" s="15" t="n">
        <f aca="false">'Raw Data'!I606</f>
        <v>-0.114839194430813</v>
      </c>
      <c r="F609" s="17" t="b">
        <f aca="false">'Raw Data'!S606</f>
        <v>1</v>
      </c>
    </row>
    <row r="610" customFormat="false" ht="15" hidden="false" customHeight="true" outlineLevel="0" collapsed="false">
      <c r="A610" s="12" t="n">
        <f aca="false">'Raw Data'!A607</f>
        <v>42243</v>
      </c>
      <c r="B610" s="32" t="n">
        <f aca="false">'Raw Data'!E607</f>
        <v>34.2669461403037</v>
      </c>
      <c r="C610" s="32" t="n">
        <f aca="false">'Raw Data'!F607</f>
        <v>37.8794674986632</v>
      </c>
      <c r="D610" s="15" t="n">
        <f aca="false">'Raw Data'!H607</f>
        <v>-0.105422915236397</v>
      </c>
      <c r="E610" s="15" t="n">
        <f aca="false">'Raw Data'!I607</f>
        <v>-0.105422915236397</v>
      </c>
      <c r="F610" s="17" t="b">
        <f aca="false">'Raw Data'!S607</f>
        <v>1</v>
      </c>
    </row>
    <row r="611" customFormat="false" ht="15" hidden="false" customHeight="true" outlineLevel="0" collapsed="false">
      <c r="A611" s="12" t="n">
        <f aca="false">'Raw Data'!A608</f>
        <v>42244</v>
      </c>
      <c r="B611" s="32" t="n">
        <f aca="false">'Raw Data'!E608</f>
        <v>34.2135145630646</v>
      </c>
      <c r="C611" s="32" t="n">
        <f aca="false">'Raw Data'!F608</f>
        <v>37.6684291454673</v>
      </c>
      <c r="D611" s="15" t="n">
        <f aca="false">'Raw Data'!H608</f>
        <v>-0.100980990305288</v>
      </c>
      <c r="E611" s="15" t="n">
        <f aca="false">'Raw Data'!I608</f>
        <v>-0.100980990305288</v>
      </c>
      <c r="F611" s="17" t="b">
        <f aca="false">'Raw Data'!S608</f>
        <v>1</v>
      </c>
    </row>
    <row r="612" customFormat="false" ht="15" hidden="false" customHeight="true" outlineLevel="0" collapsed="false">
      <c r="A612" s="12" t="n">
        <f aca="false">'Raw Data'!A609</f>
        <v>42245</v>
      </c>
      <c r="B612" s="32" t="n">
        <f aca="false">'Raw Data'!E609</f>
        <v>34.2026108611491</v>
      </c>
      <c r="C612" s="32" t="n">
        <f aca="false">'Raw Data'!F609</f>
        <v>37.4205123670444</v>
      </c>
      <c r="D612" s="15" t="n">
        <f aca="false">'Raw Data'!H609</f>
        <v>-0.0940835048809239</v>
      </c>
      <c r="E612" s="15" t="n">
        <f aca="false">'Raw Data'!I609</f>
        <v>-0.0940835048809239</v>
      </c>
      <c r="F612" s="17" t="b">
        <f aca="false">'Raw Data'!S609</f>
        <v>1</v>
      </c>
    </row>
    <row r="613" customFormat="false" ht="15" hidden="false" customHeight="true" outlineLevel="0" collapsed="false">
      <c r="A613" s="12" t="n">
        <f aca="false">'Raw Data'!A610</f>
        <v>42246</v>
      </c>
      <c r="B613" s="32" t="n">
        <f aca="false">'Raw Data'!E610</f>
        <v>34.204241023072</v>
      </c>
      <c r="C613" s="32" t="n">
        <f aca="false">'Raw Data'!F610</f>
        <v>37.2318935826075</v>
      </c>
      <c r="D613" s="15" t="n">
        <f aca="false">'Raw Data'!H610</f>
        <v>-0.0885168759480207</v>
      </c>
      <c r="E613" s="15" t="n">
        <f aca="false">'Raw Data'!I610</f>
        <v>-0.0885168759480207</v>
      </c>
      <c r="F613" s="17" t="b">
        <f aca="false">'Raw Data'!S610</f>
        <v>1</v>
      </c>
    </row>
    <row r="614" customFormat="false" ht="15" hidden="false" customHeight="true" outlineLevel="0" collapsed="false">
      <c r="A614" s="12" t="n">
        <f aca="false">'Raw Data'!A611</f>
        <v>42247</v>
      </c>
      <c r="B614" s="32" t="n">
        <f aca="false">'Raw Data'!E611</f>
        <v>34.2104479970256</v>
      </c>
      <c r="C614" s="32" t="n">
        <f aca="false">'Raw Data'!F611</f>
        <v>37.2359104967238</v>
      </c>
      <c r="D614" s="15" t="n">
        <f aca="false">'Raw Data'!H611</f>
        <v>-0.0884367986049534</v>
      </c>
      <c r="E614" s="15" t="n">
        <f aca="false">'Raw Data'!I611</f>
        <v>-0.0884367986049534</v>
      </c>
      <c r="F614" s="17" t="b">
        <f aca="false">'Raw Data'!S611</f>
        <v>1</v>
      </c>
    </row>
    <row r="615" customFormat="false" ht="15" hidden="false" customHeight="true" outlineLevel="0" collapsed="false">
      <c r="A615" s="12" t="n">
        <f aca="false">'Raw Data'!A612</f>
        <v>42248</v>
      </c>
      <c r="B615" s="32" t="n">
        <f aca="false">'Raw Data'!E612</f>
        <v>34.1837764574912</v>
      </c>
      <c r="C615" s="32" t="n">
        <f aca="false">'Raw Data'!F612</f>
        <v>37.1414761968873</v>
      </c>
      <c r="D615" s="15" t="n">
        <f aca="false">'Raw Data'!H612</f>
        <v>-0.0865234928935985</v>
      </c>
      <c r="E615" s="15" t="n">
        <f aca="false">'Raw Data'!I612</f>
        <v>-0.0865234928935985</v>
      </c>
      <c r="F615" s="17" t="b">
        <f aca="false">'Raw Data'!S612</f>
        <v>1</v>
      </c>
    </row>
    <row r="616" customFormat="false" ht="15" hidden="false" customHeight="true" outlineLevel="0" collapsed="false">
      <c r="A616" s="12" t="n">
        <f aca="false">'Raw Data'!A613</f>
        <v>42249</v>
      </c>
      <c r="B616" s="32" t="n">
        <f aca="false">'Raw Data'!E613</f>
        <v>34.2284943853075</v>
      </c>
      <c r="C616" s="32" t="n">
        <f aca="false">'Raw Data'!F613</f>
        <v>37.0041742625851</v>
      </c>
      <c r="D616" s="15" t="n">
        <f aca="false">'Raw Data'!H613</f>
        <v>-0.0810926664209064</v>
      </c>
      <c r="E616" s="15" t="n">
        <f aca="false">'Raw Data'!I613</f>
        <v>-0.0810926664209064</v>
      </c>
      <c r="F616" s="17" t="b">
        <f aca="false">'Raw Data'!S613</f>
        <v>1</v>
      </c>
    </row>
    <row r="617" customFormat="false" ht="15" hidden="false" customHeight="true" outlineLevel="0" collapsed="false">
      <c r="A617" s="12" t="n">
        <f aca="false">'Raw Data'!A614</f>
        <v>42250</v>
      </c>
      <c r="B617" s="32" t="n">
        <f aca="false">'Raw Data'!E614</f>
        <v>34.2090066894377</v>
      </c>
      <c r="C617" s="32" t="n">
        <f aca="false">'Raw Data'!F614</f>
        <v>36.9543806970978</v>
      </c>
      <c r="D617" s="15" t="n">
        <f aca="false">'Raw Data'!H614</f>
        <v>-0.0802529588942373</v>
      </c>
      <c r="E617" s="15" t="n">
        <f aca="false">'Raw Data'!I614</f>
        <v>-0.0802529588942374</v>
      </c>
      <c r="F617" s="17" t="b">
        <f aca="false">'Raw Data'!S614</f>
        <v>0</v>
      </c>
    </row>
    <row r="618" customFormat="false" ht="15" hidden="false" customHeight="true" outlineLevel="0" collapsed="false">
      <c r="A618" s="12" t="n">
        <f aca="false">'Raw Data'!A615</f>
        <v>42251</v>
      </c>
      <c r="B618" s="32" t="n">
        <f aca="false">'Raw Data'!E615</f>
        <v>34.2633057027059</v>
      </c>
      <c r="C618" s="32" t="n">
        <f aca="false">'Raw Data'!F615</f>
        <v>36.8719463156687</v>
      </c>
      <c r="D618" s="15" t="n">
        <f aca="false">'Raw Data'!H615</f>
        <v>-0.0761351118773352</v>
      </c>
      <c r="E618" s="15" t="n">
        <f aca="false">'Raw Data'!I615</f>
        <v>-0.0761351118773353</v>
      </c>
      <c r="F618" s="17" t="b">
        <f aca="false">'Raw Data'!S615</f>
        <v>0</v>
      </c>
    </row>
    <row r="619" customFormat="false" ht="15" hidden="false" customHeight="true" outlineLevel="0" collapsed="false">
      <c r="A619" s="12" t="n">
        <f aca="false">'Raw Data'!A616</f>
        <v>42252</v>
      </c>
      <c r="B619" s="32" t="n">
        <f aca="false">'Raw Data'!E616</f>
        <v>34.2400386716281</v>
      </c>
      <c r="C619" s="32" t="n">
        <f aca="false">'Raw Data'!F616</f>
        <v>36.8437753702122</v>
      </c>
      <c r="D619" s="15" t="n">
        <f aca="false">'Raw Data'!H616</f>
        <v>-0.0760436261055277</v>
      </c>
      <c r="E619" s="15" t="n">
        <f aca="false">'Raw Data'!I616</f>
        <v>-0.0760436261055278</v>
      </c>
      <c r="F619" s="17" t="b">
        <f aca="false">'Raw Data'!S616</f>
        <v>0</v>
      </c>
    </row>
    <row r="620" customFormat="false" ht="15" hidden="false" customHeight="true" outlineLevel="0" collapsed="false">
      <c r="A620" s="12" t="n">
        <f aca="false">'Raw Data'!A617</f>
        <v>42253</v>
      </c>
      <c r="B620" s="32" t="n">
        <f aca="false">'Raw Data'!E617</f>
        <v>34.3165842690865</v>
      </c>
      <c r="C620" s="32" t="n">
        <f aca="false">'Raw Data'!F617</f>
        <v>36.8016338858019</v>
      </c>
      <c r="D620" s="15" t="n">
        <f aca="false">'Raw Data'!H617</f>
        <v>-0.0724154128286606</v>
      </c>
      <c r="E620" s="15" t="n">
        <f aca="false">'Raw Data'!I617</f>
        <v>-0.0724154128286605</v>
      </c>
      <c r="F620" s="17" t="b">
        <f aca="false">'Raw Data'!S617</f>
        <v>0</v>
      </c>
    </row>
    <row r="621" customFormat="false" ht="15" hidden="false" customHeight="true" outlineLevel="0" collapsed="false">
      <c r="A621" s="12" t="n">
        <f aca="false">'Raw Data'!A618</f>
        <v>42254</v>
      </c>
      <c r="B621" s="32" t="n">
        <f aca="false">'Raw Data'!E618</f>
        <v>34.2236226757338</v>
      </c>
      <c r="C621" s="32" t="n">
        <f aca="false">'Raw Data'!F618</f>
        <v>36.8224041186858</v>
      </c>
      <c r="D621" s="15" t="n">
        <f aca="false">'Raw Data'!H618</f>
        <v>-0.0759353113367117</v>
      </c>
      <c r="E621" s="15" t="n">
        <f aca="false">'Raw Data'!I618</f>
        <v>-0.0759353113367116</v>
      </c>
      <c r="F621" s="17" t="b">
        <f aca="false">'Raw Data'!S618</f>
        <v>0</v>
      </c>
    </row>
    <row r="622" customFormat="false" ht="15" hidden="false" customHeight="true" outlineLevel="0" collapsed="false">
      <c r="A622" s="12" t="n">
        <f aca="false">'Raw Data'!A619</f>
        <v>42255</v>
      </c>
      <c r="B622" s="32" t="n">
        <f aca="false">'Raw Data'!E619</f>
        <v>38.8325954755638</v>
      </c>
      <c r="C622" s="32" t="n">
        <f aca="false">'Raw Data'!F619</f>
        <v>36.8175127363599</v>
      </c>
      <c r="D622" s="15" t="n">
        <f aca="false">'Raw Data'!H619</f>
        <v>0.0518915286121398</v>
      </c>
      <c r="E622" s="15" t="n">
        <f aca="false">'Raw Data'!I619</f>
        <v>0.0518915286121396</v>
      </c>
      <c r="F622" s="17" t="b">
        <f aca="false">'Raw Data'!S619</f>
        <v>0</v>
      </c>
    </row>
    <row r="623" customFormat="false" ht="15" hidden="false" customHeight="true" outlineLevel="0" collapsed="false">
      <c r="A623" s="12" t="n">
        <f aca="false">'Raw Data'!A620</f>
        <v>42256</v>
      </c>
      <c r="B623" s="32" t="n">
        <f aca="false">'Raw Data'!E620</f>
        <v>38.7627118315709</v>
      </c>
      <c r="C623" s="32" t="n">
        <f aca="false">'Raw Data'!F620</f>
        <v>36.8236120217495</v>
      </c>
      <c r="D623" s="15" t="n">
        <f aca="false">'Raw Data'!H620</f>
        <v>0.0500248748912888</v>
      </c>
      <c r="E623" s="15" t="n">
        <f aca="false">'Raw Data'!I620</f>
        <v>0.0500248748912888</v>
      </c>
      <c r="F623" s="17" t="b">
        <f aca="false">'Raw Data'!S620</f>
        <v>0</v>
      </c>
    </row>
    <row r="624" customFormat="false" ht="15" hidden="false" customHeight="true" outlineLevel="0" collapsed="false">
      <c r="A624" s="12" t="n">
        <f aca="false">'Raw Data'!A621</f>
        <v>42257</v>
      </c>
      <c r="B624" s="32" t="n">
        <f aca="false">'Raw Data'!E621</f>
        <v>39.2912233333931</v>
      </c>
      <c r="C624" s="32" t="n">
        <f aca="false">'Raw Data'!F621</f>
        <v>36.7829080629958</v>
      </c>
      <c r="D624" s="15" t="n">
        <f aca="false">'Raw Data'!H621</f>
        <v>0.0638390728920234</v>
      </c>
      <c r="E624" s="15" t="n">
        <f aca="false">'Raw Data'!I621</f>
        <v>0.0638390728920233</v>
      </c>
      <c r="F624" s="17" t="b">
        <f aca="false">'Raw Data'!S621</f>
        <v>0</v>
      </c>
    </row>
    <row r="625" customFormat="false" ht="15" hidden="false" customHeight="true" outlineLevel="0" collapsed="false">
      <c r="A625" s="12" t="n">
        <f aca="false">'Raw Data'!A622</f>
        <v>42258</v>
      </c>
      <c r="B625" s="32" t="n">
        <f aca="false">'Raw Data'!E622</f>
        <v>39.1704771835871</v>
      </c>
      <c r="C625" s="32" t="n">
        <f aca="false">'Raw Data'!F622</f>
        <v>37.174040849258</v>
      </c>
      <c r="D625" s="15" t="n">
        <f aca="false">'Raw Data'!H622</f>
        <v>0.0509678839237024</v>
      </c>
      <c r="E625" s="15" t="n">
        <f aca="false">'Raw Data'!I622</f>
        <v>0.0509678839237025</v>
      </c>
      <c r="F625" s="17" t="b">
        <f aca="false">'Raw Data'!S622</f>
        <v>0</v>
      </c>
    </row>
    <row r="626" customFormat="false" ht="15" hidden="false" customHeight="true" outlineLevel="0" collapsed="false">
      <c r="A626" s="12" t="n">
        <f aca="false">'Raw Data'!A623</f>
        <v>42259</v>
      </c>
      <c r="B626" s="32" t="n">
        <f aca="false">'Raw Data'!E623</f>
        <v>39.0617777087715</v>
      </c>
      <c r="C626" s="32" t="n">
        <f aca="false">'Raw Data'!F623</f>
        <v>36.9917573242497</v>
      </c>
      <c r="D626" s="15" t="n">
        <f aca="false">'Raw Data'!H623</f>
        <v>0.0529935017283392</v>
      </c>
      <c r="E626" s="15" t="n">
        <f aca="false">'Raw Data'!I623</f>
        <v>0.0529935017283391</v>
      </c>
      <c r="F626" s="17" t="b">
        <f aca="false">'Raw Data'!S623</f>
        <v>0</v>
      </c>
    </row>
    <row r="627" customFormat="false" ht="15" hidden="false" customHeight="true" outlineLevel="0" collapsed="false">
      <c r="A627" s="12" t="n">
        <f aca="false">'Raw Data'!A624</f>
        <v>42260</v>
      </c>
      <c r="B627" s="32" t="n">
        <f aca="false">'Raw Data'!E624</f>
        <v>39.1794890159893</v>
      </c>
      <c r="C627" s="32" t="n">
        <f aca="false">'Raw Data'!F624</f>
        <v>37.1093945926578</v>
      </c>
      <c r="D627" s="15" t="n">
        <f aca="false">'Raw Data'!H624</f>
        <v>0.0528361771764477</v>
      </c>
      <c r="E627" s="15" t="n">
        <f aca="false">'Raw Data'!I624</f>
        <v>0.0528361771764477</v>
      </c>
      <c r="F627" s="17" t="b">
        <f aca="false">'Raw Data'!S624</f>
        <v>0</v>
      </c>
    </row>
    <row r="628" customFormat="false" ht="15" hidden="false" customHeight="true" outlineLevel="0" collapsed="false">
      <c r="A628" s="12" t="n">
        <f aca="false">'Raw Data'!A625</f>
        <v>42261</v>
      </c>
      <c r="B628" s="32" t="n">
        <f aca="false">'Raw Data'!E625</f>
        <v>39.247692952156</v>
      </c>
      <c r="C628" s="32" t="n">
        <f aca="false">'Raw Data'!F625</f>
        <v>37.3634369816169</v>
      </c>
      <c r="D628" s="15" t="n">
        <f aca="false">'Raw Data'!H625</f>
        <v>0.0480093434494645</v>
      </c>
      <c r="E628" s="15" t="n">
        <f aca="false">'Raw Data'!I625</f>
        <v>0.0480093434494645</v>
      </c>
      <c r="F628" s="17" t="b">
        <f aca="false">'Raw Data'!S625</f>
        <v>0</v>
      </c>
    </row>
    <row r="629" customFormat="false" ht="15" hidden="false" customHeight="true" outlineLevel="0" collapsed="false">
      <c r="A629" s="12" t="n">
        <f aca="false">'Raw Data'!A626</f>
        <v>42262</v>
      </c>
      <c r="B629" s="32" t="n">
        <f aca="false">'Raw Data'!E626</f>
        <v>39.2329535149963</v>
      </c>
      <c r="C629" s="32" t="n">
        <f aca="false">'Raw Data'!F626</f>
        <v>37.3861288497748</v>
      </c>
      <c r="D629" s="15" t="n">
        <f aca="false">'Raw Data'!H626</f>
        <v>0.0470733018995261</v>
      </c>
      <c r="E629" s="15" t="n">
        <f aca="false">'Raw Data'!I626</f>
        <v>0.0470733018995261</v>
      </c>
      <c r="F629" s="17" t="b">
        <f aca="false">'Raw Data'!S626</f>
        <v>0</v>
      </c>
    </row>
    <row r="630" customFormat="false" ht="15" hidden="false" customHeight="true" outlineLevel="0" collapsed="false">
      <c r="A630" s="12" t="n">
        <f aca="false">'Raw Data'!A627</f>
        <v>42263</v>
      </c>
      <c r="B630" s="32" t="n">
        <f aca="false">'Raw Data'!E627</f>
        <v>39.0617282745344</v>
      </c>
      <c r="C630" s="32" t="n">
        <f aca="false">'Raw Data'!F627</f>
        <v>37.0057707601731</v>
      </c>
      <c r="D630" s="15" t="n">
        <f aca="false">'Raw Data'!H627</f>
        <v>0.0526335522051561</v>
      </c>
      <c r="E630" s="15" t="n">
        <f aca="false">'Raw Data'!I627</f>
        <v>0.0526335522051561</v>
      </c>
      <c r="F630" s="17" t="b">
        <f aca="false">'Raw Data'!S627</f>
        <v>0</v>
      </c>
    </row>
    <row r="631" customFormat="false" ht="15" hidden="false" customHeight="true" outlineLevel="0" collapsed="false">
      <c r="A631" s="12" t="n">
        <f aca="false">'Raw Data'!A628</f>
        <v>42264</v>
      </c>
      <c r="B631" s="32" t="n">
        <f aca="false">'Raw Data'!E628</f>
        <v>39.1463455336252</v>
      </c>
      <c r="C631" s="32" t="n">
        <f aca="false">'Raw Data'!F628</f>
        <v>36.9529409583738</v>
      </c>
      <c r="D631" s="15" t="n">
        <f aca="false">'Raw Data'!H628</f>
        <v>0.0560308898660113</v>
      </c>
      <c r="E631" s="15" t="n">
        <f aca="false">'Raw Data'!I628</f>
        <v>0.0560308898660112</v>
      </c>
      <c r="F631" s="17" t="b">
        <f aca="false">'Raw Data'!S628</f>
        <v>0</v>
      </c>
    </row>
    <row r="632" customFormat="false" ht="15" hidden="false" customHeight="true" outlineLevel="0" collapsed="false">
      <c r="A632" s="12" t="n">
        <f aca="false">'Raw Data'!A629</f>
        <v>42265</v>
      </c>
      <c r="B632" s="32" t="n">
        <f aca="false">'Raw Data'!E629</f>
        <v>39.0339825854902</v>
      </c>
      <c r="C632" s="32" t="n">
        <f aca="false">'Raw Data'!F629</f>
        <v>36.9697866941635</v>
      </c>
      <c r="D632" s="15" t="n">
        <f aca="false">'Raw Data'!H629</f>
        <v>0.0528820211159815</v>
      </c>
      <c r="E632" s="15" t="n">
        <f aca="false">'Raw Data'!I629</f>
        <v>0.0528820211159816</v>
      </c>
      <c r="F632" s="17" t="b">
        <f aca="false">'Raw Data'!S629</f>
        <v>0</v>
      </c>
    </row>
    <row r="633" customFormat="false" ht="15" hidden="false" customHeight="true" outlineLevel="0" collapsed="false">
      <c r="A633" s="12" t="n">
        <f aca="false">'Raw Data'!A630</f>
        <v>42266</v>
      </c>
      <c r="B633" s="32" t="n">
        <f aca="false">'Raw Data'!E630</f>
        <v>39.0694007685677</v>
      </c>
      <c r="C633" s="32" t="n">
        <f aca="false">'Raw Data'!F630</f>
        <v>36.9261448306575</v>
      </c>
      <c r="D633" s="15" t="n">
        <f aca="false">'Raw Data'!H630</f>
        <v>0.0548576608739396</v>
      </c>
      <c r="E633" s="15" t="n">
        <f aca="false">'Raw Data'!I630</f>
        <v>0.0548576608739396</v>
      </c>
      <c r="F633" s="17" t="b">
        <f aca="false">'Raw Data'!S630</f>
        <v>0</v>
      </c>
    </row>
    <row r="634" customFormat="false" ht="15" hidden="false" customHeight="true" outlineLevel="0" collapsed="false">
      <c r="A634" s="12" t="n">
        <f aca="false">'Raw Data'!A631</f>
        <v>42267</v>
      </c>
      <c r="B634" s="32" t="n">
        <f aca="false">'Raw Data'!E631</f>
        <v>38.8273921701301</v>
      </c>
      <c r="C634" s="32" t="n">
        <f aca="false">'Raw Data'!F631</f>
        <v>36.7620147238196</v>
      </c>
      <c r="D634" s="15" t="n">
        <f aca="false">'Raw Data'!H631</f>
        <v>0.0531938235063692</v>
      </c>
      <c r="E634" s="15" t="n">
        <f aca="false">'Raw Data'!I631</f>
        <v>0.0531938235063691</v>
      </c>
      <c r="F634" s="17" t="b">
        <f aca="false">'Raw Data'!S631</f>
        <v>0</v>
      </c>
    </row>
    <row r="635" customFormat="false" ht="15" hidden="false" customHeight="true" outlineLevel="0" collapsed="false">
      <c r="A635" s="12" t="n">
        <f aca="false">'Raw Data'!A632</f>
        <v>42268</v>
      </c>
      <c r="B635" s="32" t="n">
        <f aca="false">'Raw Data'!E632</f>
        <v>39.4158954500892</v>
      </c>
      <c r="C635" s="32" t="n">
        <f aca="false">'Raw Data'!F632</f>
        <v>36.9087711021365</v>
      </c>
      <c r="D635" s="15" t="n">
        <f aca="false">'Raw Data'!H632</f>
        <v>0.0636069362201191</v>
      </c>
      <c r="E635" s="15" t="n">
        <f aca="false">'Raw Data'!I632</f>
        <v>0.0636069362201191</v>
      </c>
      <c r="F635" s="17" t="b">
        <f aca="false">'Raw Data'!S632</f>
        <v>0</v>
      </c>
    </row>
    <row r="636" customFormat="false" ht="15" hidden="false" customHeight="true" outlineLevel="0" collapsed="false">
      <c r="A636" s="12" t="n">
        <f aca="false">'Raw Data'!A633</f>
        <v>42269</v>
      </c>
      <c r="B636" s="32" t="n">
        <f aca="false">'Raw Data'!E633</f>
        <v>39.4241100937481</v>
      </c>
      <c r="C636" s="32" t="n">
        <f aca="false">'Raw Data'!F633</f>
        <v>37.0615330037529</v>
      </c>
      <c r="D636" s="15" t="n">
        <f aca="false">'Raw Data'!H633</f>
        <v>0.059927214193983</v>
      </c>
      <c r="E636" s="15" t="n">
        <f aca="false">'Raw Data'!I633</f>
        <v>0.0599272141939829</v>
      </c>
      <c r="F636" s="17" t="b">
        <f aca="false">'Raw Data'!S633</f>
        <v>0</v>
      </c>
    </row>
    <row r="637" customFormat="false" ht="15" hidden="false" customHeight="true" outlineLevel="0" collapsed="false">
      <c r="A637" s="12" t="n">
        <f aca="false">'Raw Data'!A634</f>
        <v>42270</v>
      </c>
      <c r="B637" s="32" t="n">
        <f aca="false">'Raw Data'!E634</f>
        <v>33.6061093061336</v>
      </c>
      <c r="C637" s="32" t="n">
        <f aca="false">'Raw Data'!F634</f>
        <v>37.203714849991</v>
      </c>
      <c r="D637" s="15" t="n">
        <f aca="false">'Raw Data'!H634</f>
        <v>-0.107052128858035</v>
      </c>
      <c r="E637" s="15" t="n">
        <f aca="false">'Raw Data'!I634</f>
        <v>-0.107052128858035</v>
      </c>
      <c r="F637" s="17" t="b">
        <f aca="false">'Raw Data'!S634</f>
        <v>1</v>
      </c>
    </row>
    <row r="638" customFormat="false" ht="15" hidden="false" customHeight="true" outlineLevel="0" collapsed="false">
      <c r="A638" s="12" t="n">
        <f aca="false">'Raw Data'!A635</f>
        <v>42271</v>
      </c>
      <c r="B638" s="32" t="n">
        <f aca="false">'Raw Data'!E635</f>
        <v>33.4008915943049</v>
      </c>
      <c r="C638" s="32" t="n">
        <f aca="false">'Raw Data'!F635</f>
        <v>37.3341174102346</v>
      </c>
      <c r="D638" s="15" t="n">
        <f aca="false">'Raw Data'!H635</f>
        <v>-0.11775810848715</v>
      </c>
      <c r="E638" s="15" t="n">
        <f aca="false">'Raw Data'!I635</f>
        <v>-0.11775810848715</v>
      </c>
      <c r="F638" s="17" t="b">
        <f aca="false">'Raw Data'!S635</f>
        <v>1</v>
      </c>
    </row>
    <row r="639" customFormat="false" ht="15" hidden="false" customHeight="true" outlineLevel="0" collapsed="false">
      <c r="A639" s="12" t="n">
        <f aca="false">'Raw Data'!A636</f>
        <v>42272</v>
      </c>
      <c r="B639" s="32" t="n">
        <f aca="false">'Raw Data'!E636</f>
        <v>33.3669711645203</v>
      </c>
      <c r="C639" s="32" t="n">
        <f aca="false">'Raw Data'!F636</f>
        <v>37.4923669233298</v>
      </c>
      <c r="D639" s="15" t="n">
        <f aca="false">'Raw Data'!H636</f>
        <v>-0.123637106241041</v>
      </c>
      <c r="E639" s="15" t="n">
        <f aca="false">'Raw Data'!I636</f>
        <v>-0.123637106241041</v>
      </c>
      <c r="F639" s="17" t="b">
        <f aca="false">'Raw Data'!S636</f>
        <v>1</v>
      </c>
    </row>
    <row r="640" customFormat="false" ht="15" hidden="false" customHeight="true" outlineLevel="0" collapsed="false">
      <c r="A640" s="12" t="n">
        <f aca="false">'Raw Data'!A637</f>
        <v>42273</v>
      </c>
      <c r="B640" s="32" t="n">
        <f aca="false">'Raw Data'!E637</f>
        <v>33.3700264123366</v>
      </c>
      <c r="C640" s="32" t="n">
        <f aca="false">'Raw Data'!F637</f>
        <v>37.7684826233336</v>
      </c>
      <c r="D640" s="15" t="n">
        <f aca="false">'Raw Data'!H637</f>
        <v>-0.131808592437039</v>
      </c>
      <c r="E640" s="15" t="n">
        <f aca="false">'Raw Data'!I637</f>
        <v>-0.131808592437039</v>
      </c>
      <c r="F640" s="17" t="b">
        <f aca="false">'Raw Data'!S637</f>
        <v>1</v>
      </c>
    </row>
    <row r="641" customFormat="false" ht="15" hidden="false" customHeight="true" outlineLevel="0" collapsed="false">
      <c r="A641" s="12" t="n">
        <f aca="false">'Raw Data'!A638</f>
        <v>42274</v>
      </c>
      <c r="B641" s="32" t="n">
        <f aca="false">'Raw Data'!E638</f>
        <v>33.3585161734022</v>
      </c>
      <c r="C641" s="32" t="n">
        <f aca="false">'Raw Data'!F638</f>
        <v>37.8762091952013</v>
      </c>
      <c r="D641" s="15" t="n">
        <f aca="false">'Raw Data'!H638</f>
        <v>-0.135428476444079</v>
      </c>
      <c r="E641" s="15" t="n">
        <f aca="false">'Raw Data'!I638</f>
        <v>-0.135428476444079</v>
      </c>
      <c r="F641" s="17" t="b">
        <f aca="false">'Raw Data'!S638</f>
        <v>1</v>
      </c>
    </row>
    <row r="642" customFormat="false" ht="15" hidden="false" customHeight="true" outlineLevel="0" collapsed="false">
      <c r="A642" s="12" t="n">
        <f aca="false">'Raw Data'!A639</f>
        <v>42275</v>
      </c>
      <c r="B642" s="32" t="n">
        <f aca="false">'Raw Data'!E639</f>
        <v>33.3728075153106</v>
      </c>
      <c r="C642" s="32" t="n">
        <f aca="false">'Raw Data'!F639</f>
        <v>37.862073342913</v>
      </c>
      <c r="D642" s="15" t="n">
        <f aca="false">'Raw Data'!H639</f>
        <v>-0.134518674389107</v>
      </c>
      <c r="E642" s="15" t="n">
        <f aca="false">'Raw Data'!I639</f>
        <v>-0.134518674389107</v>
      </c>
      <c r="F642" s="17" t="b">
        <f aca="false">'Raw Data'!S639</f>
        <v>1</v>
      </c>
    </row>
    <row r="643" customFormat="false" ht="15" hidden="false" customHeight="true" outlineLevel="0" collapsed="false">
      <c r="A643" s="12" t="n">
        <f aca="false">'Raw Data'!A640</f>
        <v>42276</v>
      </c>
      <c r="B643" s="32" t="n">
        <f aca="false">'Raw Data'!E640</f>
        <v>33.3680348101137</v>
      </c>
      <c r="C643" s="32" t="n">
        <f aca="false">'Raw Data'!F640</f>
        <v>37.9965061735897</v>
      </c>
      <c r="D643" s="15" t="n">
        <f aca="false">'Raw Data'!H640</f>
        <v>-0.13870973792179</v>
      </c>
      <c r="E643" s="15" t="n">
        <f aca="false">'Raw Data'!I640</f>
        <v>-0.13870973792179</v>
      </c>
      <c r="F643" s="17" t="b">
        <f aca="false">'Raw Data'!S640</f>
        <v>1</v>
      </c>
    </row>
    <row r="644" customFormat="false" ht="15" hidden="false" customHeight="true" outlineLevel="0" collapsed="false">
      <c r="A644" s="12" t="n">
        <f aca="false">'Raw Data'!A641</f>
        <v>42277</v>
      </c>
      <c r="B644" s="32" t="n">
        <f aca="false">'Raw Data'!E641</f>
        <v>33.3796332757731</v>
      </c>
      <c r="C644" s="32" t="n">
        <f aca="false">'Raw Data'!F641</f>
        <v>38.0104081201759</v>
      </c>
      <c r="D644" s="15" t="n">
        <f aca="false">'Raw Data'!H641</f>
        <v>-0.138730548839306</v>
      </c>
      <c r="E644" s="15" t="n">
        <f aca="false">'Raw Data'!I641</f>
        <v>-0.138730548839306</v>
      </c>
      <c r="F644" s="17" t="b">
        <f aca="false">'Raw Data'!S641</f>
        <v>1</v>
      </c>
    </row>
    <row r="645" customFormat="false" ht="15" hidden="false" customHeight="true" outlineLevel="0" collapsed="false">
      <c r="A645" s="12" t="n">
        <f aca="false">'Raw Data'!A642</f>
        <v>42278</v>
      </c>
      <c r="B645" s="32" t="n">
        <f aca="false">'Raw Data'!E642</f>
        <v>33.345406809693</v>
      </c>
      <c r="C645" s="32" t="n">
        <f aca="false">'Raw Data'!F642</f>
        <v>38.0676174493168</v>
      </c>
      <c r="D645" s="15" t="n">
        <f aca="false">'Raw Data'!H642</f>
        <v>-0.141615025618792</v>
      </c>
      <c r="E645" s="15" t="n">
        <f aca="false">'Raw Data'!I642</f>
        <v>-0.141615025618792</v>
      </c>
      <c r="F645" s="17" t="b">
        <f aca="false">'Raw Data'!S642</f>
        <v>1</v>
      </c>
    </row>
    <row r="646" customFormat="false" ht="15" hidden="false" customHeight="true" outlineLevel="0" collapsed="false">
      <c r="A646" s="12" t="n">
        <f aca="false">'Raw Data'!A643</f>
        <v>42279</v>
      </c>
      <c r="B646" s="32" t="n">
        <f aca="false">'Raw Data'!E643</f>
        <v>33.4780723639134</v>
      </c>
      <c r="C646" s="32" t="n">
        <f aca="false">'Raw Data'!F643</f>
        <v>38.1349690221104</v>
      </c>
      <c r="D646" s="15" t="n">
        <f aca="false">'Raw Data'!H643</f>
        <v>-0.13910289121714</v>
      </c>
      <c r="E646" s="15" t="n">
        <f aca="false">'Raw Data'!I643</f>
        <v>-0.13910289121714</v>
      </c>
      <c r="F646" s="17" t="b">
        <f aca="false">'Raw Data'!S643</f>
        <v>1</v>
      </c>
    </row>
    <row r="647" customFormat="false" ht="15" hidden="false" customHeight="true" outlineLevel="0" collapsed="false">
      <c r="A647" s="12" t="n">
        <f aca="false">'Raw Data'!A644</f>
        <v>42280</v>
      </c>
      <c r="B647" s="32" t="n">
        <f aca="false">'Raw Data'!E644</f>
        <v>33.3950296177715</v>
      </c>
      <c r="C647" s="32" t="n">
        <f aca="false">'Raw Data'!F644</f>
        <v>38.1662266742844</v>
      </c>
      <c r="D647" s="15" t="n">
        <f aca="false">'Raw Data'!H644</f>
        <v>-0.142871472525179</v>
      </c>
      <c r="E647" s="15" t="n">
        <f aca="false">'Raw Data'!I644</f>
        <v>-0.142871472525178</v>
      </c>
      <c r="F647" s="17" t="b">
        <f aca="false">'Raw Data'!S644</f>
        <v>0</v>
      </c>
    </row>
    <row r="648" customFormat="false" ht="15" hidden="false" customHeight="true" outlineLevel="0" collapsed="false">
      <c r="A648" s="12" t="n">
        <f aca="false">'Raw Data'!A645</f>
        <v>42281</v>
      </c>
      <c r="B648" s="32" t="n">
        <f aca="false">'Raw Data'!E645</f>
        <v>33.3447206082704</v>
      </c>
      <c r="C648" s="32" t="n">
        <f aca="false">'Raw Data'!F645</f>
        <v>38.185756311502</v>
      </c>
      <c r="D648" s="15" t="n">
        <f aca="false">'Raw Data'!H645</f>
        <v>-0.145181474455986</v>
      </c>
      <c r="E648" s="15" t="n">
        <f aca="false">'Raw Data'!I645</f>
        <v>-0.145181474455986</v>
      </c>
      <c r="F648" s="17" t="b">
        <f aca="false">'Raw Data'!S645</f>
        <v>0</v>
      </c>
    </row>
    <row r="649" customFormat="false" ht="15" hidden="false" customHeight="true" outlineLevel="0" collapsed="false">
      <c r="A649" s="12" t="n">
        <f aca="false">'Raw Data'!A646</f>
        <v>42282</v>
      </c>
      <c r="B649" s="32" t="n">
        <f aca="false">'Raw Data'!E646</f>
        <v>33.366294332377</v>
      </c>
      <c r="C649" s="32" t="n">
        <f aca="false">'Raw Data'!F646</f>
        <v>38.1624289080659</v>
      </c>
      <c r="D649" s="15" t="n">
        <f aca="false">'Raw Data'!H646</f>
        <v>-0.143741900970854</v>
      </c>
      <c r="E649" s="15" t="n">
        <f aca="false">'Raw Data'!I646</f>
        <v>-0.143741900970854</v>
      </c>
      <c r="F649" s="17" t="b">
        <f aca="false">'Raw Data'!S646</f>
        <v>0</v>
      </c>
    </row>
    <row r="650" customFormat="false" ht="15" hidden="false" customHeight="true" outlineLevel="0" collapsed="false">
      <c r="A650" s="12" t="n">
        <f aca="false">'Raw Data'!A647</f>
        <v>42283</v>
      </c>
      <c r="B650" s="32" t="n">
        <f aca="false">'Raw Data'!E647</f>
        <v>33.3963725508635</v>
      </c>
      <c r="C650" s="32" t="n">
        <f aca="false">'Raw Data'!F647</f>
        <v>38.1692378369625</v>
      </c>
      <c r="D650" s="15" t="n">
        <f aca="false">'Raw Data'!H647</f>
        <v>-0.14291567980414</v>
      </c>
      <c r="E650" s="15" t="n">
        <f aca="false">'Raw Data'!I647</f>
        <v>-0.14291567980414</v>
      </c>
      <c r="F650" s="17" t="b">
        <f aca="false">'Raw Data'!S647</f>
        <v>0</v>
      </c>
    </row>
    <row r="651" customFormat="false" ht="15" hidden="false" customHeight="true" outlineLevel="0" collapsed="false">
      <c r="A651" s="12" t="n">
        <f aca="false">'Raw Data'!A648</f>
        <v>42284</v>
      </c>
      <c r="B651" s="32" t="n">
        <f aca="false">'Raw Data'!E648</f>
        <v>39.4379670038134</v>
      </c>
      <c r="C651" s="32" t="n">
        <f aca="false">'Raw Data'!F648</f>
        <v>38.1891755103247</v>
      </c>
      <c r="D651" s="15" t="n">
        <f aca="false">'Raw Data'!H648</f>
        <v>0.0316647025280991</v>
      </c>
      <c r="E651" s="15" t="n">
        <f aca="false">'Raw Data'!I648</f>
        <v>0.0316647025280991</v>
      </c>
      <c r="F651" s="17" t="b">
        <f aca="false">'Raw Data'!S648</f>
        <v>0</v>
      </c>
    </row>
    <row r="652" customFormat="false" ht="15" hidden="false" customHeight="true" outlineLevel="0" collapsed="false">
      <c r="A652" s="12" t="n">
        <f aca="false">'Raw Data'!A649</f>
        <v>42285</v>
      </c>
      <c r="B652" s="32" t="n">
        <f aca="false">'Raw Data'!E649</f>
        <v>39.4243020537569</v>
      </c>
      <c r="C652" s="32" t="n">
        <f aca="false">'Raw Data'!F649</f>
        <v>38.1855004361528</v>
      </c>
      <c r="D652" s="15" t="n">
        <f aca="false">'Raw Data'!H649</f>
        <v>0.0314222840499479</v>
      </c>
      <c r="E652" s="15" t="n">
        <f aca="false">'Raw Data'!I649</f>
        <v>0.031422284049948</v>
      </c>
      <c r="F652" s="17" t="b">
        <f aca="false">'Raw Data'!S649</f>
        <v>0</v>
      </c>
    </row>
    <row r="653" customFormat="false" ht="15" hidden="false" customHeight="true" outlineLevel="0" collapsed="false">
      <c r="A653" s="12" t="n">
        <f aca="false">'Raw Data'!A650</f>
        <v>42286</v>
      </c>
      <c r="B653" s="32" t="n">
        <f aca="false">'Raw Data'!E650</f>
        <v>39.4233114215249</v>
      </c>
      <c r="C653" s="32" t="n">
        <f aca="false">'Raw Data'!F650</f>
        <v>38.1882164792247</v>
      </c>
      <c r="D653" s="15" t="n">
        <f aca="false">'Raw Data'!H650</f>
        <v>0.0313290512076533</v>
      </c>
      <c r="E653" s="15" t="n">
        <f aca="false">'Raw Data'!I650</f>
        <v>0.0313290512076535</v>
      </c>
      <c r="F653" s="17" t="b">
        <f aca="false">'Raw Data'!S650</f>
        <v>0</v>
      </c>
    </row>
    <row r="654" customFormat="false" ht="15" hidden="false" customHeight="true" outlineLevel="0" collapsed="false">
      <c r="A654" s="12" t="n">
        <f aca="false">'Raw Data'!A651</f>
        <v>42287</v>
      </c>
      <c r="B654" s="32" t="n">
        <f aca="false">'Raw Data'!E651</f>
        <v>39.4320090847813</v>
      </c>
      <c r="C654" s="32" t="n">
        <f aca="false">'Raw Data'!F651</f>
        <v>38.1968017496297</v>
      </c>
      <c r="D654" s="15" t="n">
        <f aca="false">'Raw Data'!H651</f>
        <v>0.031324991138439</v>
      </c>
      <c r="E654" s="15" t="n">
        <f aca="false">'Raw Data'!I651</f>
        <v>0.0313249911384388</v>
      </c>
      <c r="F654" s="17" t="b">
        <f aca="false">'Raw Data'!S651</f>
        <v>0</v>
      </c>
    </row>
    <row r="655" customFormat="false" ht="15" hidden="false" customHeight="true" outlineLevel="0" collapsed="false">
      <c r="A655" s="12" t="n">
        <f aca="false">'Raw Data'!A652</f>
        <v>42288</v>
      </c>
      <c r="B655" s="32" t="n">
        <f aca="false">'Raw Data'!E652</f>
        <v>39.4322874190181</v>
      </c>
      <c r="C655" s="32" t="n">
        <f aca="false">'Raw Data'!F652</f>
        <v>38.1988905521495</v>
      </c>
      <c r="D655" s="15" t="n">
        <f aca="false">'Raw Data'!H652</f>
        <v>0.0312788566831585</v>
      </c>
      <c r="E655" s="15" t="n">
        <f aca="false">'Raw Data'!I652</f>
        <v>0.0312788566831587</v>
      </c>
      <c r="F655" s="17" t="b">
        <f aca="false">'Raw Data'!S652</f>
        <v>0</v>
      </c>
    </row>
    <row r="656" customFormat="false" ht="15" hidden="false" customHeight="true" outlineLevel="0" collapsed="false">
      <c r="A656" s="12" t="n">
        <f aca="false">'Raw Data'!A653</f>
        <v>42289</v>
      </c>
      <c r="B656" s="32" t="n">
        <f aca="false">'Raw Data'!E653</f>
        <v>39.4192061014371</v>
      </c>
      <c r="C656" s="32" t="n">
        <f aca="false">'Raw Data'!F653</f>
        <v>38.1795280381203</v>
      </c>
      <c r="D656" s="15" t="n">
        <f aca="false">'Raw Data'!H653</f>
        <v>0.0314485801699511</v>
      </c>
      <c r="E656" s="15" t="n">
        <f aca="false">'Raw Data'!I653</f>
        <v>0.031448580169951</v>
      </c>
      <c r="F656" s="17" t="b">
        <f aca="false">'Raw Data'!S653</f>
        <v>0</v>
      </c>
    </row>
    <row r="657" customFormat="false" ht="15" hidden="false" customHeight="true" outlineLevel="0" collapsed="false">
      <c r="A657" s="12" t="n">
        <f aca="false">'Raw Data'!A654</f>
        <v>42290</v>
      </c>
      <c r="B657" s="32" t="n">
        <f aca="false">'Raw Data'!E654</f>
        <v>39.4310609376771</v>
      </c>
      <c r="C657" s="32" t="n">
        <f aca="false">'Raw Data'!F654</f>
        <v>38.1936035773933</v>
      </c>
      <c r="D657" s="15" t="n">
        <f aca="false">'Raw Data'!H654</f>
        <v>0.0313828066213988</v>
      </c>
      <c r="E657" s="15" t="n">
        <f aca="false">'Raw Data'!I654</f>
        <v>0.0313828066213989</v>
      </c>
      <c r="F657" s="17" t="b">
        <f aca="false">'Raw Data'!S654</f>
        <v>0</v>
      </c>
    </row>
    <row r="658" customFormat="false" ht="15" hidden="false" customHeight="true" outlineLevel="0" collapsed="false">
      <c r="A658" s="12" t="n">
        <f aca="false">'Raw Data'!A655</f>
        <v>42291</v>
      </c>
      <c r="B658" s="32" t="n">
        <f aca="false">'Raw Data'!E655</f>
        <v>39.4353433316358</v>
      </c>
      <c r="C658" s="32" t="n">
        <f aca="false">'Raw Data'!F655</f>
        <v>38.1955602544552</v>
      </c>
      <c r="D658" s="15" t="n">
        <f aca="false">'Raw Data'!H655</f>
        <v>0.0314383741192377</v>
      </c>
      <c r="E658" s="15" t="n">
        <f aca="false">'Raw Data'!I655</f>
        <v>0.0314383741192378</v>
      </c>
      <c r="F658" s="17" t="b">
        <f aca="false">'Raw Data'!S655</f>
        <v>0</v>
      </c>
    </row>
    <row r="659" customFormat="false" ht="15" hidden="false" customHeight="true" outlineLevel="0" collapsed="false">
      <c r="A659" s="12" t="n">
        <f aca="false">'Raw Data'!A656</f>
        <v>42292</v>
      </c>
      <c r="B659" s="32" t="n">
        <f aca="false">'Raw Data'!E656</f>
        <v>39.4184211240902</v>
      </c>
      <c r="C659" s="32" t="n">
        <f aca="false">'Raw Data'!F656</f>
        <v>38.1718245419313</v>
      </c>
      <c r="D659" s="15" t="n">
        <f aca="false">'Raw Data'!H656</f>
        <v>0.0316247213005952</v>
      </c>
      <c r="E659" s="15" t="n">
        <f aca="false">'Raw Data'!I656</f>
        <v>0.0316247213005951</v>
      </c>
      <c r="F659" s="17" t="b">
        <f aca="false">'Raw Data'!S656</f>
        <v>0</v>
      </c>
    </row>
    <row r="660" customFormat="false" ht="15" hidden="false" customHeight="true" outlineLevel="0" collapsed="false">
      <c r="A660" s="12" t="n">
        <f aca="false">'Raw Data'!A657</f>
        <v>42293</v>
      </c>
      <c r="B660" s="32" t="n">
        <f aca="false">'Raw Data'!E657</f>
        <v>39.433920215508</v>
      </c>
      <c r="C660" s="32" t="n">
        <f aca="false">'Raw Data'!F657</f>
        <v>38.1964343470188</v>
      </c>
      <c r="D660" s="15" t="n">
        <f aca="false">'Raw Data'!H657</f>
        <v>0.0313812540504789</v>
      </c>
      <c r="E660" s="15" t="n">
        <f aca="false">'Raw Data'!I657</f>
        <v>0.0313812540504789</v>
      </c>
      <c r="F660" s="17" t="b">
        <f aca="false">'Raw Data'!S657</f>
        <v>0</v>
      </c>
    </row>
    <row r="661" customFormat="false" ht="15" hidden="false" customHeight="true" outlineLevel="0" collapsed="false">
      <c r="A661" s="12" t="n">
        <f aca="false">'Raw Data'!A658</f>
        <v>42294</v>
      </c>
      <c r="B661" s="32" t="n">
        <f aca="false">'Raw Data'!E658</f>
        <v>39.4227689889016</v>
      </c>
      <c r="C661" s="32" t="n">
        <f aca="false">'Raw Data'!F658</f>
        <v>38.1843787005731</v>
      </c>
      <c r="D661" s="15" t="n">
        <f aca="false">'Raw Data'!H658</f>
        <v>0.0314130721938159</v>
      </c>
      <c r="E661" s="15" t="n">
        <f aca="false">'Raw Data'!I658</f>
        <v>0.0314130721938158</v>
      </c>
      <c r="F661" s="17" t="b">
        <f aca="false">'Raw Data'!S658</f>
        <v>0</v>
      </c>
    </row>
    <row r="662" customFormat="false" ht="15" hidden="false" customHeight="true" outlineLevel="0" collapsed="false">
      <c r="A662" s="12" t="n">
        <f aca="false">'Raw Data'!A659</f>
        <v>42295</v>
      </c>
      <c r="B662" s="32" t="n">
        <f aca="false">'Raw Data'!E659</f>
        <v>39.425272688695</v>
      </c>
      <c r="C662" s="32" t="n">
        <f aca="false">'Raw Data'!F659</f>
        <v>38.1921283163939</v>
      </c>
      <c r="D662" s="15" t="n">
        <f aca="false">'Raw Data'!H659</f>
        <v>0.0312780175812141</v>
      </c>
      <c r="E662" s="15" t="n">
        <f aca="false">'Raw Data'!I659</f>
        <v>0.0312780175812142</v>
      </c>
      <c r="F662" s="17" t="b">
        <f aca="false">'Raw Data'!S659</f>
        <v>0</v>
      </c>
    </row>
    <row r="663" customFormat="false" ht="15" hidden="false" customHeight="true" outlineLevel="0" collapsed="false">
      <c r="A663" s="12" t="n">
        <f aca="false">'Raw Data'!A660</f>
        <v>42296</v>
      </c>
      <c r="B663" s="32" t="n">
        <f aca="false">'Raw Data'!E660</f>
        <v>39.4326134582454</v>
      </c>
      <c r="C663" s="32" t="n">
        <f aca="false">'Raw Data'!F660</f>
        <v>38.1964954201464</v>
      </c>
      <c r="D663" s="15" t="n">
        <f aca="false">'Raw Data'!H660</f>
        <v>0.0313476061993179</v>
      </c>
      <c r="E663" s="15" t="n">
        <f aca="false">'Raw Data'!I660</f>
        <v>0.0313476061993179</v>
      </c>
      <c r="F663" s="17" t="b">
        <f aca="false">'Raw Data'!S660</f>
        <v>0</v>
      </c>
    </row>
    <row r="664" customFormat="false" ht="15" hidden="false" customHeight="true" outlineLevel="0" collapsed="false">
      <c r="A664" s="12" t="n">
        <f aca="false">'Raw Data'!A661</f>
        <v>42297</v>
      </c>
      <c r="B664" s="32" t="n">
        <f aca="false">'Raw Data'!E661</f>
        <v>39.4139460843067</v>
      </c>
      <c r="C664" s="32" t="n">
        <f aca="false">'Raw Data'!F661</f>
        <v>38.178210380124</v>
      </c>
      <c r="D664" s="15" t="n">
        <f aca="false">'Raw Data'!H661</f>
        <v>0.0313527526916357</v>
      </c>
      <c r="E664" s="15" t="n">
        <f aca="false">'Raw Data'!I661</f>
        <v>0.0313527526916357</v>
      </c>
      <c r="F664" s="17" t="b">
        <f aca="false">'Raw Data'!S661</f>
        <v>0</v>
      </c>
    </row>
    <row r="665" customFormat="false" ht="15" hidden="false" customHeight="true" outlineLevel="0" collapsed="false">
      <c r="A665" s="12" t="n">
        <f aca="false">'Raw Data'!A662</f>
        <v>42298</v>
      </c>
      <c r="B665" s="32" t="n">
        <f aca="false">'Raw Data'!E662</f>
        <v>39.4402491618518</v>
      </c>
      <c r="C665" s="32" t="n">
        <f aca="false">'Raw Data'!F662</f>
        <v>38.2070983601731</v>
      </c>
      <c r="D665" s="15" t="n">
        <f aca="false">'Raw Data'!H662</f>
        <v>0.0312663035321651</v>
      </c>
      <c r="E665" s="15" t="n">
        <f aca="false">'Raw Data'!I662</f>
        <v>0.0312663035321651</v>
      </c>
      <c r="F665" s="17" t="b">
        <f aca="false">'Raw Data'!S662</f>
        <v>0</v>
      </c>
    </row>
    <row r="666" customFormat="false" ht="15" hidden="false" customHeight="true" outlineLevel="0" collapsed="false">
      <c r="A666" s="12" t="n">
        <f aca="false">'Raw Data'!A663</f>
        <v>42299</v>
      </c>
      <c r="B666" s="32" t="n">
        <f aca="false">'Raw Data'!E663</f>
        <v>39.415199889433</v>
      </c>
      <c r="C666" s="32" t="n">
        <f aca="false">'Raw Data'!F663</f>
        <v>38.1801903184477</v>
      </c>
      <c r="D666" s="15" t="n">
        <f aca="false">'Raw Data'!H663</f>
        <v>0.0313333326850976</v>
      </c>
      <c r="E666" s="15" t="n">
        <f aca="false">'Raw Data'!I663</f>
        <v>0.0313333326850975</v>
      </c>
      <c r="F666" s="17" t="b">
        <f aca="false">'Raw Data'!S663</f>
        <v>0</v>
      </c>
    </row>
    <row r="667" customFormat="false" ht="15" hidden="false" customHeight="true" outlineLevel="0" collapsed="false">
      <c r="A667" s="12" t="n">
        <f aca="false">'Raw Data'!A664</f>
        <v>42300</v>
      </c>
      <c r="B667" s="32" t="n">
        <f aca="false">'Raw Data'!E664</f>
        <v>36.8447047725235</v>
      </c>
      <c r="C667" s="32" t="n">
        <f aca="false">'Raw Data'!F664</f>
        <v>38.1846511324718</v>
      </c>
      <c r="D667" s="15" t="n">
        <f aca="false">'Raw Data'!H664</f>
        <v>-0.0363674066116419</v>
      </c>
      <c r="E667" s="15" t="n">
        <f aca="false">'Raw Data'!I664</f>
        <v>-0.0363674066116421</v>
      </c>
      <c r="F667" s="17" t="b">
        <f aca="false">'Raw Data'!S664</f>
        <v>1</v>
      </c>
    </row>
    <row r="668" customFormat="false" ht="15" hidden="false" customHeight="true" outlineLevel="0" collapsed="false">
      <c r="A668" s="12" t="n">
        <f aca="false">'Raw Data'!A665</f>
        <v>42301</v>
      </c>
      <c r="B668" s="32" t="n">
        <f aca="false">'Raw Data'!E665</f>
        <v>36.8330781720809</v>
      </c>
      <c r="C668" s="32" t="n">
        <f aca="false">'Raw Data'!F665</f>
        <v>38.1853273316234</v>
      </c>
      <c r="D668" s="15" t="n">
        <f aca="false">'Raw Data'!H665</f>
        <v>-0.0367129011923714</v>
      </c>
      <c r="E668" s="15" t="n">
        <f aca="false">'Raw Data'!I665</f>
        <v>-0.0367129011923715</v>
      </c>
      <c r="F668" s="17" t="b">
        <f aca="false">'Raw Data'!S665</f>
        <v>1</v>
      </c>
    </row>
    <row r="669" customFormat="false" ht="15" hidden="false" customHeight="true" outlineLevel="0" collapsed="false">
      <c r="A669" s="12" t="n">
        <f aca="false">'Raw Data'!A666</f>
        <v>42302</v>
      </c>
      <c r="B669" s="32" t="n">
        <f aca="false">'Raw Data'!E666</f>
        <v>36.8609240839506</v>
      </c>
      <c r="C669" s="32" t="n">
        <f aca="false">'Raw Data'!F666</f>
        <v>38.1961675006179</v>
      </c>
      <c r="D669" s="15" t="n">
        <f aca="false">'Raw Data'!H666</f>
        <v>-0.0362238183076021</v>
      </c>
      <c r="E669" s="15" t="n">
        <f aca="false">'Raw Data'!I666</f>
        <v>-0.0362238183076021</v>
      </c>
      <c r="F669" s="17" t="b">
        <f aca="false">'Raw Data'!S666</f>
        <v>1</v>
      </c>
    </row>
    <row r="670" customFormat="false" ht="15" hidden="false" customHeight="true" outlineLevel="0" collapsed="false">
      <c r="A670" s="12" t="n">
        <f aca="false">'Raw Data'!A667</f>
        <v>42303</v>
      </c>
      <c r="B670" s="32" t="n">
        <f aca="false">'Raw Data'!E667</f>
        <v>36.8451700156479</v>
      </c>
      <c r="C670" s="32" t="n">
        <f aca="false">'Raw Data'!F667</f>
        <v>38.2831725751035</v>
      </c>
      <c r="D670" s="15" t="n">
        <f aca="false">'Raw Data'!H667</f>
        <v>-0.039028251432815</v>
      </c>
      <c r="E670" s="15" t="n">
        <f aca="false">'Raw Data'!I667</f>
        <v>-0.0390282514328151</v>
      </c>
      <c r="F670" s="17" t="b">
        <f aca="false">'Raw Data'!S667</f>
        <v>1</v>
      </c>
    </row>
    <row r="671" customFormat="false" ht="15" hidden="false" customHeight="true" outlineLevel="0" collapsed="false">
      <c r="A671" s="12" t="n">
        <f aca="false">'Raw Data'!A668</f>
        <v>42304</v>
      </c>
      <c r="B671" s="32" t="n">
        <f aca="false">'Raw Data'!E668</f>
        <v>36.8433356044705</v>
      </c>
      <c r="C671" s="32" t="n">
        <f aca="false">'Raw Data'!F668</f>
        <v>38.4560907373943</v>
      </c>
      <c r="D671" s="15" t="n">
        <f aca="false">'Raw Data'!H668</f>
        <v>-0.0437733203702704</v>
      </c>
      <c r="E671" s="15" t="n">
        <f aca="false">'Raw Data'!I668</f>
        <v>-0.0437733203702703</v>
      </c>
      <c r="F671" s="17" t="b">
        <f aca="false">'Raw Data'!S668</f>
        <v>0</v>
      </c>
    </row>
    <row r="672" customFormat="false" ht="15" hidden="false" customHeight="true" outlineLevel="0" collapsed="false">
      <c r="A672" s="12" t="n">
        <f aca="false">'Raw Data'!A669</f>
        <v>42305</v>
      </c>
      <c r="B672" s="32" t="n">
        <f aca="false">'Raw Data'!E669</f>
        <v>35.1500417171007</v>
      </c>
      <c r="C672" s="32" t="n">
        <f aca="false">'Raw Data'!F669</f>
        <v>38.5478986592697</v>
      </c>
      <c r="D672" s="15" t="n">
        <f aca="false">'Raw Data'!H669</f>
        <v>-0.0966672235986555</v>
      </c>
      <c r="E672" s="15" t="n">
        <f aca="false">'Raw Data'!I669</f>
        <v>-0.0966672235986554</v>
      </c>
      <c r="F672" s="17" t="b">
        <f aca="false">'Raw Data'!S669</f>
        <v>1</v>
      </c>
    </row>
    <row r="673" customFormat="false" ht="15" hidden="false" customHeight="true" outlineLevel="0" collapsed="false">
      <c r="A673" s="12" t="n">
        <f aca="false">'Raw Data'!A670</f>
        <v>42306</v>
      </c>
      <c r="B673" s="32" t="n">
        <f aca="false">'Raw Data'!E670</f>
        <v>36.845376003684</v>
      </c>
      <c r="C673" s="32" t="n">
        <f aca="false">'Raw Data'!F670</f>
        <v>38.4863093436385</v>
      </c>
      <c r="D673" s="15" t="n">
        <f aca="false">'Raw Data'!H670</f>
        <v>-0.0445356654737469</v>
      </c>
      <c r="E673" s="15" t="n">
        <f aca="false">'Raw Data'!I670</f>
        <v>-0.044535665473747</v>
      </c>
      <c r="F673" s="17" t="b">
        <f aca="false">'Raw Data'!S670</f>
        <v>0</v>
      </c>
    </row>
    <row r="674" customFormat="false" ht="15" hidden="false" customHeight="true" outlineLevel="0" collapsed="false">
      <c r="A674" s="12" t="n">
        <f aca="false">'Raw Data'!A671</f>
        <v>42307</v>
      </c>
      <c r="B674" s="32" t="n">
        <f aca="false">'Raw Data'!E671</f>
        <v>36.8751745347866</v>
      </c>
      <c r="C674" s="32" t="n">
        <f aca="false">'Raw Data'!F671</f>
        <v>38.4979550789557</v>
      </c>
      <c r="D674" s="15" t="n">
        <f aca="false">'Raw Data'!H671</f>
        <v>-0.044007399683985</v>
      </c>
      <c r="E674" s="15" t="n">
        <f aca="false">'Raw Data'!I671</f>
        <v>-0.044007399683985</v>
      </c>
      <c r="F674" s="17" t="b">
        <f aca="false">'Raw Data'!S671</f>
        <v>0</v>
      </c>
    </row>
    <row r="675" customFormat="false" ht="15" hidden="false" customHeight="true" outlineLevel="0" collapsed="false">
      <c r="A675" s="12" t="n">
        <f aca="false">'Raw Data'!A672</f>
        <v>42308</v>
      </c>
      <c r="B675" s="32" t="n">
        <f aca="false">'Raw Data'!E672</f>
        <v>35.1324194997822</v>
      </c>
      <c r="C675" s="32" t="n">
        <f aca="false">'Raw Data'!F672</f>
        <v>38.5569460675283</v>
      </c>
      <c r="D675" s="15" t="n">
        <f aca="false">'Raw Data'!H672</f>
        <v>-0.0974748285630425</v>
      </c>
      <c r="E675" s="15" t="n">
        <f aca="false">'Raw Data'!I672</f>
        <v>-0.0974748285630425</v>
      </c>
      <c r="F675" s="17" t="b">
        <f aca="false">'Raw Data'!S672</f>
        <v>1</v>
      </c>
    </row>
    <row r="676" customFormat="false" ht="15" hidden="false" customHeight="true" outlineLevel="0" collapsed="false">
      <c r="A676" s="12" t="n">
        <f aca="false">'Raw Data'!A673</f>
        <v>42309</v>
      </c>
      <c r="B676" s="32" t="n">
        <f aca="false">'Raw Data'!E673</f>
        <v>36.8433808895094</v>
      </c>
      <c r="C676" s="32" t="n">
        <f aca="false">'Raw Data'!F673</f>
        <v>38.6081478632279</v>
      </c>
      <c r="D676" s="15" t="n">
        <f aca="false">'Raw Data'!H673</f>
        <v>-0.0478991593906894</v>
      </c>
      <c r="E676" s="15" t="n">
        <f aca="false">'Raw Data'!I673</f>
        <v>-0.0478991593906894</v>
      </c>
      <c r="F676" s="17" t="b">
        <f aca="false">'Raw Data'!S673</f>
        <v>0</v>
      </c>
    </row>
    <row r="677" customFormat="false" ht="15" hidden="false" customHeight="true" outlineLevel="0" collapsed="false">
      <c r="A677" s="12" t="n">
        <f aca="false">'Raw Data'!A674</f>
        <v>42310</v>
      </c>
      <c r="B677" s="32" t="n">
        <f aca="false">'Raw Data'!E674</f>
        <v>36.8445903664527</v>
      </c>
      <c r="C677" s="32" t="n">
        <f aca="false">'Raw Data'!F674</f>
        <v>38.5340612499493</v>
      </c>
      <c r="D677" s="15" t="n">
        <f aca="false">'Raw Data'!H674</f>
        <v>-0.045853973858667</v>
      </c>
      <c r="E677" s="15" t="n">
        <f aca="false">'Raw Data'!I674</f>
        <v>-0.0458539738586669</v>
      </c>
      <c r="F677" s="17" t="b">
        <f aca="false">'Raw Data'!S674</f>
        <v>0</v>
      </c>
    </row>
    <row r="678" customFormat="false" ht="15" hidden="false" customHeight="true" outlineLevel="0" collapsed="false">
      <c r="A678" s="12" t="n">
        <f aca="false">'Raw Data'!A675</f>
        <v>42311</v>
      </c>
      <c r="B678" s="32" t="n">
        <f aca="false">'Raw Data'!E675</f>
        <v>36.8453338351849</v>
      </c>
      <c r="C678" s="32" t="n">
        <f aca="false">'Raw Data'!F675</f>
        <v>38.5963875407184</v>
      </c>
      <c r="D678" s="15" t="n">
        <f aca="false">'Raw Data'!H675</f>
        <v>-0.0475244358855926</v>
      </c>
      <c r="E678" s="15" t="n">
        <f aca="false">'Raw Data'!I675</f>
        <v>-0.0475244358855928</v>
      </c>
      <c r="F678" s="17" t="b">
        <f aca="false">'Raw Data'!S675</f>
        <v>0</v>
      </c>
    </row>
    <row r="679" customFormat="false" ht="15" hidden="false" customHeight="true" outlineLevel="0" collapsed="false">
      <c r="A679" s="12" t="n">
        <f aca="false">'Raw Data'!A676</f>
        <v>42312</v>
      </c>
      <c r="B679" s="32" t="n">
        <f aca="false">'Raw Data'!E676</f>
        <v>35.1365882004888</v>
      </c>
      <c r="C679" s="32" t="n">
        <f aca="false">'Raw Data'!F676</f>
        <v>38.4889191346496</v>
      </c>
      <c r="D679" s="15" t="n">
        <f aca="false">'Raw Data'!H676</f>
        <v>-0.0954085500570653</v>
      </c>
      <c r="E679" s="15" t="n">
        <f aca="false">'Raw Data'!I676</f>
        <v>-0.0954085500570653</v>
      </c>
      <c r="F679" s="17" t="b">
        <f aca="false">'Raw Data'!S676</f>
        <v>0</v>
      </c>
    </row>
    <row r="680" customFormat="false" ht="15" hidden="false" customHeight="true" outlineLevel="0" collapsed="false">
      <c r="A680" s="12" t="n">
        <f aca="false">'Raw Data'!A677</f>
        <v>42313</v>
      </c>
      <c r="B680" s="32" t="n">
        <f aca="false">'Raw Data'!E677</f>
        <v>36.8493277249515</v>
      </c>
      <c r="C680" s="32" t="n">
        <f aca="false">'Raw Data'!F677</f>
        <v>38.4179955023989</v>
      </c>
      <c r="D680" s="15" t="n">
        <f aca="false">'Raw Data'!H677</f>
        <v>-0.0425697800827236</v>
      </c>
      <c r="E680" s="15" t="n">
        <f aca="false">'Raw Data'!I677</f>
        <v>-0.0425697800827234</v>
      </c>
      <c r="F680" s="17" t="b">
        <f aca="false">'Raw Data'!S677</f>
        <v>0</v>
      </c>
    </row>
    <row r="681" customFormat="false" ht="15" hidden="false" customHeight="true" outlineLevel="0" collapsed="false">
      <c r="A681" s="12" t="n">
        <f aca="false">'Raw Data'!A678</f>
        <v>42314</v>
      </c>
      <c r="B681" s="32" t="n">
        <f aca="false">'Raw Data'!E678</f>
        <v>36.8499369788471</v>
      </c>
      <c r="C681" s="32" t="n">
        <f aca="false">'Raw Data'!F678</f>
        <v>38.4298235518088</v>
      </c>
      <c r="D681" s="15" t="n">
        <f aca="false">'Raw Data'!H678</f>
        <v>-0.0428735217069333</v>
      </c>
      <c r="E681" s="15" t="n">
        <f aca="false">'Raw Data'!I678</f>
        <v>-0.0428735217069332</v>
      </c>
      <c r="F681" s="17" t="b">
        <f aca="false">'Raw Data'!S678</f>
        <v>0</v>
      </c>
    </row>
    <row r="682" customFormat="false" ht="15" hidden="false" customHeight="true" outlineLevel="0" collapsed="false">
      <c r="A682" s="12" t="n">
        <f aca="false">'Raw Data'!A679</f>
        <v>42315</v>
      </c>
      <c r="B682" s="32" t="n">
        <f aca="false">'Raw Data'!E679</f>
        <v>35.0900518924848</v>
      </c>
      <c r="C682" s="32" t="n">
        <f aca="false">'Raw Data'!F679</f>
        <v>38.4293427314152</v>
      </c>
      <c r="D682" s="15" t="n">
        <f aca="false">'Raw Data'!H679</f>
        <v>-0.0951634625437984</v>
      </c>
      <c r="E682" s="15" t="n">
        <f aca="false">'Raw Data'!I679</f>
        <v>-0.0951634625437985</v>
      </c>
      <c r="F682" s="17" t="b">
        <f aca="false">'Raw Data'!S679</f>
        <v>0</v>
      </c>
    </row>
    <row r="683" customFormat="false" ht="15" hidden="false" customHeight="true" outlineLevel="0" collapsed="false">
      <c r="A683" s="12" t="n">
        <f aca="false">'Raw Data'!A680</f>
        <v>42316</v>
      </c>
      <c r="B683" s="32" t="n">
        <f aca="false">'Raw Data'!E680</f>
        <v>36.8507496455906</v>
      </c>
      <c r="C683" s="32" t="n">
        <f aca="false">'Raw Data'!F680</f>
        <v>38.5264569505865</v>
      </c>
      <c r="D683" s="15" t="n">
        <f aca="false">'Raw Data'!H680</f>
        <v>-0.0454728145590486</v>
      </c>
      <c r="E683" s="15" t="n">
        <f aca="false">'Raw Data'!I680</f>
        <v>-0.0454728145590486</v>
      </c>
      <c r="F683" s="17" t="b">
        <f aca="false">'Raw Data'!S680</f>
        <v>0</v>
      </c>
    </row>
    <row r="684" customFormat="false" ht="15" hidden="false" customHeight="true" outlineLevel="0" collapsed="false">
      <c r="A684" s="12" t="n">
        <f aca="false">'Raw Data'!A681</f>
        <v>42317</v>
      </c>
      <c r="B684" s="32" t="n">
        <f aca="false">'Raw Data'!E681</f>
        <v>40.3094377792701</v>
      </c>
      <c r="C684" s="32" t="n">
        <f aca="false">'Raw Data'!F681</f>
        <v>38.4727562753966</v>
      </c>
      <c r="D684" s="15" t="n">
        <f aca="false">'Raw Data'!H681</f>
        <v>0.0455645527464556</v>
      </c>
      <c r="E684" s="15" t="n">
        <f aca="false">'Raw Data'!I681</f>
        <v>0.0455645527464555</v>
      </c>
      <c r="F684" s="17" t="b">
        <f aca="false">'Raw Data'!S681</f>
        <v>0</v>
      </c>
    </row>
    <row r="685" customFormat="false" ht="15" hidden="false" customHeight="true" outlineLevel="0" collapsed="false">
      <c r="A685" s="12" t="n">
        <f aca="false">'Raw Data'!A682</f>
        <v>42318</v>
      </c>
      <c r="B685" s="32" t="n">
        <f aca="false">'Raw Data'!E682</f>
        <v>35.1058220765856</v>
      </c>
      <c r="C685" s="32" t="n">
        <f aca="false">'Raw Data'!F682</f>
        <v>38.4143660364952</v>
      </c>
      <c r="D685" s="15" t="n">
        <f aca="false">'Raw Data'!H682</f>
        <v>-0.0942448791739397</v>
      </c>
      <c r="E685" s="15" t="n">
        <f aca="false">'Raw Data'!I682</f>
        <v>-0.0942448791739396</v>
      </c>
      <c r="F685" s="17" t="b">
        <f aca="false">'Raw Data'!S682</f>
        <v>0</v>
      </c>
    </row>
    <row r="686" customFormat="false" ht="15" hidden="false" customHeight="true" outlineLevel="0" collapsed="false">
      <c r="A686" s="12" t="n">
        <f aca="false">'Raw Data'!A683</f>
        <v>42319</v>
      </c>
      <c r="B686" s="32" t="n">
        <f aca="false">'Raw Data'!E683</f>
        <v>35.0792081287895</v>
      </c>
      <c r="C686" s="32" t="n">
        <f aca="false">'Raw Data'!F683</f>
        <v>38.3457306817874</v>
      </c>
      <c r="D686" s="15" t="n">
        <f aca="false">'Raw Data'!H683</f>
        <v>-0.0931184803546654</v>
      </c>
      <c r="E686" s="15" t="n">
        <f aca="false">'Raw Data'!I683</f>
        <v>-0.0931184803546656</v>
      </c>
      <c r="F686" s="17" t="b">
        <f aca="false">'Raw Data'!S683</f>
        <v>0</v>
      </c>
    </row>
    <row r="687" customFormat="false" ht="15" hidden="false" customHeight="true" outlineLevel="0" collapsed="false">
      <c r="A687" s="12" t="n">
        <f aca="false">'Raw Data'!A684</f>
        <v>42320</v>
      </c>
      <c r="B687" s="32" t="n">
        <f aca="false">'Raw Data'!E684</f>
        <v>35.0595976276179</v>
      </c>
      <c r="C687" s="32" t="n">
        <f aca="false">'Raw Data'!F684</f>
        <v>38.3703633493257</v>
      </c>
      <c r="D687" s="15" t="n">
        <f aca="false">'Raw Data'!H684</f>
        <v>-0.0944325076651701</v>
      </c>
      <c r="E687" s="15" t="n">
        <f aca="false">'Raw Data'!I684</f>
        <v>-0.0944325076651701</v>
      </c>
      <c r="F687" s="17" t="b">
        <f aca="false">'Raw Data'!S684</f>
        <v>0</v>
      </c>
    </row>
    <row r="688" customFormat="false" ht="15" hidden="false" customHeight="true" outlineLevel="0" collapsed="false">
      <c r="A688" s="12" t="n">
        <f aca="false">'Raw Data'!A685</f>
        <v>42321</v>
      </c>
      <c r="B688" s="32" t="n">
        <f aca="false">'Raw Data'!E685</f>
        <v>35.1022906707845</v>
      </c>
      <c r="C688" s="32" t="n">
        <f aca="false">'Raw Data'!F685</f>
        <v>38.3487182168696</v>
      </c>
      <c r="D688" s="15" t="n">
        <f aca="false">'Raw Data'!H685</f>
        <v>-0.0924847776041876</v>
      </c>
      <c r="E688" s="15" t="n">
        <f aca="false">'Raw Data'!I685</f>
        <v>-0.0924847776041876</v>
      </c>
      <c r="F688" s="17" t="b">
        <f aca="false">'Raw Data'!S685</f>
        <v>0</v>
      </c>
    </row>
    <row r="689" customFormat="false" ht="15" hidden="false" customHeight="true" outlineLevel="0" collapsed="false">
      <c r="A689" s="12" t="n">
        <f aca="false">'Raw Data'!A686</f>
        <v>42322</v>
      </c>
      <c r="B689" s="32" t="n">
        <f aca="false">'Raw Data'!E686</f>
        <v>35.094914912942</v>
      </c>
      <c r="C689" s="32" t="n">
        <f aca="false">'Raw Data'!F686</f>
        <v>38.3517716635834</v>
      </c>
      <c r="D689" s="15" t="n">
        <f aca="false">'Raw Data'!H686</f>
        <v>-0.0928013861472657</v>
      </c>
      <c r="E689" s="15" t="n">
        <f aca="false">'Raw Data'!I686</f>
        <v>-0.0928013861472656</v>
      </c>
      <c r="F689" s="17" t="b">
        <f aca="false">'Raw Data'!S686</f>
        <v>0</v>
      </c>
    </row>
    <row r="690" customFormat="false" ht="15" hidden="false" customHeight="true" outlineLevel="0" collapsed="false">
      <c r="A690" s="12" t="n">
        <f aca="false">'Raw Data'!A687</f>
        <v>42323</v>
      </c>
      <c r="B690" s="32" t="n">
        <f aca="false">'Raw Data'!E687</f>
        <v>35.1301191761834</v>
      </c>
      <c r="C690" s="32" t="n">
        <f aca="false">'Raw Data'!F687</f>
        <v>38.4496124309395</v>
      </c>
      <c r="D690" s="15" t="n">
        <f aca="false">'Raw Data'!H687</f>
        <v>-0.0944913747120605</v>
      </c>
      <c r="E690" s="15" t="n">
        <f aca="false">'Raw Data'!I687</f>
        <v>-0.0944913747120605</v>
      </c>
      <c r="F690" s="17" t="b">
        <f aca="false">'Raw Data'!S687</f>
        <v>0</v>
      </c>
    </row>
    <row r="691" customFormat="false" ht="15" hidden="false" customHeight="true" outlineLevel="0" collapsed="false">
      <c r="A691" s="12" t="n">
        <f aca="false">'Raw Data'!A688</f>
        <v>42324</v>
      </c>
      <c r="B691" s="32" t="n">
        <f aca="false">'Raw Data'!E688</f>
        <v>35.143310158096</v>
      </c>
      <c r="C691" s="32" t="n">
        <f aca="false">'Raw Data'!F688</f>
        <v>38.40049656976</v>
      </c>
      <c r="D691" s="15" t="n">
        <f aca="false">'Raw Data'!H688</f>
        <v>-0.0926829714392628</v>
      </c>
      <c r="E691" s="15" t="n">
        <f aca="false">'Raw Data'!I688</f>
        <v>-0.0926829714392629</v>
      </c>
      <c r="F691" s="17" t="b">
        <f aca="false">'Raw Data'!S688</f>
        <v>0</v>
      </c>
    </row>
    <row r="692" customFormat="false" ht="15" hidden="false" customHeight="true" outlineLevel="0" collapsed="false">
      <c r="A692" s="12" t="n">
        <f aca="false">'Raw Data'!A689</f>
        <v>42325</v>
      </c>
      <c r="B692" s="32" t="n">
        <f aca="false">'Raw Data'!E689</f>
        <v>35.0918353506325</v>
      </c>
      <c r="C692" s="32" t="n">
        <f aca="false">'Raw Data'!F689</f>
        <v>38.375256798203</v>
      </c>
      <c r="D692" s="15" t="n">
        <f aca="false">'Raw Data'!H689</f>
        <v>-0.0935665352000844</v>
      </c>
      <c r="E692" s="15" t="n">
        <f aca="false">'Raw Data'!I689</f>
        <v>-0.0935665352000845</v>
      </c>
      <c r="F692" s="17" t="b">
        <f aca="false">'Raw Data'!S689</f>
        <v>0</v>
      </c>
    </row>
    <row r="693" customFormat="false" ht="15" hidden="false" customHeight="true" outlineLevel="0" collapsed="false">
      <c r="A693" s="12" t="n">
        <f aca="false">'Raw Data'!A690</f>
        <v>42326</v>
      </c>
      <c r="B693" s="32" t="n">
        <f aca="false">'Raw Data'!E690</f>
        <v>35.0956223035498</v>
      </c>
      <c r="C693" s="32" t="n">
        <f aca="false">'Raw Data'!F690</f>
        <v>38.4109754163566</v>
      </c>
      <c r="D693" s="15" t="n">
        <f aca="false">'Raw Data'!H690</f>
        <v>-0.0944662865394294</v>
      </c>
      <c r="E693" s="15" t="n">
        <f aca="false">'Raw Data'!I690</f>
        <v>-0.0944662865394293</v>
      </c>
      <c r="F693" s="17" t="b">
        <f aca="false">'Raw Data'!S690</f>
        <v>0</v>
      </c>
    </row>
    <row r="694" customFormat="false" ht="15" hidden="false" customHeight="true" outlineLevel="0" collapsed="false">
      <c r="A694" s="12" t="n">
        <f aca="false">'Raw Data'!A691</f>
        <v>42327</v>
      </c>
      <c r="B694" s="32" t="n">
        <f aca="false">'Raw Data'!E691</f>
        <v>35.099289805434</v>
      </c>
      <c r="C694" s="32" t="n">
        <f aca="false">'Raw Data'!F691</f>
        <v>38.3805370740239</v>
      </c>
      <c r="D694" s="15" t="n">
        <f aca="false">'Raw Data'!H691</f>
        <v>-0.09348471968461</v>
      </c>
      <c r="E694" s="15" t="n">
        <f aca="false">'Raw Data'!I691</f>
        <v>-0.0934847196846101</v>
      </c>
      <c r="F694" s="17" t="b">
        <f aca="false">'Raw Data'!S691</f>
        <v>0</v>
      </c>
    </row>
    <row r="695" customFormat="false" ht="15" hidden="false" customHeight="true" outlineLevel="0" collapsed="false">
      <c r="A695" s="12" t="n">
        <f aca="false">'Raw Data'!A692</f>
        <v>42328</v>
      </c>
      <c r="B695" s="32" t="n">
        <f aca="false">'Raw Data'!E692</f>
        <v>35.1387867996641</v>
      </c>
      <c r="C695" s="32" t="n">
        <f aca="false">'Raw Data'!F692</f>
        <v>38.3991062524664</v>
      </c>
      <c r="D695" s="15" t="n">
        <f aca="false">'Raw Data'!H692</f>
        <v>-0.092784064270354</v>
      </c>
      <c r="E695" s="15" t="n">
        <f aca="false">'Raw Data'!I692</f>
        <v>-0.092784064270354</v>
      </c>
      <c r="F695" s="17" t="b">
        <f aca="false">'Raw Data'!S692</f>
        <v>0</v>
      </c>
    </row>
    <row r="696" customFormat="false" ht="15" hidden="false" customHeight="true" outlineLevel="0" collapsed="false">
      <c r="A696" s="12" t="n">
        <f aca="false">'Raw Data'!A693</f>
        <v>42329</v>
      </c>
      <c r="B696" s="32" t="n">
        <f aca="false">'Raw Data'!E693</f>
        <v>35.1285974431148</v>
      </c>
      <c r="C696" s="32" t="n">
        <f aca="false">'Raw Data'!F693</f>
        <v>38.4428582029265</v>
      </c>
      <c r="D696" s="15" t="n">
        <f aca="false">'Raw Data'!H693</f>
        <v>-0.0943465154046817</v>
      </c>
      <c r="E696" s="15" t="n">
        <f aca="false">'Raw Data'!I693</f>
        <v>-0.0943465154046817</v>
      </c>
      <c r="F696" s="17" t="b">
        <f aca="false">'Raw Data'!S693</f>
        <v>0</v>
      </c>
    </row>
    <row r="697" customFormat="false" ht="15" hidden="false" customHeight="true" outlineLevel="0" collapsed="false">
      <c r="A697" s="12" t="n">
        <f aca="false">'Raw Data'!A694</f>
        <v>42330</v>
      </c>
      <c r="B697" s="32" t="n">
        <f aca="false">'Raw Data'!E694</f>
        <v>35.0988795690113</v>
      </c>
      <c r="C697" s="32" t="n">
        <f aca="false">'Raw Data'!F694</f>
        <v>38.5732223097229</v>
      </c>
      <c r="D697" s="15" t="n">
        <f aca="false">'Raw Data'!H694</f>
        <v>-0.0989872834510403</v>
      </c>
      <c r="E697" s="15" t="n">
        <f aca="false">'Raw Data'!I694</f>
        <v>-0.0989872834510404</v>
      </c>
      <c r="F697" s="17" t="b">
        <f aca="false">'Raw Data'!S694</f>
        <v>0</v>
      </c>
    </row>
    <row r="698" customFormat="false" ht="15" hidden="false" customHeight="true" outlineLevel="0" collapsed="false">
      <c r="A698" s="12" t="n">
        <f aca="false">'Raw Data'!A695</f>
        <v>42331</v>
      </c>
      <c r="B698" s="32" t="n">
        <f aca="false">'Raw Data'!E695</f>
        <v>41.152082299484</v>
      </c>
      <c r="C698" s="32" t="n">
        <f aca="false">'Raw Data'!F695</f>
        <v>38.3974128589907</v>
      </c>
      <c r="D698" s="15" t="n">
        <f aca="false">'Raw Data'!H695</f>
        <v>0.0669387619427424</v>
      </c>
      <c r="E698" s="15" t="n">
        <f aca="false">'Raw Data'!I695</f>
        <v>0.0669387619427424</v>
      </c>
      <c r="F698" s="17" t="b">
        <f aca="false">'Raw Data'!S695</f>
        <v>0</v>
      </c>
    </row>
    <row r="699" customFormat="false" ht="15" hidden="false" customHeight="true" outlineLevel="0" collapsed="false">
      <c r="A699" s="12" t="n">
        <f aca="false">'Raw Data'!A696</f>
        <v>42332</v>
      </c>
      <c r="B699" s="32" t="n">
        <f aca="false">'Raw Data'!E696</f>
        <v>35.1333478208857</v>
      </c>
      <c r="C699" s="32" t="n">
        <f aca="false">'Raw Data'!F696</f>
        <v>38.4356088668346</v>
      </c>
      <c r="D699" s="15" t="n">
        <f aca="false">'Raw Data'!H696</f>
        <v>-0.0939922111261447</v>
      </c>
      <c r="E699" s="15" t="n">
        <f aca="false">'Raw Data'!I696</f>
        <v>-0.0939922111261447</v>
      </c>
      <c r="F699" s="17" t="b">
        <f aca="false">'Raw Data'!S696</f>
        <v>0</v>
      </c>
    </row>
    <row r="700" customFormat="false" ht="15" hidden="false" customHeight="true" outlineLevel="0" collapsed="false">
      <c r="A700" s="12" t="n">
        <f aca="false">'Raw Data'!A697</f>
        <v>42333</v>
      </c>
      <c r="B700" s="32" t="n">
        <f aca="false">'Raw Data'!E697</f>
        <v>35.1186105189614</v>
      </c>
      <c r="C700" s="32" t="n">
        <f aca="false">'Raw Data'!F697</f>
        <v>38.4249523190053</v>
      </c>
      <c r="D700" s="15" t="n">
        <f aca="false">'Raw Data'!H697</f>
        <v>-0.0941478535507188</v>
      </c>
      <c r="E700" s="15" t="n">
        <f aca="false">'Raw Data'!I697</f>
        <v>-0.0941478535507188</v>
      </c>
      <c r="F700" s="17" t="b">
        <f aca="false">'Raw Data'!S697</f>
        <v>0</v>
      </c>
    </row>
    <row r="701" customFormat="false" ht="15" hidden="false" customHeight="true" outlineLevel="0" collapsed="false">
      <c r="A701" s="12" t="n">
        <f aca="false">'Raw Data'!A698</f>
        <v>42334</v>
      </c>
      <c r="B701" s="32" t="n">
        <f aca="false">'Raw Data'!E698</f>
        <v>33.5860219165208</v>
      </c>
      <c r="C701" s="32" t="n">
        <f aca="false">'Raw Data'!F698</f>
        <v>38.3202708768367</v>
      </c>
      <c r="D701" s="15" t="n">
        <f aca="false">'Raw Data'!H698</f>
        <v>-0.14095890760993</v>
      </c>
      <c r="E701" s="15" t="n">
        <f aca="false">'Raw Data'!I698</f>
        <v>-0.14095890760993</v>
      </c>
      <c r="F701" s="17" t="b">
        <f aca="false">'Raw Data'!S698</f>
        <v>1</v>
      </c>
    </row>
    <row r="702" customFormat="false" ht="15" hidden="false" customHeight="true" outlineLevel="0" collapsed="false">
      <c r="A702" s="12" t="n">
        <f aca="false">'Raw Data'!A699</f>
        <v>42335</v>
      </c>
      <c r="B702" s="32" t="n">
        <f aca="false">'Raw Data'!E699</f>
        <v>33.3904249286624</v>
      </c>
      <c r="C702" s="32" t="n">
        <f aca="false">'Raw Data'!F699</f>
        <v>38.3162198359844</v>
      </c>
      <c r="D702" s="15" t="n">
        <f aca="false">'Raw Data'!H699</f>
        <v>-0.147521180633245</v>
      </c>
      <c r="E702" s="15" t="n">
        <f aca="false">'Raw Data'!I699</f>
        <v>-0.147521180633245</v>
      </c>
      <c r="F702" s="17" t="b">
        <f aca="false">'Raw Data'!S699</f>
        <v>1</v>
      </c>
    </row>
    <row r="703" customFormat="false" ht="15" hidden="false" customHeight="true" outlineLevel="0" collapsed="false">
      <c r="A703" s="12" t="n">
        <f aca="false">'Raw Data'!A700</f>
        <v>42336</v>
      </c>
      <c r="B703" s="32" t="n">
        <f aca="false">'Raw Data'!E700</f>
        <v>33.385026422557</v>
      </c>
      <c r="C703" s="32" t="n">
        <f aca="false">'Raw Data'!F700</f>
        <v>38.3205790494935</v>
      </c>
      <c r="D703" s="15" t="n">
        <f aca="false">'Raw Data'!H700</f>
        <v>-0.147837313784533</v>
      </c>
      <c r="E703" s="15" t="n">
        <f aca="false">'Raw Data'!I700</f>
        <v>-0.147837313784534</v>
      </c>
      <c r="F703" s="17" t="b">
        <f aca="false">'Raw Data'!S700</f>
        <v>1</v>
      </c>
    </row>
    <row r="704" customFormat="false" ht="15" hidden="false" customHeight="true" outlineLevel="0" collapsed="false">
      <c r="A704" s="12" t="n">
        <f aca="false">'Raw Data'!A701</f>
        <v>42337</v>
      </c>
      <c r="B704" s="32" t="n">
        <f aca="false">'Raw Data'!E701</f>
        <v>33.4273450560942</v>
      </c>
      <c r="C704" s="32" t="n">
        <f aca="false">'Raw Data'!F701</f>
        <v>38.3938335844123</v>
      </c>
      <c r="D704" s="15" t="n">
        <f aca="false">'Raw Data'!H701</f>
        <v>-0.148575620348667</v>
      </c>
      <c r="E704" s="15" t="n">
        <f aca="false">'Raw Data'!I701</f>
        <v>-0.148575620348667</v>
      </c>
      <c r="F704" s="17" t="b">
        <f aca="false">'Raw Data'!S701</f>
        <v>1</v>
      </c>
    </row>
    <row r="705" customFormat="false" ht="15" hidden="false" customHeight="true" outlineLevel="0" collapsed="false">
      <c r="A705" s="12" t="n">
        <f aca="false">'Raw Data'!A702</f>
        <v>42338</v>
      </c>
      <c r="B705" s="32" t="n">
        <f aca="false">'Raw Data'!E702</f>
        <v>35.114329376734</v>
      </c>
      <c r="C705" s="32" t="n">
        <f aca="false">'Raw Data'!F702</f>
        <v>38.256924516859</v>
      </c>
      <c r="D705" s="15" t="n">
        <f aca="false">'Raw Data'!H702</f>
        <v>-0.0894960888020618</v>
      </c>
      <c r="E705" s="15" t="n">
        <f aca="false">'Raw Data'!I702</f>
        <v>-0.0894960888020616</v>
      </c>
      <c r="F705" s="17" t="b">
        <f aca="false">'Raw Data'!S702</f>
        <v>0</v>
      </c>
    </row>
    <row r="706" customFormat="false" ht="15" hidden="false" customHeight="true" outlineLevel="0" collapsed="false">
      <c r="A706" s="12" t="n">
        <f aca="false">'Raw Data'!A703</f>
        <v>42339</v>
      </c>
      <c r="B706" s="32" t="n">
        <f aca="false">'Raw Data'!E703</f>
        <v>35.1076772836873</v>
      </c>
      <c r="C706" s="32" t="n">
        <f aca="false">'Raw Data'!F703</f>
        <v>38.2443881207879</v>
      </c>
      <c r="D706" s="15" t="n">
        <f aca="false">'Raw Data'!H703</f>
        <v>-0.0893454389407332</v>
      </c>
      <c r="E706" s="15" t="n">
        <f aca="false">'Raw Data'!I703</f>
        <v>-0.0893454389407333</v>
      </c>
      <c r="F706" s="17" t="b">
        <f aca="false">'Raw Data'!S703</f>
        <v>0</v>
      </c>
    </row>
    <row r="707" customFormat="false" ht="15" hidden="false" customHeight="true" outlineLevel="0" collapsed="false">
      <c r="A707" s="12" t="n">
        <f aca="false">'Raw Data'!A704</f>
        <v>42340</v>
      </c>
      <c r="B707" s="32" t="n">
        <f aca="false">'Raw Data'!E704</f>
        <v>35.2094262048036</v>
      </c>
      <c r="C707" s="32" t="n">
        <f aca="false">'Raw Data'!F704</f>
        <v>38.2380414454504</v>
      </c>
      <c r="D707" s="15" t="n">
        <f aca="false">'Raw Data'!H704</f>
        <v>-0.0860171711697378</v>
      </c>
      <c r="E707" s="15" t="n">
        <f aca="false">'Raw Data'!I704</f>
        <v>-0.0860171711697377</v>
      </c>
      <c r="F707" s="17" t="b">
        <f aca="false">'Raw Data'!S704</f>
        <v>0</v>
      </c>
    </row>
    <row r="708" customFormat="false" ht="15" hidden="false" customHeight="true" outlineLevel="0" collapsed="false">
      <c r="A708" s="12" t="n">
        <f aca="false">'Raw Data'!A705</f>
        <v>42341</v>
      </c>
      <c r="B708" s="32" t="n">
        <f aca="false">'Raw Data'!E705</f>
        <v>35.0748134092244</v>
      </c>
      <c r="C708" s="32" t="n">
        <f aca="false">'Raw Data'!F705</f>
        <v>38.2258187711888</v>
      </c>
      <c r="D708" s="15" t="n">
        <f aca="false">'Raw Data'!H705</f>
        <v>-0.0898366963553327</v>
      </c>
      <c r="E708" s="15" t="n">
        <f aca="false">'Raw Data'!I705</f>
        <v>-0.0898366963553326</v>
      </c>
      <c r="F708" s="17" t="b">
        <f aca="false">'Raw Data'!S705</f>
        <v>0</v>
      </c>
    </row>
    <row r="709" customFormat="false" ht="15" hidden="false" customHeight="true" outlineLevel="0" collapsed="false">
      <c r="A709" s="12" t="n">
        <f aca="false">'Raw Data'!A706</f>
        <v>42342</v>
      </c>
      <c r="B709" s="32" t="n">
        <f aca="false">'Raw Data'!E706</f>
        <v>35.1505599619442</v>
      </c>
      <c r="C709" s="32" t="n">
        <f aca="false">'Raw Data'!F706</f>
        <v>38.2218997507038</v>
      </c>
      <c r="D709" s="15" t="n">
        <f aca="false">'Raw Data'!H706</f>
        <v>-0.0873766959071161</v>
      </c>
      <c r="E709" s="15" t="n">
        <f aca="false">'Raw Data'!I706</f>
        <v>-0.0873766959071161</v>
      </c>
      <c r="F709" s="17" t="b">
        <f aca="false">'Raw Data'!S706</f>
        <v>0</v>
      </c>
    </row>
    <row r="710" customFormat="false" ht="15" hidden="false" customHeight="true" outlineLevel="0" collapsed="false">
      <c r="A710" s="12" t="n">
        <f aca="false">'Raw Data'!A707</f>
        <v>42343</v>
      </c>
      <c r="B710" s="32" t="n">
        <f aca="false">'Raw Data'!E707</f>
        <v>35.2545285104931</v>
      </c>
      <c r="C710" s="32" t="n">
        <f aca="false">'Raw Data'!F707</f>
        <v>38.2215737179261</v>
      </c>
      <c r="D710" s="15" t="n">
        <f aca="false">'Raw Data'!H707</f>
        <v>-0.0841606832594553</v>
      </c>
      <c r="E710" s="15" t="n">
        <f aca="false">'Raw Data'!I707</f>
        <v>-0.0841606832594552</v>
      </c>
      <c r="F710" s="17" t="b">
        <f aca="false">'Raw Data'!S707</f>
        <v>0</v>
      </c>
    </row>
    <row r="711" customFormat="false" ht="15" hidden="false" customHeight="true" outlineLevel="0" collapsed="false">
      <c r="A711" s="12" t="n">
        <f aca="false">'Raw Data'!A708</f>
        <v>42344</v>
      </c>
      <c r="B711" s="32" t="n">
        <f aca="false">'Raw Data'!E708</f>
        <v>35.4996169081917</v>
      </c>
      <c r="C711" s="32" t="n">
        <f aca="false">'Raw Data'!F708</f>
        <v>38.2309511757475</v>
      </c>
      <c r="D711" s="15" t="n">
        <f aca="false">'Raw Data'!H708</f>
        <v>-0.0769398237344229</v>
      </c>
      <c r="E711" s="15" t="n">
        <f aca="false">'Raw Data'!I708</f>
        <v>-0.0769398237344228</v>
      </c>
      <c r="F711" s="17" t="b">
        <f aca="false">'Raw Data'!S708</f>
        <v>0</v>
      </c>
    </row>
    <row r="712" customFormat="false" ht="15" hidden="false" customHeight="true" outlineLevel="0" collapsed="false">
      <c r="A712" s="12" t="n">
        <f aca="false">'Raw Data'!A709</f>
        <v>42345</v>
      </c>
      <c r="B712" s="32" t="n">
        <f aca="false">'Raw Data'!E709</f>
        <v>41.1472262823156</v>
      </c>
      <c r="C712" s="32" t="n">
        <f aca="false">'Raw Data'!F709</f>
        <v>38.2163745468321</v>
      </c>
      <c r="D712" s="15" t="n">
        <f aca="false">'Raw Data'!H709</f>
        <v>0.07122841562575</v>
      </c>
      <c r="E712" s="15" t="n">
        <f aca="false">'Raw Data'!I709</f>
        <v>0.0712284156257499</v>
      </c>
      <c r="F712" s="17" t="b">
        <f aca="false">'Raw Data'!S709</f>
        <v>0</v>
      </c>
    </row>
    <row r="713" customFormat="false" ht="15" hidden="false" customHeight="true" outlineLevel="0" collapsed="false">
      <c r="A713" s="12" t="n">
        <f aca="false">'Raw Data'!A710</f>
        <v>42346</v>
      </c>
      <c r="B713" s="32" t="n">
        <f aca="false">'Raw Data'!E710</f>
        <v>36.8805644617595</v>
      </c>
      <c r="C713" s="32" t="n">
        <f aca="false">'Raw Data'!F710</f>
        <v>38.1317804985068</v>
      </c>
      <c r="D713" s="15" t="n">
        <f aca="false">'Raw Data'!H710</f>
        <v>-0.03392616287217</v>
      </c>
      <c r="E713" s="15" t="n">
        <f aca="false">'Raw Data'!I710</f>
        <v>-0.0339261628721699</v>
      </c>
      <c r="F713" s="17" t="b">
        <f aca="false">'Raw Data'!S710</f>
        <v>0</v>
      </c>
    </row>
    <row r="714" customFormat="false" ht="15" hidden="false" customHeight="true" outlineLevel="0" collapsed="false">
      <c r="A714" s="12" t="n">
        <f aca="false">'Raw Data'!A711</f>
        <v>42347</v>
      </c>
      <c r="B714" s="32" t="n">
        <f aca="false">'Raw Data'!E711</f>
        <v>37.0438897369464</v>
      </c>
      <c r="C714" s="32" t="n">
        <f aca="false">'Raw Data'!F711</f>
        <v>38.1339922894164</v>
      </c>
      <c r="D714" s="15" t="n">
        <f aca="false">'Raw Data'!H711</f>
        <v>-0.0294273241879014</v>
      </c>
      <c r="E714" s="15" t="n">
        <f aca="false">'Raw Data'!I711</f>
        <v>-0.0294273241879015</v>
      </c>
      <c r="F714" s="17" t="b">
        <f aca="false">'Raw Data'!S711</f>
        <v>0</v>
      </c>
    </row>
    <row r="715" customFormat="false" ht="15" hidden="false" customHeight="true" outlineLevel="0" collapsed="false">
      <c r="A715" s="12" t="n">
        <f aca="false">'Raw Data'!A712</f>
        <v>42348</v>
      </c>
      <c r="B715" s="32" t="n">
        <f aca="false">'Raw Data'!E712</f>
        <v>36.8929899391118</v>
      </c>
      <c r="C715" s="32" t="n">
        <f aca="false">'Raw Data'!F712</f>
        <v>38.1512122189607</v>
      </c>
      <c r="D715" s="15" t="n">
        <f aca="false">'Raw Data'!H712</f>
        <v>-0.0341046437799009</v>
      </c>
      <c r="E715" s="15" t="n">
        <f aca="false">'Raw Data'!I712</f>
        <v>-0.034104643779901</v>
      </c>
      <c r="F715" s="17" t="b">
        <f aca="false">'Raw Data'!S712</f>
        <v>0</v>
      </c>
    </row>
    <row r="716" customFormat="false" ht="15" hidden="false" customHeight="true" outlineLevel="0" collapsed="false">
      <c r="A716" s="12" t="n">
        <f aca="false">'Raw Data'!A713</f>
        <v>42349</v>
      </c>
      <c r="B716" s="32" t="n">
        <f aca="false">'Raw Data'!E713</f>
        <v>36.8832915240714</v>
      </c>
      <c r="C716" s="32" t="n">
        <f aca="false">'Raw Data'!F713</f>
        <v>38.1679807960167</v>
      </c>
      <c r="D716" s="15" t="n">
        <f aca="false">'Raw Data'!H713</f>
        <v>-0.0348311991381476</v>
      </c>
      <c r="E716" s="15" t="n">
        <f aca="false">'Raw Data'!I713</f>
        <v>-0.0348311991381476</v>
      </c>
      <c r="F716" s="17" t="b">
        <f aca="false">'Raw Data'!S713</f>
        <v>0</v>
      </c>
    </row>
    <row r="717" customFormat="false" ht="15" hidden="false" customHeight="true" outlineLevel="0" collapsed="false">
      <c r="A717" s="12" t="n">
        <f aca="false">'Raw Data'!A714</f>
        <v>42350</v>
      </c>
      <c r="B717" s="32" t="n">
        <f aca="false">'Raw Data'!E714</f>
        <v>35.3946930459372</v>
      </c>
      <c r="C717" s="32" t="n">
        <f aca="false">'Raw Data'!F714</f>
        <v>38.1682312559687</v>
      </c>
      <c r="D717" s="15" t="n">
        <f aca="false">'Raw Data'!H714</f>
        <v>-0.0783602843067986</v>
      </c>
      <c r="E717" s="15" t="n">
        <f aca="false">'Raw Data'!I714</f>
        <v>-0.0783602843067986</v>
      </c>
      <c r="F717" s="17" t="b">
        <f aca="false">'Raw Data'!S714</f>
        <v>0</v>
      </c>
    </row>
    <row r="718" customFormat="false" ht="15" hidden="false" customHeight="true" outlineLevel="0" collapsed="false">
      <c r="A718" s="12" t="n">
        <f aca="false">'Raw Data'!A715</f>
        <v>42351</v>
      </c>
      <c r="B718" s="32" t="n">
        <f aca="false">'Raw Data'!E715</f>
        <v>36.9810302425416</v>
      </c>
      <c r="C718" s="32" t="n">
        <f aca="false">'Raw Data'!F715</f>
        <v>38.1712008995439</v>
      </c>
      <c r="D718" s="15" t="n">
        <f aca="false">'Raw Data'!H715</f>
        <v>-0.0321832747545577</v>
      </c>
      <c r="E718" s="15" t="n">
        <f aca="false">'Raw Data'!I715</f>
        <v>-0.0321832747545578</v>
      </c>
      <c r="F718" s="17" t="b">
        <f aca="false">'Raw Data'!S715</f>
        <v>0</v>
      </c>
    </row>
    <row r="719" customFormat="false" ht="15" hidden="false" customHeight="true" outlineLevel="0" collapsed="false">
      <c r="A719" s="12" t="n">
        <f aca="false">'Raw Data'!A716</f>
        <v>42352</v>
      </c>
      <c r="B719" s="32" t="n">
        <f aca="false">'Raw Data'!E716</f>
        <v>36.8681088374175</v>
      </c>
      <c r="C719" s="32" t="n">
        <f aca="false">'Raw Data'!F716</f>
        <v>38.1486857474918</v>
      </c>
      <c r="D719" s="15" t="n">
        <f aca="false">'Raw Data'!H716</f>
        <v>-0.0347340004805071</v>
      </c>
      <c r="E719" s="15" t="n">
        <f aca="false">'Raw Data'!I716</f>
        <v>-0.0347340004805072</v>
      </c>
      <c r="F719" s="17" t="b">
        <f aca="false">'Raw Data'!S716</f>
        <v>0</v>
      </c>
    </row>
    <row r="720" customFormat="false" ht="15" hidden="false" customHeight="true" outlineLevel="0" collapsed="false">
      <c r="A720" s="12" t="n">
        <f aca="false">'Raw Data'!A717</f>
        <v>42353</v>
      </c>
      <c r="B720" s="32" t="n">
        <f aca="false">'Raw Data'!E717</f>
        <v>35.4590665462404</v>
      </c>
      <c r="C720" s="32" t="n">
        <f aca="false">'Raw Data'!F717</f>
        <v>38.1718195975701</v>
      </c>
      <c r="D720" s="15" t="n">
        <f aca="false">'Raw Data'!H717</f>
        <v>-0.0765037919932867</v>
      </c>
      <c r="E720" s="15" t="n">
        <f aca="false">'Raw Data'!I717</f>
        <v>-0.0765037919932867</v>
      </c>
      <c r="F720" s="17" t="b">
        <f aca="false">'Raw Data'!S717</f>
        <v>0</v>
      </c>
    </row>
    <row r="721" customFormat="false" ht="15" hidden="false" customHeight="true" outlineLevel="0" collapsed="false">
      <c r="A721" s="12" t="n">
        <f aca="false">'Raw Data'!A718</f>
        <v>42354</v>
      </c>
      <c r="B721" s="32" t="n">
        <f aca="false">'Raw Data'!E718</f>
        <v>35.6063889438552</v>
      </c>
      <c r="C721" s="32" t="n">
        <f aca="false">'Raw Data'!F718</f>
        <v>38.1919375702551</v>
      </c>
      <c r="D721" s="15" t="n">
        <f aca="false">'Raw Data'!H718</f>
        <v>-0.072614738621118</v>
      </c>
      <c r="E721" s="15" t="n">
        <f aca="false">'Raw Data'!I718</f>
        <v>-0.0726147386211181</v>
      </c>
      <c r="F721" s="17" t="b">
        <f aca="false">'Raw Data'!S718</f>
        <v>0</v>
      </c>
    </row>
    <row r="722" customFormat="false" ht="15" hidden="false" customHeight="true" outlineLevel="0" collapsed="false">
      <c r="A722" s="12" t="n">
        <f aca="false">'Raw Data'!A719</f>
        <v>42355</v>
      </c>
      <c r="B722" s="32" t="n">
        <f aca="false">'Raw Data'!E719</f>
        <v>35.3293898612304</v>
      </c>
      <c r="C722" s="32" t="n">
        <f aca="false">'Raw Data'!F719</f>
        <v>38.1745753096777</v>
      </c>
      <c r="D722" s="15" t="n">
        <f aca="false">'Raw Data'!H719</f>
        <v>-0.080533104580149</v>
      </c>
      <c r="E722" s="15" t="n">
        <f aca="false">'Raw Data'!I719</f>
        <v>-0.0805331045801488</v>
      </c>
      <c r="F722" s="17" t="b">
        <f aca="false">'Raw Data'!S719</f>
        <v>0</v>
      </c>
    </row>
    <row r="723" customFormat="false" ht="15" hidden="false" customHeight="true" outlineLevel="0" collapsed="false">
      <c r="A723" s="12" t="n">
        <f aca="false">'Raw Data'!A720</f>
        <v>42356</v>
      </c>
      <c r="B723" s="32" t="n">
        <f aca="false">'Raw Data'!E720</f>
        <v>35.2984535221024</v>
      </c>
      <c r="C723" s="32" t="n">
        <f aca="false">'Raw Data'!F720</f>
        <v>38.174780943999</v>
      </c>
      <c r="D723" s="15" t="n">
        <f aca="false">'Raw Data'!H720</f>
        <v>-0.0814859330903972</v>
      </c>
      <c r="E723" s="15" t="n">
        <f aca="false">'Raw Data'!I720</f>
        <v>-0.0814859330903972</v>
      </c>
      <c r="F723" s="17" t="b">
        <f aca="false">'Raw Data'!S720</f>
        <v>0</v>
      </c>
    </row>
    <row r="724" customFormat="false" ht="15" hidden="false" customHeight="true" outlineLevel="0" collapsed="false">
      <c r="A724" s="12" t="n">
        <f aca="false">'Raw Data'!A721</f>
        <v>42357</v>
      </c>
      <c r="B724" s="32" t="n">
        <f aca="false">'Raw Data'!E721</f>
        <v>35.5644666405922</v>
      </c>
      <c r="C724" s="32" t="n">
        <f aca="false">'Raw Data'!F721</f>
        <v>38.1689315992317</v>
      </c>
      <c r="D724" s="15" t="n">
        <f aca="false">'Raw Data'!H721</f>
        <v>-0.0732322231895045</v>
      </c>
      <c r="E724" s="15" t="n">
        <f aca="false">'Raw Data'!I721</f>
        <v>-0.0732322231895046</v>
      </c>
      <c r="F724" s="17" t="b">
        <f aca="false">'Raw Data'!S721</f>
        <v>0</v>
      </c>
    </row>
    <row r="725" customFormat="false" ht="15" hidden="false" customHeight="true" outlineLevel="0" collapsed="false">
      <c r="A725" s="12" t="n">
        <f aca="false">'Raw Data'!A722</f>
        <v>42358</v>
      </c>
      <c r="B725" s="32" t="n">
        <f aca="false">'Raw Data'!E722</f>
        <v>35.4433555139586</v>
      </c>
      <c r="C725" s="32" t="n">
        <f aca="false">'Raw Data'!F722</f>
        <v>38.2067489035077</v>
      </c>
      <c r="D725" s="15" t="n">
        <f aca="false">'Raw Data'!H722</f>
        <v>-0.0779664721208714</v>
      </c>
      <c r="E725" s="15" t="n">
        <f aca="false">'Raw Data'!I722</f>
        <v>-0.0779664721208715</v>
      </c>
      <c r="F725" s="17" t="b">
        <f aca="false">'Raw Data'!S722</f>
        <v>0</v>
      </c>
    </row>
    <row r="726" customFormat="false" ht="15" hidden="false" customHeight="true" outlineLevel="0" collapsed="false">
      <c r="A726" s="12" t="n">
        <f aca="false">'Raw Data'!A723</f>
        <v>42359</v>
      </c>
      <c r="B726" s="32" t="n">
        <f aca="false">'Raw Data'!E723</f>
        <v>35.2907983231085</v>
      </c>
      <c r="C726" s="32" t="n">
        <f aca="false">'Raw Data'!F723</f>
        <v>38.1631252218635</v>
      </c>
      <c r="D726" s="15" t="n">
        <f aca="false">'Raw Data'!H723</f>
        <v>-0.0813902500152338</v>
      </c>
      <c r="E726" s="15" t="n">
        <f aca="false">'Raw Data'!I723</f>
        <v>-0.0813902500152338</v>
      </c>
      <c r="F726" s="17" t="b">
        <f aca="false">'Raw Data'!S723</f>
        <v>0</v>
      </c>
    </row>
    <row r="727" customFormat="false" ht="15" hidden="false" customHeight="true" outlineLevel="0" collapsed="false">
      <c r="A727" s="12" t="n">
        <f aca="false">'Raw Data'!A724</f>
        <v>42360</v>
      </c>
      <c r="B727" s="32" t="n">
        <f aca="false">'Raw Data'!E724</f>
        <v>35.329497070125</v>
      </c>
      <c r="C727" s="32" t="n">
        <f aca="false">'Raw Data'!F724</f>
        <v>38.1698767737207</v>
      </c>
      <c r="D727" s="15" t="n">
        <f aca="false">'Raw Data'!H724</f>
        <v>-0.0803968337833363</v>
      </c>
      <c r="E727" s="15" t="n">
        <f aca="false">'Raw Data'!I724</f>
        <v>-0.0803968337833362</v>
      </c>
      <c r="F727" s="17" t="b">
        <f aca="false">'Raw Data'!S724</f>
        <v>0</v>
      </c>
    </row>
    <row r="728" customFormat="false" ht="15" hidden="false" customHeight="true" outlineLevel="0" collapsed="false">
      <c r="A728" s="12" t="n">
        <f aca="false">'Raw Data'!A725</f>
        <v>42361</v>
      </c>
      <c r="B728" s="32" t="n">
        <f aca="false">'Raw Data'!E725</f>
        <v>41.0667879866874</v>
      </c>
      <c r="C728" s="32" t="n">
        <f aca="false">'Raw Data'!F725</f>
        <v>38.1977678548905</v>
      </c>
      <c r="D728" s="15" t="n">
        <f aca="false">'Raw Data'!H725</f>
        <v>0.0698622968206566</v>
      </c>
      <c r="E728" s="15" t="n">
        <f aca="false">'Raw Data'!I725</f>
        <v>0.0698622968206566</v>
      </c>
      <c r="F728" s="17" t="b">
        <f aca="false">'Raw Data'!S725</f>
        <v>0</v>
      </c>
    </row>
    <row r="729" customFormat="false" ht="15" hidden="false" customHeight="true" outlineLevel="0" collapsed="false">
      <c r="A729" s="12" t="n">
        <f aca="false">'Raw Data'!A726</f>
        <v>42362</v>
      </c>
      <c r="B729" s="32" t="n">
        <f aca="false">'Raw Data'!E726</f>
        <v>41.1140605826501</v>
      </c>
      <c r="C729" s="32" t="n">
        <f aca="false">'Raw Data'!F726</f>
        <v>38.1966660638239</v>
      </c>
      <c r="D729" s="15" t="n">
        <f aca="false">'Raw Data'!H726</f>
        <v>0.0709585596139682</v>
      </c>
      <c r="E729" s="15" t="n">
        <f aca="false">'Raw Data'!I726</f>
        <v>0.0709585596139682</v>
      </c>
      <c r="F729" s="17" t="b">
        <f aca="false">'Raw Data'!S726</f>
        <v>0</v>
      </c>
    </row>
    <row r="730" customFormat="false" ht="15" hidden="false" customHeight="true" outlineLevel="0" collapsed="false">
      <c r="A730" s="12" t="n">
        <f aca="false">'Raw Data'!A727</f>
        <v>42363</v>
      </c>
      <c r="B730" s="32" t="n">
        <f aca="false">'Raw Data'!E727</f>
        <v>41.0715551992787</v>
      </c>
      <c r="C730" s="32" t="n">
        <f aca="false">'Raw Data'!F727</f>
        <v>38.1951957237744</v>
      </c>
      <c r="D730" s="15" t="n">
        <f aca="false">'Raw Data'!H727</f>
        <v>0.0700328843538602</v>
      </c>
      <c r="E730" s="15" t="n">
        <f aca="false">'Raw Data'!I727</f>
        <v>0.0700328843538603</v>
      </c>
      <c r="F730" s="17" t="b">
        <f aca="false">'Raw Data'!S727</f>
        <v>0</v>
      </c>
    </row>
    <row r="731" customFormat="false" ht="15" hidden="false" customHeight="true" outlineLevel="0" collapsed="false">
      <c r="A731" s="12" t="n">
        <f aca="false">'Raw Data'!A728</f>
        <v>42364</v>
      </c>
      <c r="B731" s="32" t="n">
        <f aca="false">'Raw Data'!E728</f>
        <v>41.1219294825188</v>
      </c>
      <c r="C731" s="32" t="n">
        <f aca="false">'Raw Data'!F728</f>
        <v>38.190011275864</v>
      </c>
      <c r="D731" s="15" t="n">
        <f aca="false">'Raw Data'!H728</f>
        <v>0.0712981672686628</v>
      </c>
      <c r="E731" s="15" t="n">
        <f aca="false">'Raw Data'!I728</f>
        <v>0.0712981672686627</v>
      </c>
      <c r="F731" s="17" t="b">
        <f aca="false">'Raw Data'!S728</f>
        <v>0</v>
      </c>
    </row>
    <row r="732" customFormat="false" ht="15" hidden="false" customHeight="true" outlineLevel="0" collapsed="false">
      <c r="A732" s="12" t="n">
        <f aca="false">'Raw Data'!A729</f>
        <v>42365</v>
      </c>
      <c r="B732" s="32" t="n">
        <f aca="false">'Raw Data'!E729</f>
        <v>41.0891471477189</v>
      </c>
      <c r="C732" s="32" t="n">
        <f aca="false">'Raw Data'!F729</f>
        <v>38.1891705947248</v>
      </c>
      <c r="D732" s="15" t="n">
        <f aca="false">'Raw Data'!H729</f>
        <v>0.0705776769366479</v>
      </c>
      <c r="E732" s="15" t="n">
        <f aca="false">'Raw Data'!I729</f>
        <v>0.0705776769366479</v>
      </c>
      <c r="F732" s="17" t="b">
        <f aca="false">'Raw Data'!S729</f>
        <v>0</v>
      </c>
    </row>
    <row r="733" customFormat="false" ht="15" hidden="false" customHeight="true" outlineLevel="0" collapsed="false">
      <c r="A733" s="12" t="n">
        <f aca="false">'Raw Data'!A730</f>
        <v>42366</v>
      </c>
      <c r="B733" s="32" t="n">
        <f aca="false">'Raw Data'!E730</f>
        <v>41.1321189843422</v>
      </c>
      <c r="C733" s="32" t="n">
        <f aca="false">'Raw Data'!F730</f>
        <v>38.1882460697821</v>
      </c>
      <c r="D733" s="15" t="n">
        <f aca="false">'Raw Data'!H730</f>
        <v>0.0715711465213053</v>
      </c>
      <c r="E733" s="15" t="n">
        <f aca="false">'Raw Data'!I730</f>
        <v>0.0715711465213053</v>
      </c>
      <c r="F733" s="17" t="b">
        <f aca="false">'Raw Data'!S730</f>
        <v>0</v>
      </c>
    </row>
    <row r="734" customFormat="false" ht="15" hidden="false" customHeight="true" outlineLevel="0" collapsed="false">
      <c r="A734" s="12" t="n">
        <f aca="false">'Raw Data'!A731</f>
        <v>42367</v>
      </c>
      <c r="B734" s="32" t="n">
        <f aca="false">'Raw Data'!E731</f>
        <v>35.1192335783618</v>
      </c>
      <c r="C734" s="32" t="n">
        <f aca="false">'Raw Data'!F731</f>
        <v>38.1921049466944</v>
      </c>
      <c r="D734" s="15" t="n">
        <f aca="false">'Raw Data'!H731</f>
        <v>-0.0874982468360545</v>
      </c>
      <c r="E734" s="15" t="n">
        <f aca="false">'Raw Data'!I731</f>
        <v>-0.0874982468360545</v>
      </c>
      <c r="F734" s="17" t="b">
        <f aca="false">'Raw Data'!S731</f>
        <v>0</v>
      </c>
    </row>
    <row r="735" customFormat="false" ht="15" hidden="false" customHeight="true" outlineLevel="0" collapsed="false">
      <c r="A735" s="12" t="n">
        <f aca="false">'Raw Data'!A732</f>
        <v>42368</v>
      </c>
      <c r="B735" s="32" t="n">
        <f aca="false">'Raw Data'!E732</f>
        <v>35.0854866257957</v>
      </c>
      <c r="C735" s="32" t="n">
        <f aca="false">'Raw Data'!F732</f>
        <v>38.1934840502093</v>
      </c>
      <c r="D735" s="15" t="n">
        <f aca="false">'Raw Data'!H732</f>
        <v>-0.0885835632711026</v>
      </c>
      <c r="E735" s="15" t="n">
        <f aca="false">'Raw Data'!I732</f>
        <v>-0.0885835632711027</v>
      </c>
      <c r="F735" s="17" t="b">
        <f aca="false">'Raw Data'!S732</f>
        <v>0</v>
      </c>
    </row>
    <row r="736" customFormat="false" ht="15" hidden="false" customHeight="true" outlineLevel="0" collapsed="false">
      <c r="A736" s="12" t="n">
        <f aca="false">'Raw Data'!A733</f>
        <v>42369</v>
      </c>
      <c r="B736" s="32" t="n">
        <f aca="false">'Raw Data'!E733</f>
        <v>35.1238425427886</v>
      </c>
      <c r="C736" s="32" t="n">
        <f aca="false">'Raw Data'!F733</f>
        <v>38.19660461418</v>
      </c>
      <c r="D736" s="15" t="n">
        <f aca="false">'Raw Data'!H733</f>
        <v>-0.0874836535224788</v>
      </c>
      <c r="E736" s="15" t="n">
        <f aca="false">'Raw Data'!I733</f>
        <v>-0.0874836535224788</v>
      </c>
      <c r="F736" s="17" t="b">
        <f aca="false">'Raw Data'!S733</f>
        <v>1</v>
      </c>
    </row>
    <row r="737" customFormat="false" ht="15" hidden="false" customHeight="true" outlineLevel="0" collapsed="false">
      <c r="A737" s="12" t="n">
        <f aca="false">'Raw Data'!A734</f>
        <v>42370</v>
      </c>
      <c r="B737" s="32" t="n">
        <f aca="false">'Raw Data'!E734</f>
        <v>35.121182690808</v>
      </c>
      <c r="C737" s="32" t="n">
        <f aca="false">'Raw Data'!F734</f>
        <v>38.2032978348974</v>
      </c>
      <c r="D737" s="15" t="n">
        <f aca="false">'Raw Data'!H734</f>
        <v>-0.0877565875620717</v>
      </c>
      <c r="E737" s="15" t="n">
        <f aca="false">'Raw Data'!I734</f>
        <v>-0.0877565875620716</v>
      </c>
      <c r="F737" s="17" t="b">
        <f aca="false">'Raw Data'!S734</f>
        <v>0</v>
      </c>
    </row>
    <row r="738" customFormat="false" ht="15" hidden="false" customHeight="true" outlineLevel="0" collapsed="false">
      <c r="A738" s="12" t="n">
        <f aca="false">'Raw Data'!A735</f>
        <v>42371</v>
      </c>
      <c r="B738" s="32" t="n">
        <f aca="false">'Raw Data'!E735</f>
        <v>35.0877499484634</v>
      </c>
      <c r="C738" s="32" t="n">
        <f aca="false">'Raw Data'!F735</f>
        <v>38.1970645424737</v>
      </c>
      <c r="D738" s="15" t="n">
        <f aca="false">'Raw Data'!H735</f>
        <v>-0.0886153885209862</v>
      </c>
      <c r="E738" s="15" t="n">
        <f aca="false">'Raw Data'!I735</f>
        <v>-0.0886153885209861</v>
      </c>
      <c r="F738" s="17" t="b">
        <f aca="false">'Raw Data'!S735</f>
        <v>1</v>
      </c>
    </row>
    <row r="739" customFormat="false" ht="15" hidden="false" customHeight="true" outlineLevel="0" collapsed="false">
      <c r="A739" s="12" t="n">
        <f aca="false">'Raw Data'!A736</f>
        <v>42372</v>
      </c>
      <c r="B739" s="32" t="n">
        <f aca="false">'Raw Data'!E736</f>
        <v>35.0506047961984</v>
      </c>
      <c r="C739" s="32" t="n">
        <f aca="false">'Raw Data'!F736</f>
        <v>38.199605779837</v>
      </c>
      <c r="D739" s="15" t="n">
        <f aca="false">'Raw Data'!H736</f>
        <v>-0.0898415591385223</v>
      </c>
      <c r="E739" s="15" t="n">
        <f aca="false">'Raw Data'!I736</f>
        <v>-0.0898415591385223</v>
      </c>
      <c r="F739" s="17" t="b">
        <f aca="false">'Raw Data'!S736</f>
        <v>0</v>
      </c>
    </row>
    <row r="740" customFormat="false" ht="15" hidden="false" customHeight="true" outlineLevel="0" collapsed="false">
      <c r="A740" s="12" t="n">
        <f aca="false">'Raw Data'!A737</f>
        <v>42373</v>
      </c>
      <c r="B740" s="32" t="n">
        <f aca="false">'Raw Data'!E737</f>
        <v>35.0618572611499</v>
      </c>
      <c r="C740" s="32" t="n">
        <f aca="false">'Raw Data'!F737</f>
        <v>38.1966392158183</v>
      </c>
      <c r="D740" s="15" t="n">
        <f aca="false">'Raw Data'!H737</f>
        <v>-0.0894071848881157</v>
      </c>
      <c r="E740" s="15" t="n">
        <f aca="false">'Raw Data'!I737</f>
        <v>-0.0894071848881158</v>
      </c>
      <c r="F740" s="17" t="b">
        <f aca="false">'Raw Data'!S737</f>
        <v>1</v>
      </c>
    </row>
    <row r="741" customFormat="false" ht="15" hidden="false" customHeight="true" outlineLevel="0" collapsed="false">
      <c r="A741" s="12" t="n">
        <f aca="false">'Raw Data'!A738</f>
        <v>42374</v>
      </c>
      <c r="B741" s="32" t="n">
        <f aca="false">'Raw Data'!E738</f>
        <v>35.0793240323112</v>
      </c>
      <c r="C741" s="32" t="n">
        <f aca="false">'Raw Data'!F738</f>
        <v>38.1531846744931</v>
      </c>
      <c r="D741" s="15" t="n">
        <f aca="false">'Raw Data'!H738</f>
        <v>-0.0876259941426047</v>
      </c>
      <c r="E741" s="15" t="n">
        <f aca="false">'Raw Data'!I738</f>
        <v>-0.0876259941426047</v>
      </c>
      <c r="F741" s="17" t="b">
        <f aca="false">'Raw Data'!S738</f>
        <v>1</v>
      </c>
    </row>
    <row r="742" customFormat="false" ht="15" hidden="false" customHeight="true" outlineLevel="0" collapsed="false">
      <c r="A742" s="12" t="n">
        <f aca="false">'Raw Data'!A739</f>
        <v>42375</v>
      </c>
      <c r="B742" s="32" t="n">
        <f aca="false">'Raw Data'!E739</f>
        <v>41.0857903779795</v>
      </c>
      <c r="C742" s="32" t="n">
        <f aca="false">'Raw Data'!F739</f>
        <v>38.1551686805382</v>
      </c>
      <c r="D742" s="15" t="n">
        <f aca="false">'Raw Data'!H739</f>
        <v>0.0713293250654362</v>
      </c>
      <c r="E742" s="15" t="n">
        <f aca="false">'Raw Data'!I739</f>
        <v>0.0713293250654361</v>
      </c>
      <c r="F742" s="17" t="b">
        <f aca="false">'Raw Data'!S739</f>
        <v>0</v>
      </c>
    </row>
    <row r="743" customFormat="false" ht="15" hidden="false" customHeight="true" outlineLevel="0" collapsed="false">
      <c r="A743" s="12" t="n">
        <f aca="false">'Raw Data'!A740</f>
        <v>42376</v>
      </c>
      <c r="B743" s="32" t="n">
        <f aca="false">'Raw Data'!E740</f>
        <v>41.1511146532193</v>
      </c>
      <c r="C743" s="32" t="n">
        <f aca="false">'Raw Data'!F740</f>
        <v>38.1575560061429</v>
      </c>
      <c r="D743" s="15" t="n">
        <f aca="false">'Raw Data'!H740</f>
        <v>0.0727455057366766</v>
      </c>
      <c r="E743" s="15" t="n">
        <f aca="false">'Raw Data'!I740</f>
        <v>0.0727455057366765</v>
      </c>
      <c r="F743" s="17" t="b">
        <f aca="false">'Raw Data'!S740</f>
        <v>0</v>
      </c>
    </row>
    <row r="744" customFormat="false" ht="15" hidden="false" customHeight="true" outlineLevel="0" collapsed="false">
      <c r="A744" s="12" t="n">
        <f aca="false">'Raw Data'!A741</f>
        <v>42377</v>
      </c>
      <c r="B744" s="32" t="n">
        <f aca="false">'Raw Data'!E741</f>
        <v>41.0918824195327</v>
      </c>
      <c r="C744" s="32" t="n">
        <f aca="false">'Raw Data'!F741</f>
        <v>38.1733550195421</v>
      </c>
      <c r="D744" s="15" t="n">
        <f aca="false">'Raw Data'!H741</f>
        <v>0.0710244269219304</v>
      </c>
      <c r="E744" s="15" t="n">
        <f aca="false">'Raw Data'!I741</f>
        <v>0.0710244269219304</v>
      </c>
      <c r="F744" s="17" t="b">
        <f aca="false">'Raw Data'!S741</f>
        <v>0</v>
      </c>
    </row>
    <row r="745" customFormat="false" ht="15" hidden="false" customHeight="true" outlineLevel="0" collapsed="false">
      <c r="A745" s="12" t="n">
        <f aca="false">'Raw Data'!A742</f>
        <v>42378</v>
      </c>
      <c r="B745" s="32" t="n">
        <f aca="false">'Raw Data'!E742</f>
        <v>41.1208485635095</v>
      </c>
      <c r="C745" s="32" t="n">
        <f aca="false">'Raw Data'!F742</f>
        <v>38.1684378478458</v>
      </c>
      <c r="D745" s="15" t="n">
        <f aca="false">'Raw Data'!H742</f>
        <v>0.0717983898387666</v>
      </c>
      <c r="E745" s="15" t="n">
        <f aca="false">'Raw Data'!I742</f>
        <v>0.0717983898387667</v>
      </c>
      <c r="F745" s="17" t="b">
        <f aca="false">'Raw Data'!S742</f>
        <v>0</v>
      </c>
    </row>
    <row r="746" customFormat="false" ht="15" hidden="false" customHeight="true" outlineLevel="0" collapsed="false">
      <c r="A746" s="12" t="n">
        <f aca="false">'Raw Data'!A743</f>
        <v>42379</v>
      </c>
      <c r="B746" s="32" t="n">
        <f aca="false">'Raw Data'!E743</f>
        <v>41.1298835785723</v>
      </c>
      <c r="C746" s="32" t="n">
        <f aca="false">'Raw Data'!F743</f>
        <v>38.1963245310287</v>
      </c>
      <c r="D746" s="15" t="n">
        <f aca="false">'Raw Data'!H743</f>
        <v>0.0713242730663091</v>
      </c>
      <c r="E746" s="15" t="n">
        <f aca="false">'Raw Data'!I743</f>
        <v>0.0713242730663091</v>
      </c>
      <c r="F746" s="17" t="b">
        <f aca="false">'Raw Data'!S743</f>
        <v>0</v>
      </c>
    </row>
    <row r="747" customFormat="false" ht="15" hidden="false" customHeight="true" outlineLevel="0" collapsed="false">
      <c r="A747" s="12" t="n">
        <f aca="false">'Raw Data'!A744</f>
        <v>42380</v>
      </c>
      <c r="B747" s="32" t="n">
        <f aca="false">'Raw Data'!E744</f>
        <v>41.1573646064484</v>
      </c>
      <c r="C747" s="32" t="n">
        <f aca="false">'Raw Data'!F744</f>
        <v>38.1656264186954</v>
      </c>
      <c r="D747" s="15" t="n">
        <f aca="false">'Raw Data'!H744</f>
        <v>0.0726902272864256</v>
      </c>
      <c r="E747" s="15" t="n">
        <f aca="false">'Raw Data'!I744</f>
        <v>0.0726902272864256</v>
      </c>
      <c r="F747" s="17" t="b">
        <f aca="false">'Raw Data'!S744</f>
        <v>0</v>
      </c>
    </row>
    <row r="748" customFormat="false" ht="15" hidden="false" customHeight="true" outlineLevel="0" collapsed="false">
      <c r="A748" s="12" t="n">
        <f aca="false">'Raw Data'!A745</f>
        <v>42381</v>
      </c>
      <c r="B748" s="32" t="n">
        <f aca="false">'Raw Data'!E745</f>
        <v>41.1442106346625</v>
      </c>
      <c r="C748" s="32" t="n">
        <f aca="false">'Raw Data'!F745</f>
        <v>38.1574340487207</v>
      </c>
      <c r="D748" s="15" t="n">
        <f aca="false">'Raw Data'!H745</f>
        <v>0.0725928761269143</v>
      </c>
      <c r="E748" s="15" t="n">
        <f aca="false">'Raw Data'!I745</f>
        <v>0.0725928761269144</v>
      </c>
      <c r="F748" s="17" t="b">
        <f aca="false">'Raw Data'!S745</f>
        <v>0</v>
      </c>
    </row>
    <row r="749" customFormat="false" ht="15" hidden="false" customHeight="true" outlineLevel="0" collapsed="false">
      <c r="A749" s="12" t="n">
        <f aca="false">'Raw Data'!A746</f>
        <v>42382</v>
      </c>
      <c r="B749" s="32" t="n">
        <f aca="false">'Raw Data'!E746</f>
        <v>41.1116465511377</v>
      </c>
      <c r="C749" s="32" t="n">
        <f aca="false">'Raw Data'!F746</f>
        <v>38.1753995325196</v>
      </c>
      <c r="D749" s="15" t="n">
        <f aca="false">'Raw Data'!H746</f>
        <v>0.0714212945707669</v>
      </c>
      <c r="E749" s="15" t="n">
        <f aca="false">'Raw Data'!I746</f>
        <v>0.071421294570767</v>
      </c>
      <c r="F749" s="17" t="b">
        <f aca="false">'Raw Data'!S746</f>
        <v>0</v>
      </c>
    </row>
    <row r="750" customFormat="false" ht="15" hidden="false" customHeight="true" outlineLevel="0" collapsed="false">
      <c r="A750" s="12" t="n">
        <f aca="false">'Raw Data'!A747</f>
        <v>42383</v>
      </c>
      <c r="B750" s="32" t="n">
        <f aca="false">'Raw Data'!E747</f>
        <v>41.1513910863311</v>
      </c>
      <c r="C750" s="32" t="n">
        <f aca="false">'Raw Data'!F747</f>
        <v>38.1530615862519</v>
      </c>
      <c r="D750" s="15" t="n">
        <f aca="false">'Raw Data'!H747</f>
        <v>0.0728609512565221</v>
      </c>
      <c r="E750" s="15" t="n">
        <f aca="false">'Raw Data'!I747</f>
        <v>0.0728609512565221</v>
      </c>
      <c r="F750" s="17" t="b">
        <f aca="false">'Raw Data'!S747</f>
        <v>0</v>
      </c>
    </row>
    <row r="751" customFormat="false" ht="15" hidden="false" customHeight="true" outlineLevel="0" collapsed="false">
      <c r="A751" s="12" t="n">
        <f aca="false">'Raw Data'!A748</f>
        <v>42384</v>
      </c>
      <c r="B751" s="32" t="n">
        <f aca="false">'Raw Data'!E748</f>
        <v>41.1203206666184</v>
      </c>
      <c r="C751" s="32" t="n">
        <f aca="false">'Raw Data'!F748</f>
        <v>38.1702016907097</v>
      </c>
      <c r="D751" s="15" t="n">
        <f aca="false">'Raw Data'!H748</f>
        <v>0.0717435790403159</v>
      </c>
      <c r="E751" s="15" t="n">
        <f aca="false">'Raw Data'!I748</f>
        <v>0.0717435790403159</v>
      </c>
      <c r="F751" s="17" t="b">
        <f aca="false">'Raw Data'!S748</f>
        <v>0</v>
      </c>
    </row>
    <row r="752" customFormat="false" ht="15" hidden="false" customHeight="true" outlineLevel="0" collapsed="false">
      <c r="A752" s="12" t="n">
        <f aca="false">'Raw Data'!A749</f>
        <v>42385</v>
      </c>
      <c r="B752" s="32" t="n">
        <f aca="false">'Raw Data'!E749</f>
        <v>41.1193795110711</v>
      </c>
      <c r="C752" s="32" t="n">
        <f aca="false">'Raw Data'!F749</f>
        <v>38.172245746667</v>
      </c>
      <c r="D752" s="15" t="n">
        <f aca="false">'Raw Data'!H749</f>
        <v>0.0716726224823174</v>
      </c>
      <c r="E752" s="15" t="n">
        <f aca="false">'Raw Data'!I749</f>
        <v>0.0716726224823175</v>
      </c>
      <c r="F752" s="17" t="b">
        <f aca="false">'Raw Data'!S749</f>
        <v>0</v>
      </c>
    </row>
    <row r="753" customFormat="false" ht="15" hidden="false" customHeight="true" outlineLevel="0" collapsed="false">
      <c r="A753" s="12" t="n">
        <f aca="false">'Raw Data'!A750</f>
        <v>42386</v>
      </c>
      <c r="B753" s="32" t="n">
        <f aca="false">'Raw Data'!E750</f>
        <v>41.116989714449</v>
      </c>
      <c r="C753" s="32" t="n">
        <f aca="false">'Raw Data'!F750</f>
        <v>38.1963541765184</v>
      </c>
      <c r="D753" s="15" t="n">
        <f aca="false">'Raw Data'!H750</f>
        <v>0.0710323289281141</v>
      </c>
      <c r="E753" s="15" t="n">
        <f aca="false">'Raw Data'!I750</f>
        <v>0.071032328928114</v>
      </c>
      <c r="F753" s="17" t="b">
        <f aca="false">'Raw Data'!S750</f>
        <v>0</v>
      </c>
    </row>
    <row r="754" customFormat="false" ht="15" hidden="false" customHeight="true" outlineLevel="0" collapsed="false">
      <c r="A754" s="12" t="n">
        <f aca="false">'Raw Data'!A751</f>
        <v>42387</v>
      </c>
      <c r="B754" s="32" t="n">
        <f aca="false">'Raw Data'!E751</f>
        <v>41.1315461554854</v>
      </c>
      <c r="C754" s="32" t="n">
        <f aca="false">'Raw Data'!F751</f>
        <v>38.1677384402939</v>
      </c>
      <c r="D754" s="15" t="n">
        <f aca="false">'Raw Data'!H751</f>
        <v>0.0720568029217226</v>
      </c>
      <c r="E754" s="15" t="n">
        <f aca="false">'Raw Data'!I751</f>
        <v>0.0720568029217226</v>
      </c>
      <c r="F754" s="17" t="b">
        <f aca="false">'Raw Data'!S751</f>
        <v>0</v>
      </c>
    </row>
    <row r="755" customFormat="false" ht="15" hidden="false" customHeight="true" outlineLevel="0" collapsed="false">
      <c r="A755" s="12" t="n">
        <f aca="false">'Raw Data'!A752</f>
        <v>42388</v>
      </c>
      <c r="B755" s="32" t="n">
        <f aca="false">'Raw Data'!E752</f>
        <v>41.1153903792948</v>
      </c>
      <c r="C755" s="32" t="n">
        <f aca="false">'Raw Data'!F752</f>
        <v>38.1651757385158</v>
      </c>
      <c r="D755" s="15" t="n">
        <f aca="false">'Raw Data'!H752</f>
        <v>0.0717545087998167</v>
      </c>
      <c r="E755" s="15" t="n">
        <f aca="false">'Raw Data'!I752</f>
        <v>0.0717545087998167</v>
      </c>
      <c r="F755" s="17" t="b">
        <f aca="false">'Raw Data'!S752</f>
        <v>0</v>
      </c>
    </row>
    <row r="756" customFormat="false" ht="15" hidden="false" customHeight="true" outlineLevel="0" collapsed="false">
      <c r="A756" s="12" t="n">
        <f aca="false">'Raw Data'!A753</f>
        <v>42389</v>
      </c>
      <c r="B756" s="32" t="n">
        <f aca="false">'Raw Data'!E753</f>
        <v>33.4150942355949</v>
      </c>
      <c r="C756" s="32" t="n">
        <f aca="false">'Raw Data'!F753</f>
        <v>38.1807242138278</v>
      </c>
      <c r="D756" s="15" t="n">
        <f aca="false">'Raw Data'!H753</f>
        <v>-0.142619079408621</v>
      </c>
      <c r="E756" s="15" t="n">
        <f aca="false">'Raw Data'!I753</f>
        <v>-0.142619079408621</v>
      </c>
      <c r="F756" s="17" t="b">
        <f aca="false">'Raw Data'!S753</f>
        <v>1</v>
      </c>
    </row>
    <row r="757" customFormat="false" ht="15" hidden="false" customHeight="true" outlineLevel="0" collapsed="false">
      <c r="A757" s="12" t="n">
        <f aca="false">'Raw Data'!A754</f>
        <v>42390</v>
      </c>
      <c r="B757" s="32" t="n">
        <f aca="false">'Raw Data'!E754</f>
        <v>41.18321462887</v>
      </c>
      <c r="C757" s="32" t="n">
        <f aca="false">'Raw Data'!F754</f>
        <v>38.0185887963947</v>
      </c>
      <c r="D757" s="15" t="n">
        <f aca="false">'Raw Data'!H754</f>
        <v>0.0768426132101135</v>
      </c>
      <c r="E757" s="15" t="n">
        <f aca="false">'Raw Data'!I754</f>
        <v>0.0768426132101136</v>
      </c>
      <c r="F757" s="17" t="b">
        <f aca="false">'Raw Data'!S754</f>
        <v>0</v>
      </c>
    </row>
    <row r="758" customFormat="false" ht="15" hidden="false" customHeight="true" outlineLevel="0" collapsed="false">
      <c r="A758" s="12" t="n">
        <f aca="false">'Raw Data'!A755</f>
        <v>42391</v>
      </c>
      <c r="B758" s="32" t="n">
        <f aca="false">'Raw Data'!E755</f>
        <v>34.1979552643021</v>
      </c>
      <c r="C758" s="32" t="n">
        <f aca="false">'Raw Data'!F755</f>
        <v>37.704704993945</v>
      </c>
      <c r="D758" s="15" t="n">
        <f aca="false">'Raw Data'!H755</f>
        <v>-0.10254267258205</v>
      </c>
      <c r="E758" s="15" t="n">
        <f aca="false">'Raw Data'!I755</f>
        <v>-0.10254267258205</v>
      </c>
      <c r="F758" s="17" t="b">
        <f aca="false">'Raw Data'!S755</f>
        <v>1</v>
      </c>
    </row>
    <row r="759" customFormat="false" ht="15" hidden="false" customHeight="true" outlineLevel="0" collapsed="false">
      <c r="A759" s="12" t="n">
        <f aca="false">'Raw Data'!A756</f>
        <v>42392</v>
      </c>
      <c r="B759" s="32" t="n">
        <f aca="false">'Raw Data'!E756</f>
        <v>34.2315119187972</v>
      </c>
      <c r="C759" s="32" t="n">
        <f aca="false">'Raw Data'!F756</f>
        <v>37.5779660156668</v>
      </c>
      <c r="D759" s="15" t="n">
        <f aca="false">'Raw Data'!H756</f>
        <v>-0.0977594593194702</v>
      </c>
      <c r="E759" s="15" t="n">
        <f aca="false">'Raw Data'!I756</f>
        <v>-0.0977594593194703</v>
      </c>
      <c r="F759" s="17" t="b">
        <f aca="false">'Raw Data'!S756</f>
        <v>1</v>
      </c>
    </row>
    <row r="760" customFormat="false" ht="15" hidden="false" customHeight="true" outlineLevel="0" collapsed="false">
      <c r="A760" s="12" t="n">
        <f aca="false">'Raw Data'!A757</f>
        <v>42393</v>
      </c>
      <c r="B760" s="32" t="n">
        <f aca="false">'Raw Data'!E757</f>
        <v>34.2769297905965</v>
      </c>
      <c r="C760" s="32" t="n">
        <f aca="false">'Raw Data'!F757</f>
        <v>37.5788814111464</v>
      </c>
      <c r="D760" s="15" t="n">
        <f aca="false">'Raw Data'!H757</f>
        <v>-0.0963316038140566</v>
      </c>
      <c r="E760" s="15" t="n">
        <f aca="false">'Raw Data'!I757</f>
        <v>-0.0963316038140566</v>
      </c>
      <c r="F760" s="17" t="b">
        <f aca="false">'Raw Data'!S757</f>
        <v>1</v>
      </c>
    </row>
    <row r="761" customFormat="false" ht="15" hidden="false" customHeight="true" outlineLevel="0" collapsed="false">
      <c r="A761" s="12" t="n">
        <f aca="false">'Raw Data'!A758</f>
        <v>42394</v>
      </c>
      <c r="B761" s="32" t="n">
        <f aca="false">'Raw Data'!E758</f>
        <v>34.2738194013651</v>
      </c>
      <c r="C761" s="32" t="n">
        <f aca="false">'Raw Data'!F758</f>
        <v>37.3720291270642</v>
      </c>
      <c r="D761" s="15" t="n">
        <f aca="false">'Raw Data'!H758</f>
        <v>-0.0903958117249015</v>
      </c>
      <c r="E761" s="15" t="n">
        <f aca="false">'Raw Data'!I758</f>
        <v>-0.0903958117249014</v>
      </c>
      <c r="F761" s="17" t="b">
        <f aca="false">'Raw Data'!S758</f>
        <v>1</v>
      </c>
    </row>
    <row r="762" customFormat="false" ht="15" hidden="false" customHeight="true" outlineLevel="0" collapsed="false">
      <c r="A762" s="12" t="n">
        <f aca="false">'Raw Data'!A759</f>
        <v>42395</v>
      </c>
      <c r="B762" s="32" t="n">
        <f aca="false">'Raw Data'!E759</f>
        <v>34.2453101397144</v>
      </c>
      <c r="C762" s="32" t="n">
        <f aca="false">'Raw Data'!F759</f>
        <v>37.0379806496568</v>
      </c>
      <c r="D762" s="15" t="n">
        <f aca="false">'Raw Data'!H759</f>
        <v>-0.0815489916297693</v>
      </c>
      <c r="E762" s="15" t="n">
        <f aca="false">'Raw Data'!I759</f>
        <v>-0.0815489916297693</v>
      </c>
      <c r="F762" s="17" t="b">
        <f aca="false">'Raw Data'!S759</f>
        <v>1</v>
      </c>
    </row>
    <row r="763" customFormat="false" ht="15" hidden="false" customHeight="true" outlineLevel="0" collapsed="false">
      <c r="A763" s="12" t="n">
        <f aca="false">'Raw Data'!A760</f>
        <v>42396</v>
      </c>
      <c r="B763" s="32" t="n">
        <f aca="false">'Raw Data'!E760</f>
        <v>34.2302072511884</v>
      </c>
      <c r="C763" s="32" t="n">
        <f aca="false">'Raw Data'!F760</f>
        <v>36.9880658818672</v>
      </c>
      <c r="D763" s="15" t="n">
        <f aca="false">'Raw Data'!H760</f>
        <v>-0.0805679793417887</v>
      </c>
      <c r="E763" s="15" t="n">
        <f aca="false">'Raw Data'!I760</f>
        <v>-0.0805679793417885</v>
      </c>
      <c r="F763" s="17" t="b">
        <f aca="false">'Raw Data'!S760</f>
        <v>1</v>
      </c>
    </row>
    <row r="764" customFormat="false" ht="15" hidden="false" customHeight="true" outlineLevel="0" collapsed="false">
      <c r="A764" s="12" t="n">
        <f aca="false">'Raw Data'!A761</f>
        <v>42397</v>
      </c>
      <c r="B764" s="32" t="n">
        <f aca="false">'Raw Data'!E761</f>
        <v>34.2072293472021</v>
      </c>
      <c r="C764" s="32" t="n">
        <f aca="false">'Raw Data'!F761</f>
        <v>36.8058445202298</v>
      </c>
      <c r="D764" s="15" t="n">
        <f aca="false">'Raw Data'!H761</f>
        <v>-0.0759668415892991</v>
      </c>
      <c r="E764" s="15" t="n">
        <f aca="false">'Raw Data'!I761</f>
        <v>-0.0759668415892991</v>
      </c>
      <c r="F764" s="17" t="b">
        <f aca="false">'Raw Data'!S761</f>
        <v>1</v>
      </c>
    </row>
    <row r="765" customFormat="false" ht="15" hidden="false" customHeight="true" outlineLevel="0" collapsed="false">
      <c r="A765" s="12" t="n">
        <f aca="false">'Raw Data'!A762</f>
        <v>42398</v>
      </c>
      <c r="B765" s="32" t="n">
        <f aca="false">'Raw Data'!E762</f>
        <v>33.4440612825956</v>
      </c>
      <c r="C765" s="32" t="n">
        <f aca="false">'Raw Data'!F762</f>
        <v>36.7394058470348</v>
      </c>
      <c r="D765" s="15" t="n">
        <f aca="false">'Raw Data'!H762</f>
        <v>-0.0985330261356187</v>
      </c>
      <c r="E765" s="15" t="n">
        <f aca="false">'Raw Data'!I762</f>
        <v>-0.0985330261356187</v>
      </c>
      <c r="F765" s="17" t="b">
        <f aca="false">'Raw Data'!S762</f>
        <v>1</v>
      </c>
    </row>
    <row r="766" customFormat="false" ht="15" hidden="false" customHeight="true" outlineLevel="0" collapsed="false">
      <c r="A766" s="12" t="n">
        <f aca="false">'Raw Data'!A763</f>
        <v>42399</v>
      </c>
      <c r="B766" s="32" t="n">
        <f aca="false">'Raw Data'!E763</f>
        <v>33.4052201663749</v>
      </c>
      <c r="C766" s="32" t="n">
        <f aca="false">'Raw Data'!F763</f>
        <v>36.6159795394584</v>
      </c>
      <c r="D766" s="15" t="n">
        <f aca="false">'Raw Data'!H763</f>
        <v>-0.096115498029718</v>
      </c>
      <c r="E766" s="15" t="n">
        <f aca="false">'Raw Data'!I763</f>
        <v>-0.0961154980297182</v>
      </c>
      <c r="F766" s="17" t="b">
        <f aca="false">'Raw Data'!S763</f>
        <v>1</v>
      </c>
    </row>
    <row r="767" customFormat="false" ht="15" hidden="false" customHeight="true" outlineLevel="0" collapsed="false">
      <c r="A767" s="12" t="n">
        <f aca="false">'Raw Data'!A764</f>
        <v>42400</v>
      </c>
      <c r="B767" s="32" t="n">
        <f aca="false">'Raw Data'!E764</f>
        <v>33.4259106420186</v>
      </c>
      <c r="C767" s="32" t="n">
        <f aca="false">'Raw Data'!F764</f>
        <v>36.5765811654844</v>
      </c>
      <c r="D767" s="15" t="n">
        <f aca="false">'Raw Data'!H764</f>
        <v>-0.0942583302279643</v>
      </c>
      <c r="E767" s="15" t="n">
        <f aca="false">'Raw Data'!I764</f>
        <v>-0.0942583302279644</v>
      </c>
      <c r="F767" s="17" t="b">
        <f aca="false">'Raw Data'!S764</f>
        <v>0</v>
      </c>
    </row>
    <row r="768" customFormat="false" ht="15" hidden="false" customHeight="true" outlineLevel="0" collapsed="false">
      <c r="A768" s="12" t="n">
        <f aca="false">'Raw Data'!A765</f>
        <v>42401</v>
      </c>
      <c r="B768" s="32" t="n">
        <f aca="false">'Raw Data'!E765</f>
        <v>33.3895732184342</v>
      </c>
      <c r="C768" s="32" t="n">
        <f aca="false">'Raw Data'!F765</f>
        <v>36.5583755425029</v>
      </c>
      <c r="D768" s="15" t="n">
        <f aca="false">'Raw Data'!H765</f>
        <v>-0.0949039481079438</v>
      </c>
      <c r="E768" s="15" t="n">
        <f aca="false">'Raw Data'!I765</f>
        <v>-0.0949039481079439</v>
      </c>
      <c r="F768" s="17" t="b">
        <f aca="false">'Raw Data'!S765</f>
        <v>1</v>
      </c>
    </row>
    <row r="769" customFormat="false" ht="15" hidden="false" customHeight="true" outlineLevel="0" collapsed="false">
      <c r="A769" s="12" t="n">
        <f aca="false">'Raw Data'!A766</f>
        <v>42402</v>
      </c>
      <c r="B769" s="32" t="n">
        <f aca="false">'Raw Data'!E766</f>
        <v>34.2676650231103</v>
      </c>
      <c r="C769" s="32" t="n">
        <f aca="false">'Raw Data'!F766</f>
        <v>36.4275048187282</v>
      </c>
      <c r="D769" s="15" t="n">
        <f aca="false">'Raw Data'!H766</f>
        <v>-0.0630285078998317</v>
      </c>
      <c r="E769" s="15" t="n">
        <f aca="false">'Raw Data'!I766</f>
        <v>-0.0630285078998316</v>
      </c>
      <c r="F769" s="17" t="b">
        <f aca="false">'Raw Data'!S766</f>
        <v>0</v>
      </c>
    </row>
    <row r="770" customFormat="false" ht="15" hidden="false" customHeight="true" outlineLevel="0" collapsed="false">
      <c r="A770" s="12" t="n">
        <f aca="false">'Raw Data'!A767</f>
        <v>42403</v>
      </c>
      <c r="B770" s="32" t="n">
        <f aca="false">'Raw Data'!E767</f>
        <v>34.2530213447061</v>
      </c>
      <c r="C770" s="32" t="n">
        <f aca="false">'Raw Data'!F767</f>
        <v>36.3579192945987</v>
      </c>
      <c r="D770" s="15" t="n">
        <f aca="false">'Raw Data'!H767</f>
        <v>-0.0614514535436129</v>
      </c>
      <c r="E770" s="15" t="n">
        <f aca="false">'Raw Data'!I767</f>
        <v>-0.0614514535436129</v>
      </c>
      <c r="F770" s="17" t="b">
        <f aca="false">'Raw Data'!S767</f>
        <v>0</v>
      </c>
    </row>
    <row r="771" customFormat="false" ht="15" hidden="false" customHeight="true" outlineLevel="0" collapsed="false">
      <c r="A771" s="12" t="n">
        <f aca="false">'Raw Data'!A768</f>
        <v>42404</v>
      </c>
      <c r="B771" s="32" t="n">
        <f aca="false">'Raw Data'!E768</f>
        <v>34.3424437820036</v>
      </c>
      <c r="C771" s="32" t="n">
        <f aca="false">'Raw Data'!F768</f>
        <v>36.3556680379976</v>
      </c>
      <c r="D771" s="15" t="n">
        <f aca="false">'Raw Data'!H768</f>
        <v>-0.0586220441612524</v>
      </c>
      <c r="E771" s="15" t="n">
        <f aca="false">'Raw Data'!I768</f>
        <v>-0.0586220441612525</v>
      </c>
      <c r="F771" s="17" t="b">
        <f aca="false">'Raw Data'!S768</f>
        <v>0</v>
      </c>
    </row>
    <row r="772" customFormat="false" ht="15" hidden="false" customHeight="true" outlineLevel="0" collapsed="false">
      <c r="A772" s="12" t="n">
        <f aca="false">'Raw Data'!A769</f>
        <v>42405</v>
      </c>
      <c r="B772" s="32" t="n">
        <f aca="false">'Raw Data'!E769</f>
        <v>34.2857603312227</v>
      </c>
      <c r="C772" s="32" t="n">
        <f aca="false">'Raw Data'!F769</f>
        <v>36.3422599196484</v>
      </c>
      <c r="D772" s="15" t="n">
        <f aca="false">'Raw Data'!H769</f>
        <v>-0.0599811574414151</v>
      </c>
      <c r="E772" s="15" t="n">
        <f aca="false">'Raw Data'!I769</f>
        <v>-0.0599811574414152</v>
      </c>
      <c r="F772" s="17" t="b">
        <f aca="false">'Raw Data'!S769</f>
        <v>0</v>
      </c>
    </row>
    <row r="773" customFormat="false" ht="15" hidden="false" customHeight="true" outlineLevel="0" collapsed="false">
      <c r="A773" s="12" t="n">
        <f aca="false">'Raw Data'!A770</f>
        <v>42406</v>
      </c>
      <c r="B773" s="32" t="n">
        <f aca="false">'Raw Data'!E770</f>
        <v>34.2769350910714</v>
      </c>
      <c r="C773" s="32" t="n">
        <f aca="false">'Raw Data'!F770</f>
        <v>36.3362023095618</v>
      </c>
      <c r="D773" s="15" t="n">
        <f aca="false">'Raw Data'!H770</f>
        <v>-0.0600773439346045</v>
      </c>
      <c r="E773" s="15" t="n">
        <f aca="false">'Raw Data'!I770</f>
        <v>-0.0600773439346045</v>
      </c>
      <c r="F773" s="17" t="b">
        <f aca="false">'Raw Data'!S770</f>
        <v>0</v>
      </c>
    </row>
    <row r="774" customFormat="false" ht="15" hidden="false" customHeight="true" outlineLevel="0" collapsed="false">
      <c r="A774" s="12" t="n">
        <f aca="false">'Raw Data'!A771</f>
        <v>42407</v>
      </c>
      <c r="B774" s="32" t="n">
        <f aca="false">'Raw Data'!E771</f>
        <v>34.3056940156871</v>
      </c>
      <c r="C774" s="32" t="n">
        <f aca="false">'Raw Data'!F771</f>
        <v>36.360938757896</v>
      </c>
      <c r="D774" s="15" t="n">
        <f aca="false">'Raw Data'!H771</f>
        <v>-0.0599097263932098</v>
      </c>
      <c r="E774" s="15" t="n">
        <f aca="false">'Raw Data'!I771</f>
        <v>-0.05990972639321</v>
      </c>
      <c r="F774" s="17" t="b">
        <f aca="false">'Raw Data'!S771</f>
        <v>0</v>
      </c>
    </row>
    <row r="775" customFormat="false" ht="15" hidden="false" customHeight="true" outlineLevel="0" collapsed="false">
      <c r="A775" s="12" t="n">
        <f aca="false">'Raw Data'!A772</f>
        <v>42408</v>
      </c>
      <c r="B775" s="32" t="n">
        <f aca="false">'Raw Data'!E772</f>
        <v>34.2515803218878</v>
      </c>
      <c r="C775" s="32" t="n">
        <f aca="false">'Raw Data'!F772</f>
        <v>36.3681348688734</v>
      </c>
      <c r="D775" s="15" t="n">
        <f aca="false">'Raw Data'!H772</f>
        <v>-0.0617943618103077</v>
      </c>
      <c r="E775" s="15" t="n">
        <f aca="false">'Raw Data'!I772</f>
        <v>-0.0617943618103078</v>
      </c>
      <c r="F775" s="17" t="b">
        <f aca="false">'Raw Data'!S772</f>
        <v>0</v>
      </c>
    </row>
    <row r="776" customFormat="false" ht="15" hidden="false" customHeight="true" outlineLevel="0" collapsed="false">
      <c r="A776" s="12" t="n">
        <f aca="false">'Raw Data'!A773</f>
        <v>42409</v>
      </c>
      <c r="B776" s="32" t="n">
        <f aca="false">'Raw Data'!E773</f>
        <v>41.1569248259328</v>
      </c>
      <c r="C776" s="32" t="n">
        <f aca="false">'Raw Data'!F773</f>
        <v>36.3771392197269</v>
      </c>
      <c r="D776" s="15" t="n">
        <f aca="false">'Raw Data'!H773</f>
        <v>0.116135635167627</v>
      </c>
      <c r="E776" s="15" t="n">
        <f aca="false">'Raw Data'!I773</f>
        <v>0.116135635167627</v>
      </c>
      <c r="F776" s="17" t="b">
        <f aca="false">'Raw Data'!S773</f>
        <v>0</v>
      </c>
    </row>
    <row r="777" customFormat="false" ht="15" hidden="false" customHeight="true" outlineLevel="0" collapsed="false">
      <c r="A777" s="12" t="n">
        <f aca="false">'Raw Data'!A774</f>
        <v>42410</v>
      </c>
      <c r="B777" s="32" t="n">
        <f aca="false">'Raw Data'!E774</f>
        <v>42.0061644000983</v>
      </c>
      <c r="C777" s="32" t="n">
        <f aca="false">'Raw Data'!F774</f>
        <v>36.372363618835</v>
      </c>
      <c r="D777" s="15" t="n">
        <f aca="false">'Raw Data'!H774</f>
        <v>0.134118429085854</v>
      </c>
      <c r="E777" s="15" t="n">
        <f aca="false">'Raw Data'!I774</f>
        <v>0.134118429085854</v>
      </c>
      <c r="F777" s="17" t="b">
        <f aca="false">'Raw Data'!S774</f>
        <v>0</v>
      </c>
    </row>
    <row r="778" customFormat="false" ht="15" hidden="false" customHeight="true" outlineLevel="0" collapsed="false">
      <c r="A778" s="12" t="n">
        <f aca="false">'Raw Data'!A775</f>
        <v>42411</v>
      </c>
      <c r="B778" s="32" t="n">
        <f aca="false">'Raw Data'!E775</f>
        <v>41.9901248914818</v>
      </c>
      <c r="C778" s="32" t="n">
        <f aca="false">'Raw Data'!F775</f>
        <v>36.387762970081</v>
      </c>
      <c r="D778" s="15" t="n">
        <f aca="false">'Raw Data'!H775</f>
        <v>0.133420939706168</v>
      </c>
      <c r="E778" s="15" t="n">
        <f aca="false">'Raw Data'!I775</f>
        <v>0.133420939706168</v>
      </c>
      <c r="F778" s="17" t="b">
        <f aca="false">'Raw Data'!S775</f>
        <v>0</v>
      </c>
    </row>
    <row r="779" customFormat="false" ht="15" hidden="false" customHeight="true" outlineLevel="0" collapsed="false">
      <c r="A779" s="12" t="n">
        <f aca="false">'Raw Data'!A776</f>
        <v>42412</v>
      </c>
      <c r="B779" s="32" t="n">
        <f aca="false">'Raw Data'!E776</f>
        <v>42.021449708714</v>
      </c>
      <c r="C779" s="32" t="n">
        <f aca="false">'Raw Data'!F776</f>
        <v>36.5848368343867</v>
      </c>
      <c r="D779" s="15" t="n">
        <f aca="false">'Raw Data'!H776</f>
        <v>0.129377089843713</v>
      </c>
      <c r="E779" s="15" t="n">
        <f aca="false">'Raw Data'!I776</f>
        <v>0.129377089843713</v>
      </c>
      <c r="F779" s="17" t="b">
        <f aca="false">'Raw Data'!S776</f>
        <v>0</v>
      </c>
    </row>
    <row r="780" customFormat="false" ht="15" hidden="false" customHeight="true" outlineLevel="0" collapsed="false">
      <c r="A780" s="12" t="n">
        <f aca="false">'Raw Data'!A777</f>
        <v>42413</v>
      </c>
      <c r="B780" s="32" t="n">
        <f aca="false">'Raw Data'!E777</f>
        <v>42.0320360364248</v>
      </c>
      <c r="C780" s="32" t="n">
        <f aca="false">'Raw Data'!F777</f>
        <v>36.6721032114839</v>
      </c>
      <c r="D780" s="15" t="n">
        <f aca="false">'Raw Data'!H777</f>
        <v>0.127520180566462</v>
      </c>
      <c r="E780" s="15" t="n">
        <f aca="false">'Raw Data'!I777</f>
        <v>0.127520180566462</v>
      </c>
      <c r="F780" s="17" t="b">
        <f aca="false">'Raw Data'!S777</f>
        <v>0</v>
      </c>
    </row>
    <row r="781" customFormat="false" ht="15" hidden="false" customHeight="true" outlineLevel="0" collapsed="false">
      <c r="A781" s="12" t="n">
        <f aca="false">'Raw Data'!A778</f>
        <v>42414</v>
      </c>
      <c r="B781" s="32" t="n">
        <f aca="false">'Raw Data'!E778</f>
        <v>42.020851481432</v>
      </c>
      <c r="C781" s="32" t="n">
        <f aca="false">'Raw Data'!F778</f>
        <v>36.4749305816924</v>
      </c>
      <c r="D781" s="15" t="n">
        <f aca="false">'Raw Data'!H778</f>
        <v>0.131980212304602</v>
      </c>
      <c r="E781" s="15" t="n">
        <f aca="false">'Raw Data'!I778</f>
        <v>0.131980212304602</v>
      </c>
      <c r="F781" s="17" t="b">
        <f aca="false">'Raw Data'!S778</f>
        <v>0</v>
      </c>
    </row>
    <row r="782" customFormat="false" ht="15" hidden="false" customHeight="true" outlineLevel="0" collapsed="false">
      <c r="A782" s="12" t="n">
        <f aca="false">'Raw Data'!A779</f>
        <v>42415</v>
      </c>
      <c r="B782" s="32" t="n">
        <f aca="false">'Raw Data'!E779</f>
        <v>41.9882250171522</v>
      </c>
      <c r="C782" s="32" t="n">
        <f aca="false">'Raw Data'!F779</f>
        <v>36.9623215582507</v>
      </c>
      <c r="D782" s="15" t="n">
        <f aca="false">'Raw Data'!H779</f>
        <v>0.119697926188794</v>
      </c>
      <c r="E782" s="15" t="n">
        <f aca="false">'Raw Data'!I779</f>
        <v>0.119697926188794</v>
      </c>
      <c r="F782" s="17" t="b">
        <f aca="false">'Raw Data'!S779</f>
        <v>0</v>
      </c>
    </row>
    <row r="783" customFormat="false" ht="15" hidden="false" customHeight="true" outlineLevel="0" collapsed="false">
      <c r="A783" s="12" t="n">
        <f aca="false">'Raw Data'!A780</f>
        <v>42416</v>
      </c>
      <c r="B783" s="32" t="n">
        <f aca="false">'Raw Data'!E780</f>
        <v>42.012325841211</v>
      </c>
      <c r="C783" s="32" t="n">
        <f aca="false">'Raw Data'!F780</f>
        <v>37.0826989888163</v>
      </c>
      <c r="D783" s="15" t="n">
        <f aca="false">'Raw Data'!H780</f>
        <v>0.117337632556375</v>
      </c>
      <c r="E783" s="15" t="n">
        <f aca="false">'Raw Data'!I780</f>
        <v>0.117337632556375</v>
      </c>
      <c r="F783" s="17" t="b">
        <f aca="false">'Raw Data'!S780</f>
        <v>0</v>
      </c>
    </row>
    <row r="784" customFormat="false" ht="15" hidden="false" customHeight="true" outlineLevel="0" collapsed="false">
      <c r="A784" s="12" t="n">
        <f aca="false">'Raw Data'!A781</f>
        <v>42417</v>
      </c>
      <c r="B784" s="32" t="n">
        <f aca="false">'Raw Data'!E781</f>
        <v>35.0989235773449</v>
      </c>
      <c r="C784" s="32" t="n">
        <f aca="false">'Raw Data'!F781</f>
        <v>36.988634546376</v>
      </c>
      <c r="D784" s="15" t="n">
        <f aca="false">'Raw Data'!H781</f>
        <v>-0.053839570460527</v>
      </c>
      <c r="E784" s="15" t="n">
        <f aca="false">'Raw Data'!I781</f>
        <v>-0.053839570460527</v>
      </c>
      <c r="F784" s="17" t="b">
        <f aca="false">'Raw Data'!S781</f>
        <v>0</v>
      </c>
    </row>
    <row r="785" customFormat="false" ht="15" hidden="false" customHeight="true" outlineLevel="0" collapsed="false">
      <c r="A785" s="12" t="n">
        <f aca="false">'Raw Data'!A782</f>
        <v>42418</v>
      </c>
      <c r="B785" s="32" t="n">
        <f aca="false">'Raw Data'!E782</f>
        <v>41.9771237351868</v>
      </c>
      <c r="C785" s="32" t="n">
        <f aca="false">'Raw Data'!F782</f>
        <v>37.0886419229066</v>
      </c>
      <c r="D785" s="15" t="n">
        <f aca="false">'Raw Data'!H782</f>
        <v>0.116455854458233</v>
      </c>
      <c r="E785" s="15" t="n">
        <f aca="false">'Raw Data'!I782</f>
        <v>0.116455854458232</v>
      </c>
      <c r="F785" s="17" t="b">
        <f aca="false">'Raw Data'!S782</f>
        <v>0</v>
      </c>
    </row>
    <row r="786" customFormat="false" ht="15" hidden="false" customHeight="true" outlineLevel="0" collapsed="false">
      <c r="A786" s="12" t="n">
        <f aca="false">'Raw Data'!A783</f>
        <v>42419</v>
      </c>
      <c r="B786" s="32" t="n">
        <f aca="false">'Raw Data'!E783</f>
        <v>41.9879203850053</v>
      </c>
      <c r="C786" s="32" t="n">
        <f aca="false">'Raw Data'!F783</f>
        <v>37.3460969350653</v>
      </c>
      <c r="D786" s="15" t="n">
        <f aca="false">'Raw Data'!H783</f>
        <v>0.110551401626399</v>
      </c>
      <c r="E786" s="15" t="n">
        <f aca="false">'Raw Data'!I783</f>
        <v>0.110551401626399</v>
      </c>
      <c r="F786" s="17" t="b">
        <f aca="false">'Raw Data'!S783</f>
        <v>0</v>
      </c>
    </row>
    <row r="787" customFormat="false" ht="15" hidden="false" customHeight="true" outlineLevel="0" collapsed="false">
      <c r="A787" s="12" t="n">
        <f aca="false">'Raw Data'!A784</f>
        <v>42420</v>
      </c>
      <c r="B787" s="32" t="n">
        <f aca="false">'Raw Data'!E784</f>
        <v>35.1204186600845</v>
      </c>
      <c r="C787" s="32" t="n">
        <f aca="false">'Raw Data'!F784</f>
        <v>37.3051837849579</v>
      </c>
      <c r="D787" s="15" t="n">
        <f aca="false">'Raw Data'!H784</f>
        <v>-0.0622078326007088</v>
      </c>
      <c r="E787" s="15" t="n">
        <f aca="false">'Raw Data'!I784</f>
        <v>-0.062207832600709</v>
      </c>
      <c r="F787" s="17" t="b">
        <f aca="false">'Raw Data'!S784</f>
        <v>1</v>
      </c>
    </row>
    <row r="788" customFormat="false" ht="15" hidden="false" customHeight="true" outlineLevel="0" collapsed="false">
      <c r="A788" s="12" t="n">
        <f aca="false">'Raw Data'!A785</f>
        <v>42421</v>
      </c>
      <c r="B788" s="32" t="n">
        <f aca="false">'Raw Data'!E785</f>
        <v>42.0092269690026</v>
      </c>
      <c r="C788" s="32" t="n">
        <f aca="false">'Raw Data'!F785</f>
        <v>37.4590530234158</v>
      </c>
      <c r="D788" s="15" t="n">
        <f aca="false">'Raw Data'!H785</f>
        <v>0.108313679491039</v>
      </c>
      <c r="E788" s="15" t="n">
        <f aca="false">'Raw Data'!I785</f>
        <v>0.108313679491039</v>
      </c>
      <c r="F788" s="17" t="b">
        <f aca="false">'Raw Data'!S785</f>
        <v>0</v>
      </c>
    </row>
    <row r="789" customFormat="false" ht="15" hidden="false" customHeight="true" outlineLevel="0" collapsed="false">
      <c r="A789" s="12" t="n">
        <f aca="false">'Raw Data'!A786</f>
        <v>42422</v>
      </c>
      <c r="B789" s="32" t="n">
        <f aca="false">'Raw Data'!E786</f>
        <v>42.0239038911385</v>
      </c>
      <c r="C789" s="32" t="n">
        <f aca="false">'Raw Data'!F786</f>
        <v>37.4559753559864</v>
      </c>
      <c r="D789" s="15" t="n">
        <f aca="false">'Raw Data'!H786</f>
        <v>0.10869833861664</v>
      </c>
      <c r="E789" s="15" t="n">
        <f aca="false">'Raw Data'!I786</f>
        <v>0.10869833861664</v>
      </c>
      <c r="F789" s="17" t="b">
        <f aca="false">'Raw Data'!S786</f>
        <v>0</v>
      </c>
    </row>
    <row r="790" customFormat="false" ht="15" hidden="false" customHeight="true" outlineLevel="0" collapsed="false">
      <c r="A790" s="12" t="n">
        <f aca="false">'Raw Data'!A787</f>
        <v>42423</v>
      </c>
      <c r="B790" s="32" t="n">
        <f aca="false">'Raw Data'!E787</f>
        <v>41.9776163270868</v>
      </c>
      <c r="C790" s="32" t="n">
        <f aca="false">'Raw Data'!F787</f>
        <v>37.7185261628725</v>
      </c>
      <c r="D790" s="15" t="n">
        <f aca="false">'Raw Data'!H787</f>
        <v>0.101460981753411</v>
      </c>
      <c r="E790" s="15" t="n">
        <f aca="false">'Raw Data'!I787</f>
        <v>0.101460981753411</v>
      </c>
      <c r="F790" s="17" t="b">
        <f aca="false">'Raw Data'!S787</f>
        <v>0</v>
      </c>
    </row>
    <row r="791" customFormat="false" ht="15" hidden="false" customHeight="true" outlineLevel="0" collapsed="false">
      <c r="A791" s="12" t="n">
        <f aca="false">'Raw Data'!A788</f>
        <v>42424</v>
      </c>
      <c r="B791" s="32" t="n">
        <f aca="false">'Raw Data'!E788</f>
        <v>36.8416684963058</v>
      </c>
      <c r="C791" s="32" t="n">
        <f aca="false">'Raw Data'!F788</f>
        <v>36.9354073372407</v>
      </c>
      <c r="D791" s="15" t="n">
        <f aca="false">'Raw Data'!H788</f>
        <v>-0.00254437013199631</v>
      </c>
      <c r="E791" s="15" t="n">
        <f aca="false">'Raw Data'!I788</f>
        <v>-0.00254437013199635</v>
      </c>
      <c r="F791" s="17" t="b">
        <f aca="false">'Raw Data'!S788</f>
        <v>0</v>
      </c>
    </row>
    <row r="792" customFormat="false" ht="15" hidden="false" customHeight="true" outlineLevel="0" collapsed="false">
      <c r="A792" s="12" t="n">
        <f aca="false">'Raw Data'!A789</f>
        <v>42425</v>
      </c>
      <c r="B792" s="32" t="n">
        <f aca="false">'Raw Data'!E789</f>
        <v>36.5457612716139</v>
      </c>
      <c r="C792" s="32" t="n">
        <f aca="false">'Raw Data'!F789</f>
        <v>36.9204125443388</v>
      </c>
      <c r="D792" s="15" t="n">
        <f aca="false">'Raw Data'!H789</f>
        <v>-0.0102515656997938</v>
      </c>
      <c r="E792" s="15" t="n">
        <f aca="false">'Raw Data'!I789</f>
        <v>-0.0102515656997937</v>
      </c>
      <c r="F792" s="17" t="b">
        <f aca="false">'Raw Data'!S789</f>
        <v>1</v>
      </c>
    </row>
    <row r="793" customFormat="false" ht="15" hidden="false" customHeight="true" outlineLevel="0" collapsed="false">
      <c r="A793" s="12" t="n">
        <f aca="false">'Raw Data'!A790</f>
        <v>42426</v>
      </c>
      <c r="B793" s="32" t="n">
        <f aca="false">'Raw Data'!E790</f>
        <v>38.2444270349413</v>
      </c>
      <c r="C793" s="32" t="n">
        <f aca="false">'Raw Data'!F790</f>
        <v>37.1029855497448</v>
      </c>
      <c r="D793" s="15" t="n">
        <f aca="false">'Raw Data'!H790</f>
        <v>0.0298459559651284</v>
      </c>
      <c r="E793" s="15" t="n">
        <f aca="false">'Raw Data'!I790</f>
        <v>0.0298459559651284</v>
      </c>
      <c r="F793" s="17" t="b">
        <f aca="false">'Raw Data'!S790</f>
        <v>1</v>
      </c>
    </row>
    <row r="794" customFormat="false" ht="15" hidden="false" customHeight="true" outlineLevel="0" collapsed="false">
      <c r="A794" s="12" t="n">
        <f aca="false">'Raw Data'!A791</f>
        <v>42427</v>
      </c>
      <c r="B794" s="32" t="n">
        <f aca="false">'Raw Data'!E791</f>
        <v>38.5008928270768</v>
      </c>
      <c r="C794" s="32" t="n">
        <f aca="false">'Raw Data'!F791</f>
        <v>37.4456744657798</v>
      </c>
      <c r="D794" s="15" t="n">
        <f aca="false">'Raw Data'!H791</f>
        <v>0.0274076335329793</v>
      </c>
      <c r="E794" s="15" t="n">
        <f aca="false">'Raw Data'!I791</f>
        <v>0.0274076335329792</v>
      </c>
      <c r="F794" s="17" t="b">
        <f aca="false">'Raw Data'!S791</f>
        <v>0</v>
      </c>
    </row>
    <row r="795" customFormat="false" ht="15" hidden="false" customHeight="true" outlineLevel="0" collapsed="false">
      <c r="A795" s="12" t="n">
        <f aca="false">'Raw Data'!A792</f>
        <v>42428</v>
      </c>
      <c r="B795" s="32" t="n">
        <f aca="false">'Raw Data'!E792</f>
        <v>39.10656271609</v>
      </c>
      <c r="C795" s="32" t="n">
        <f aca="false">'Raw Data'!F792</f>
        <v>37.641571775886</v>
      </c>
      <c r="D795" s="15" t="n">
        <f aca="false">'Raw Data'!H792</f>
        <v>0.0374615112772673</v>
      </c>
      <c r="E795" s="15" t="n">
        <f aca="false">'Raw Data'!I792</f>
        <v>0.0374615112772674</v>
      </c>
      <c r="F795" s="17" t="b">
        <f aca="false">'Raw Data'!S792</f>
        <v>0</v>
      </c>
    </row>
    <row r="796" customFormat="false" ht="15" hidden="false" customHeight="true" outlineLevel="0" collapsed="false">
      <c r="A796" s="12" t="n">
        <f aca="false">'Raw Data'!A793</f>
        <v>42429</v>
      </c>
      <c r="B796" s="32" t="n">
        <f aca="false">'Raw Data'!E793</f>
        <v>38.1918918135755</v>
      </c>
      <c r="C796" s="32" t="n">
        <f aca="false">'Raw Data'!F793</f>
        <v>37.5486157859557</v>
      </c>
      <c r="D796" s="15" t="n">
        <f aca="false">'Raw Data'!H793</f>
        <v>0.0168432616734428</v>
      </c>
      <c r="E796" s="15" t="n">
        <f aca="false">'Raw Data'!I793</f>
        <v>0.0168432616734428</v>
      </c>
      <c r="F796" s="17" t="b">
        <f aca="false">'Raw Data'!S793</f>
        <v>0</v>
      </c>
    </row>
    <row r="797" customFormat="false" ht="15" hidden="false" customHeight="true" outlineLevel="0" collapsed="false">
      <c r="A797" s="12" t="n">
        <f aca="false">'Raw Data'!A794</f>
        <v>42430</v>
      </c>
      <c r="B797" s="32" t="n">
        <f aca="false">'Raw Data'!E794</f>
        <v>38.3192782563735</v>
      </c>
      <c r="C797" s="32" t="n">
        <f aca="false">'Raw Data'!F794</f>
        <v>38.7714212749473</v>
      </c>
      <c r="D797" s="15" t="n">
        <f aca="false">'Raw Data'!H794</f>
        <v>-0.0117993615523962</v>
      </c>
      <c r="E797" s="15" t="n">
        <f aca="false">'Raw Data'!I794</f>
        <v>-0.0117993615523961</v>
      </c>
      <c r="F797" s="17" t="b">
        <f aca="false">'Raw Data'!S794</f>
        <v>0</v>
      </c>
    </row>
    <row r="798" customFormat="false" ht="15" hidden="false" customHeight="true" outlineLevel="0" collapsed="false">
      <c r="A798" s="12" t="n">
        <f aca="false">'Raw Data'!A795</f>
        <v>42431</v>
      </c>
      <c r="B798" s="32" t="n">
        <f aca="false">'Raw Data'!E795</f>
        <v>38.4624073678873</v>
      </c>
      <c r="C798" s="32" t="n">
        <f aca="false">'Raw Data'!F795</f>
        <v>39.1886499419625</v>
      </c>
      <c r="D798" s="15" t="n">
        <f aca="false">'Raw Data'!H795</f>
        <v>-0.0188818803547259</v>
      </c>
      <c r="E798" s="15" t="n">
        <f aca="false">'Raw Data'!I795</f>
        <v>-0.0188818803547258</v>
      </c>
      <c r="F798" s="17" t="b">
        <f aca="false">'Raw Data'!S795</f>
        <v>0</v>
      </c>
    </row>
    <row r="799" customFormat="false" ht="15" hidden="false" customHeight="true" outlineLevel="0" collapsed="false">
      <c r="A799" s="12" t="n">
        <f aca="false">'Raw Data'!A796</f>
        <v>42432</v>
      </c>
      <c r="B799" s="32" t="n">
        <f aca="false">'Raw Data'!E796</f>
        <v>38.560954377626</v>
      </c>
      <c r="C799" s="32" t="n">
        <f aca="false">'Raw Data'!F796</f>
        <v>39.2276850500265</v>
      </c>
      <c r="D799" s="15" t="n">
        <f aca="false">'Raw Data'!H796</f>
        <v>-0.0172903052624485</v>
      </c>
      <c r="E799" s="15" t="n">
        <f aca="false">'Raw Data'!I796</f>
        <v>-0.0172903052624484</v>
      </c>
      <c r="F799" s="17" t="b">
        <f aca="false">'Raw Data'!S796</f>
        <v>0</v>
      </c>
    </row>
    <row r="800" customFormat="false" ht="15" hidden="false" customHeight="true" outlineLevel="0" collapsed="false">
      <c r="A800" s="12" t="n">
        <f aca="false">'Raw Data'!A797</f>
        <v>42433</v>
      </c>
      <c r="B800" s="32" t="n">
        <f aca="false">'Raw Data'!E797</f>
        <v>38.7797113480525</v>
      </c>
      <c r="C800" s="32" t="n">
        <f aca="false">'Raw Data'!F797</f>
        <v>39.3013407046931</v>
      </c>
      <c r="D800" s="15" t="n">
        <f aca="false">'Raw Data'!H797</f>
        <v>-0.0134510892038076</v>
      </c>
      <c r="E800" s="15" t="n">
        <f aca="false">'Raw Data'!I797</f>
        <v>-0.0134510892038077</v>
      </c>
      <c r="F800" s="17" t="b">
        <f aca="false">'Raw Data'!S797</f>
        <v>0</v>
      </c>
    </row>
    <row r="801" customFormat="false" ht="15" hidden="false" customHeight="true" outlineLevel="0" collapsed="false">
      <c r="A801" s="12" t="n">
        <f aca="false">'Raw Data'!A798</f>
        <v>42434</v>
      </c>
      <c r="B801" s="32" t="n">
        <f aca="false">'Raw Data'!E798</f>
        <v>39.1165872703337</v>
      </c>
      <c r="C801" s="32" t="n">
        <f aca="false">'Raw Data'!F798</f>
        <v>39.4388048440929</v>
      </c>
      <c r="D801" s="15" t="n">
        <f aca="false">'Raw Data'!H798</f>
        <v>-0.00823736415276774</v>
      </c>
      <c r="E801" s="15" t="n">
        <f aca="false">'Raw Data'!I798</f>
        <v>-0.00823736415276765</v>
      </c>
      <c r="F801" s="17" t="b">
        <f aca="false">'Raw Data'!S798</f>
        <v>0</v>
      </c>
    </row>
    <row r="802" customFormat="false" ht="15" hidden="false" customHeight="true" outlineLevel="0" collapsed="false">
      <c r="A802" s="12" t="n">
        <f aca="false">'Raw Data'!A799</f>
        <v>42435</v>
      </c>
      <c r="B802" s="32" t="n">
        <f aca="false">'Raw Data'!E799</f>
        <v>39.3904288114104</v>
      </c>
      <c r="C802" s="32" t="n">
        <f aca="false">'Raw Data'!F799</f>
        <v>39.4964290564422</v>
      </c>
      <c r="D802" s="15" t="n">
        <f aca="false">'Raw Data'!H799</f>
        <v>-0.002691015260061</v>
      </c>
      <c r="E802" s="15" t="n">
        <f aca="false">'Raw Data'!I799</f>
        <v>-0.00269101526006097</v>
      </c>
      <c r="F802" s="17" t="b">
        <f aca="false">'Raw Data'!S799</f>
        <v>0</v>
      </c>
    </row>
    <row r="803" customFormat="false" ht="15" hidden="false" customHeight="true" outlineLevel="0" collapsed="false">
      <c r="A803" s="12" t="n">
        <f aca="false">'Raw Data'!A800</f>
        <v>42436</v>
      </c>
      <c r="B803" s="32" t="n">
        <f aca="false">'Raw Data'!E800</f>
        <v>37.8973091923947</v>
      </c>
      <c r="C803" s="32" t="n">
        <f aca="false">'Raw Data'!F800</f>
        <v>39.570698017484</v>
      </c>
      <c r="D803" s="15" t="n">
        <f aca="false">'Raw Data'!H800</f>
        <v>-0.0441558744077027</v>
      </c>
      <c r="E803" s="15" t="n">
        <f aca="false">'Raw Data'!I800</f>
        <v>-0.0441558744077028</v>
      </c>
      <c r="F803" s="17" t="b">
        <f aca="false">'Raw Data'!S800</f>
        <v>0</v>
      </c>
    </row>
    <row r="804" customFormat="false" ht="15" hidden="false" customHeight="true" outlineLevel="0" collapsed="false">
      <c r="A804" s="12" t="n">
        <f aca="false">'Raw Data'!A801</f>
        <v>42437</v>
      </c>
      <c r="B804" s="32" t="n">
        <f aca="false">'Raw Data'!E801</f>
        <v>38.381796676059</v>
      </c>
      <c r="C804" s="32" t="n">
        <f aca="false">'Raw Data'!F801</f>
        <v>39.5325815893215</v>
      </c>
      <c r="D804" s="15" t="n">
        <f aca="false">'Raw Data'!H801</f>
        <v>-0.0299825702005318</v>
      </c>
      <c r="E804" s="15" t="n">
        <f aca="false">'Raw Data'!I801</f>
        <v>-0.0299825702005318</v>
      </c>
      <c r="F804" s="17" t="b">
        <f aca="false">'Raw Data'!S801</f>
        <v>0</v>
      </c>
    </row>
    <row r="805" customFormat="false" ht="15" hidden="false" customHeight="true" outlineLevel="0" collapsed="false">
      <c r="A805" s="12" t="n">
        <f aca="false">'Raw Data'!A802</f>
        <v>42438</v>
      </c>
      <c r="B805" s="32" t="n">
        <f aca="false">'Raw Data'!E802</f>
        <v>41.9940850066596</v>
      </c>
      <c r="C805" s="32" t="n">
        <f aca="false">'Raw Data'!F802</f>
        <v>39.3410023585205</v>
      </c>
      <c r="D805" s="15" t="n">
        <f aca="false">'Raw Data'!H802</f>
        <v>0.0631775319719053</v>
      </c>
      <c r="E805" s="15" t="n">
        <f aca="false">'Raw Data'!I802</f>
        <v>0.0631775319719053</v>
      </c>
      <c r="F805" s="17" t="b">
        <f aca="false">'Raw Data'!S802</f>
        <v>0</v>
      </c>
    </row>
    <row r="806" customFormat="false" ht="15" hidden="false" customHeight="true" outlineLevel="0" collapsed="false">
      <c r="A806" s="12" t="n">
        <f aca="false">'Raw Data'!A803</f>
        <v>42439</v>
      </c>
      <c r="B806" s="32" t="n">
        <f aca="false">'Raw Data'!E803</f>
        <v>41.9876750925003</v>
      </c>
      <c r="C806" s="32" t="n">
        <f aca="false">'Raw Data'!F803</f>
        <v>39.3589687293013</v>
      </c>
      <c r="D806" s="15" t="n">
        <f aca="false">'Raw Data'!H803</f>
        <v>0.0626066186662593</v>
      </c>
      <c r="E806" s="15" t="n">
        <f aca="false">'Raw Data'!I803</f>
        <v>0.0626066186662593</v>
      </c>
      <c r="F806" s="17" t="b">
        <f aca="false">'Raw Data'!S803</f>
        <v>0</v>
      </c>
    </row>
    <row r="807" customFormat="false" ht="15" hidden="false" customHeight="true" outlineLevel="0" collapsed="false">
      <c r="A807" s="12" t="n">
        <f aca="false">'Raw Data'!A804</f>
        <v>42440</v>
      </c>
      <c r="B807" s="32" t="n">
        <f aca="false">'Raw Data'!E804</f>
        <v>42.0469245352396</v>
      </c>
      <c r="C807" s="32" t="n">
        <f aca="false">'Raw Data'!F804</f>
        <v>39.3809571657926</v>
      </c>
      <c r="D807" s="15" t="n">
        <f aca="false">'Raw Data'!H804</f>
        <v>0.0634045747439285</v>
      </c>
      <c r="E807" s="15" t="n">
        <f aca="false">'Raw Data'!I804</f>
        <v>0.0634045747439285</v>
      </c>
      <c r="F807" s="17" t="b">
        <f aca="false">'Raw Data'!S804</f>
        <v>0</v>
      </c>
    </row>
    <row r="808" customFormat="false" ht="15" hidden="false" customHeight="true" outlineLevel="0" collapsed="false">
      <c r="A808" s="12" t="n">
        <f aca="false">'Raw Data'!A805</f>
        <v>42441</v>
      </c>
      <c r="B808" s="32" t="n">
        <f aca="false">'Raw Data'!E805</f>
        <v>42.0412665672268</v>
      </c>
      <c r="C808" s="32" t="n">
        <f aca="false">'Raw Data'!F805</f>
        <v>39.5165083800928</v>
      </c>
      <c r="D808" s="15" t="n">
        <f aca="false">'Raw Data'!H805</f>
        <v>0.0600542845943228</v>
      </c>
      <c r="E808" s="15" t="n">
        <f aca="false">'Raw Data'!I805</f>
        <v>0.0600542845943228</v>
      </c>
      <c r="F808" s="17" t="b">
        <f aca="false">'Raw Data'!S805</f>
        <v>0</v>
      </c>
    </row>
    <row r="809" customFormat="false" ht="15" hidden="false" customHeight="true" outlineLevel="0" collapsed="false">
      <c r="A809" s="12" t="n">
        <f aca="false">'Raw Data'!A806</f>
        <v>42442</v>
      </c>
      <c r="B809" s="32" t="n">
        <f aca="false">'Raw Data'!E806</f>
        <v>42.0788091557874</v>
      </c>
      <c r="C809" s="32" t="n">
        <f aca="false">'Raw Data'!F806</f>
        <v>39.5955045347499</v>
      </c>
      <c r="D809" s="15" t="n">
        <f aca="false">'Raw Data'!H806</f>
        <v>0.0590155631981782</v>
      </c>
      <c r="E809" s="15" t="n">
        <f aca="false">'Raw Data'!I806</f>
        <v>0.0590155631981782</v>
      </c>
      <c r="F809" s="17" t="b">
        <f aca="false">'Raw Data'!S806</f>
        <v>0</v>
      </c>
    </row>
    <row r="810" customFormat="false" ht="15" hidden="false" customHeight="true" outlineLevel="0" collapsed="false">
      <c r="A810" s="12" t="n">
        <f aca="false">'Raw Data'!A807</f>
        <v>42443</v>
      </c>
      <c r="B810" s="32" t="n">
        <f aca="false">'Raw Data'!E807</f>
        <v>42.0602364280394</v>
      </c>
      <c r="C810" s="32" t="n">
        <f aca="false">'Raw Data'!F807</f>
        <v>39.5593327296957</v>
      </c>
      <c r="D810" s="15" t="n">
        <f aca="false">'Raw Data'!H807</f>
        <v>0.0594600485097729</v>
      </c>
      <c r="E810" s="15" t="n">
        <f aca="false">'Raw Data'!I807</f>
        <v>0.0594600485097729</v>
      </c>
      <c r="F810" s="17" t="b">
        <f aca="false">'Raw Data'!S807</f>
        <v>0</v>
      </c>
    </row>
    <row r="811" customFormat="false" ht="15" hidden="false" customHeight="true" outlineLevel="0" collapsed="false">
      <c r="A811" s="12" t="n">
        <f aca="false">'Raw Data'!A808</f>
        <v>42444</v>
      </c>
      <c r="B811" s="32" t="n">
        <f aca="false">'Raw Data'!E808</f>
        <v>42.0373733013638</v>
      </c>
      <c r="C811" s="32" t="n">
        <f aca="false">'Raw Data'!F808</f>
        <v>39.5932249910808</v>
      </c>
      <c r="D811" s="15" t="n">
        <f aca="false">'Raw Data'!H808</f>
        <v>0.0581422700405435</v>
      </c>
      <c r="E811" s="15" t="n">
        <f aca="false">'Raw Data'!I808</f>
        <v>0.0581422700405436</v>
      </c>
      <c r="F811" s="17" t="b">
        <f aca="false">'Raw Data'!S808</f>
        <v>0</v>
      </c>
    </row>
    <row r="812" customFormat="false" ht="15" hidden="false" customHeight="true" outlineLevel="0" collapsed="false">
      <c r="A812" s="12" t="n">
        <f aca="false">'Raw Data'!A809</f>
        <v>42445</v>
      </c>
      <c r="B812" s="32" t="n">
        <f aca="false">'Raw Data'!E809</f>
        <v>42.0193612417254</v>
      </c>
      <c r="C812" s="32" t="n">
        <f aca="false">'Raw Data'!F809</f>
        <v>39.614298797897</v>
      </c>
      <c r="D812" s="15" t="n">
        <f aca="false">'Raw Data'!H809</f>
        <v>0.0572370062931899</v>
      </c>
      <c r="E812" s="15" t="n">
        <f aca="false">'Raw Data'!I809</f>
        <v>0.0572370062931899</v>
      </c>
      <c r="F812" s="17" t="b">
        <f aca="false">'Raw Data'!S809</f>
        <v>0</v>
      </c>
    </row>
    <row r="813" customFormat="false" ht="15" hidden="false" customHeight="true" outlineLevel="0" collapsed="false">
      <c r="A813" s="12" t="n">
        <f aca="false">'Raw Data'!A810</f>
        <v>42446</v>
      </c>
      <c r="B813" s="32" t="n">
        <f aca="false">'Raw Data'!E810</f>
        <v>42.0422327903429</v>
      </c>
      <c r="C813" s="32" t="n">
        <f aca="false">'Raw Data'!F810</f>
        <v>39.5261170159956</v>
      </c>
      <c r="D813" s="15" t="n">
        <f aca="false">'Raw Data'!H810</f>
        <v>0.0598473393859616</v>
      </c>
      <c r="E813" s="15" t="n">
        <f aca="false">'Raw Data'!I810</f>
        <v>0.0598473393859617</v>
      </c>
      <c r="F813" s="17" t="b">
        <f aca="false">'Raw Data'!S810</f>
        <v>0</v>
      </c>
    </row>
    <row r="814" customFormat="false" ht="15" hidden="false" customHeight="true" outlineLevel="0" collapsed="false">
      <c r="A814" s="12" t="n">
        <f aca="false">'Raw Data'!A811</f>
        <v>42447</v>
      </c>
      <c r="B814" s="32" t="n">
        <f aca="false">'Raw Data'!E811</f>
        <v>41.9489985085394</v>
      </c>
      <c r="C814" s="32" t="n">
        <f aca="false">'Raw Data'!F811</f>
        <v>39.5213069193669</v>
      </c>
      <c r="D814" s="15" t="n">
        <f aca="false">'Raw Data'!H811</f>
        <v>0.0578724564468048</v>
      </c>
      <c r="E814" s="15" t="n">
        <f aca="false">'Raw Data'!I811</f>
        <v>0.0578724564468048</v>
      </c>
      <c r="F814" s="17" t="b">
        <f aca="false">'Raw Data'!S811</f>
        <v>0</v>
      </c>
    </row>
    <row r="815" customFormat="false" ht="15" hidden="false" customHeight="true" outlineLevel="0" collapsed="false">
      <c r="A815" s="12" t="n">
        <f aca="false">'Raw Data'!A812</f>
        <v>42448</v>
      </c>
      <c r="B815" s="32" t="n">
        <f aca="false">'Raw Data'!E812</f>
        <v>41.9952069923468</v>
      </c>
      <c r="C815" s="32" t="n">
        <f aca="false">'Raw Data'!F812</f>
        <v>39.552947162271</v>
      </c>
      <c r="D815" s="15" t="n">
        <f aca="false">'Raw Data'!H812</f>
        <v>0.0581556802546743</v>
      </c>
      <c r="E815" s="15" t="n">
        <f aca="false">'Raw Data'!I812</f>
        <v>0.0581556802546743</v>
      </c>
      <c r="F815" s="17" t="b">
        <f aca="false">'Raw Data'!S812</f>
        <v>0</v>
      </c>
    </row>
    <row r="816" customFormat="false" ht="15" hidden="false" customHeight="true" outlineLevel="0" collapsed="false">
      <c r="A816" s="12" t="n">
        <f aca="false">'Raw Data'!A813</f>
        <v>42449</v>
      </c>
      <c r="B816" s="32" t="n">
        <f aca="false">'Raw Data'!E813</f>
        <v>42.0596543698391</v>
      </c>
      <c r="C816" s="32" t="n">
        <f aca="false">'Raw Data'!F813</f>
        <v>39.5901163479949</v>
      </c>
      <c r="D816" s="15" t="n">
        <f aca="false">'Raw Data'!H813</f>
        <v>0.0587151287580526</v>
      </c>
      <c r="E816" s="15" t="n">
        <f aca="false">'Raw Data'!I813</f>
        <v>0.0587151287580526</v>
      </c>
      <c r="F816" s="17" t="b">
        <f aca="false">'Raw Data'!S813</f>
        <v>0</v>
      </c>
    </row>
    <row r="817" customFormat="false" ht="15" hidden="false" customHeight="true" outlineLevel="0" collapsed="false">
      <c r="A817" s="12" t="n">
        <f aca="false">'Raw Data'!A814</f>
        <v>42450</v>
      </c>
      <c r="B817" s="32" t="n">
        <f aca="false">'Raw Data'!E814</f>
        <v>42.0278214369031</v>
      </c>
      <c r="C817" s="32" t="n">
        <f aca="false">'Raw Data'!F814</f>
        <v>39.5342445981808</v>
      </c>
      <c r="D817" s="15" t="n">
        <f aca="false">'Raw Data'!H814</f>
        <v>0.0593315749774446</v>
      </c>
      <c r="E817" s="15" t="n">
        <f aca="false">'Raw Data'!I814</f>
        <v>0.0593315749774446</v>
      </c>
      <c r="F817" s="17" t="b">
        <f aca="false">'Raw Data'!S814</f>
        <v>0</v>
      </c>
    </row>
    <row r="818" customFormat="false" ht="15" hidden="false" customHeight="true" outlineLevel="0" collapsed="false">
      <c r="A818" s="12" t="n">
        <f aca="false">'Raw Data'!A815</f>
        <v>42451</v>
      </c>
      <c r="B818" s="32" t="n">
        <f aca="false">'Raw Data'!E815</f>
        <v>41.898107604679</v>
      </c>
      <c r="C818" s="32" t="n">
        <f aca="false">'Raw Data'!F815</f>
        <v>39.4303123316593</v>
      </c>
      <c r="D818" s="15" t="n">
        <f aca="false">'Raw Data'!H815</f>
        <v>0.058899922075337</v>
      </c>
      <c r="E818" s="15" t="n">
        <f aca="false">'Raw Data'!I815</f>
        <v>0.058899922075337</v>
      </c>
      <c r="F818" s="17" t="b">
        <f aca="false">'Raw Data'!S815</f>
        <v>0</v>
      </c>
    </row>
    <row r="819" customFormat="false" ht="15" hidden="false" customHeight="true" outlineLevel="0" collapsed="false">
      <c r="A819" s="12" t="n">
        <f aca="false">'Raw Data'!A816</f>
        <v>42452</v>
      </c>
      <c r="B819" s="32" t="n">
        <f aca="false">'Raw Data'!E816</f>
        <v>41.0992984507844</v>
      </c>
      <c r="C819" s="32" t="n">
        <f aca="false">'Raw Data'!F816</f>
        <v>39.4541535961207</v>
      </c>
      <c r="D819" s="15" t="n">
        <f aca="false">'Raw Data'!H816</f>
        <v>0.0400285386047083</v>
      </c>
      <c r="E819" s="15" t="n">
        <f aca="false">'Raw Data'!I816</f>
        <v>0.0400285386047082</v>
      </c>
      <c r="F819" s="17" t="b">
        <f aca="false">'Raw Data'!S816</f>
        <v>0</v>
      </c>
    </row>
    <row r="820" customFormat="false" ht="15" hidden="false" customHeight="true" outlineLevel="0" collapsed="false">
      <c r="A820" s="12" t="n">
        <f aca="false">'Raw Data'!A817</f>
        <v>42453</v>
      </c>
      <c r="B820" s="32" t="n">
        <f aca="false">'Raw Data'!E817</f>
        <v>39.8390263632823</v>
      </c>
      <c r="C820" s="32" t="n">
        <f aca="false">'Raw Data'!F817</f>
        <v>39.3592071369819</v>
      </c>
      <c r="D820" s="15" t="n">
        <f aca="false">'Raw Data'!H817</f>
        <v>0.0120439496167665</v>
      </c>
      <c r="E820" s="15" t="n">
        <f aca="false">'Raw Data'!I817</f>
        <v>0.0120439496167664</v>
      </c>
      <c r="F820" s="17" t="b">
        <f aca="false">'Raw Data'!S817</f>
        <v>1</v>
      </c>
    </row>
    <row r="821" customFormat="false" ht="15" hidden="false" customHeight="true" outlineLevel="0" collapsed="false">
      <c r="A821" s="12" t="n">
        <f aca="false">'Raw Data'!A818</f>
        <v>42454</v>
      </c>
      <c r="B821" s="32" t="n">
        <f aca="false">'Raw Data'!E818</f>
        <v>40.3617123194045</v>
      </c>
      <c r="C821" s="32" t="n">
        <f aca="false">'Raw Data'!F818</f>
        <v>39.3149947595195</v>
      </c>
      <c r="D821" s="15" t="n">
        <f aca="false">'Raw Data'!H818</f>
        <v>0.0259334279874388</v>
      </c>
      <c r="E821" s="15" t="n">
        <f aca="false">'Raw Data'!I818</f>
        <v>0.0259334279874388</v>
      </c>
      <c r="F821" s="17" t="b">
        <f aca="false">'Raw Data'!S818</f>
        <v>0</v>
      </c>
    </row>
    <row r="822" customFormat="false" ht="15" hidden="false" customHeight="true" outlineLevel="0" collapsed="false">
      <c r="A822" s="12" t="n">
        <f aca="false">'Raw Data'!A819</f>
        <v>42455</v>
      </c>
      <c r="B822" s="32" t="n">
        <f aca="false">'Raw Data'!E819</f>
        <v>39.7098445391485</v>
      </c>
      <c r="C822" s="32" t="n">
        <f aca="false">'Raw Data'!F819</f>
        <v>39.3455557149658</v>
      </c>
      <c r="D822" s="15" t="n">
        <f aca="false">'Raw Data'!H819</f>
        <v>0.00917376606255938</v>
      </c>
      <c r="E822" s="15" t="n">
        <f aca="false">'Raw Data'!I819</f>
        <v>0.00917376606255941</v>
      </c>
      <c r="F822" s="17" t="b">
        <f aca="false">'Raw Data'!S819</f>
        <v>0</v>
      </c>
    </row>
    <row r="823" customFormat="false" ht="15" hidden="false" customHeight="true" outlineLevel="0" collapsed="false">
      <c r="A823" s="12" t="n">
        <f aca="false">'Raw Data'!A820</f>
        <v>42456</v>
      </c>
      <c r="B823" s="32" t="n">
        <f aca="false">'Raw Data'!E820</f>
        <v>39.8088896212961</v>
      </c>
      <c r="C823" s="32" t="n">
        <f aca="false">'Raw Data'!F820</f>
        <v>39.3462277523424</v>
      </c>
      <c r="D823" s="15" t="n">
        <f aca="false">'Raw Data'!H820</f>
        <v>0.0116220741988808</v>
      </c>
      <c r="E823" s="15" t="n">
        <f aca="false">'Raw Data'!I820</f>
        <v>0.0116220741988808</v>
      </c>
      <c r="F823" s="17" t="b">
        <f aca="false">'Raw Data'!S820</f>
        <v>0</v>
      </c>
    </row>
    <row r="824" customFormat="false" ht="15" hidden="false" customHeight="true" outlineLevel="0" collapsed="false">
      <c r="A824" s="12" t="n">
        <f aca="false">'Raw Data'!A821</f>
        <v>42457</v>
      </c>
      <c r="B824" s="32" t="n">
        <f aca="false">'Raw Data'!E821</f>
        <v>39.5954356709524</v>
      </c>
      <c r="C824" s="32" t="n">
        <f aca="false">'Raw Data'!F821</f>
        <v>39.3258006106293</v>
      </c>
      <c r="D824" s="15" t="n">
        <f aca="false">'Raw Data'!H821</f>
        <v>0.0068097510673666</v>
      </c>
      <c r="E824" s="15" t="n">
        <f aca="false">'Raw Data'!I821</f>
        <v>0.00680975106736671</v>
      </c>
      <c r="F824" s="17" t="b">
        <f aca="false">'Raw Data'!S821</f>
        <v>0</v>
      </c>
    </row>
    <row r="825" customFormat="false" ht="15" hidden="false" customHeight="true" outlineLevel="0" collapsed="false">
      <c r="A825" s="12" t="n">
        <f aca="false">'Raw Data'!A822</f>
        <v>42458</v>
      </c>
      <c r="B825" s="32" t="n">
        <f aca="false">'Raw Data'!E822</f>
        <v>39.3672456343987</v>
      </c>
      <c r="C825" s="32" t="n">
        <f aca="false">'Raw Data'!F822</f>
        <v>39.2553215474738</v>
      </c>
      <c r="D825" s="15" t="n">
        <f aca="false">'Raw Data'!H822</f>
        <v>0.00284307639819211</v>
      </c>
      <c r="E825" s="15" t="n">
        <f aca="false">'Raw Data'!I822</f>
        <v>0.00284307639819219</v>
      </c>
      <c r="F825" s="17" t="b">
        <f aca="false">'Raw Data'!S822</f>
        <v>0</v>
      </c>
    </row>
    <row r="826" customFormat="false" ht="15" hidden="false" customHeight="true" outlineLevel="0" collapsed="false">
      <c r="A826" s="12" t="n">
        <f aca="false">'Raw Data'!A823</f>
        <v>42459</v>
      </c>
      <c r="B826" s="32" t="n">
        <f aca="false">'Raw Data'!E823</f>
        <v>36.8321387265295</v>
      </c>
      <c r="C826" s="32" t="n">
        <f aca="false">'Raw Data'!F823</f>
        <v>39.1910622371511</v>
      </c>
      <c r="D826" s="15" t="n">
        <f aca="false">'Raw Data'!H823</f>
        <v>-0.0640452493985227</v>
      </c>
      <c r="E826" s="15" t="n">
        <f aca="false">'Raw Data'!I823</f>
        <v>-0.0640452493985226</v>
      </c>
      <c r="F826" s="17" t="b">
        <f aca="false">'Raw Data'!S823</f>
        <v>0</v>
      </c>
    </row>
    <row r="827" customFormat="false" ht="15" hidden="false" customHeight="true" outlineLevel="0" collapsed="false">
      <c r="A827" s="12" t="n">
        <f aca="false">'Raw Data'!A824</f>
        <v>42460</v>
      </c>
      <c r="B827" s="32" t="n">
        <f aca="false">'Raw Data'!E824</f>
        <v>36.9072834898558</v>
      </c>
      <c r="C827" s="32" t="n">
        <f aca="false">'Raw Data'!F824</f>
        <v>38.9952448126795</v>
      </c>
      <c r="D827" s="15" t="n">
        <f aca="false">'Raw Data'!H824</f>
        <v>-0.0565731510258014</v>
      </c>
      <c r="E827" s="15" t="n">
        <f aca="false">'Raw Data'!I824</f>
        <v>-0.0565731510258014</v>
      </c>
      <c r="F827" s="17" t="b">
        <f aca="false">'Raw Data'!S824</f>
        <v>1</v>
      </c>
    </row>
    <row r="828" customFormat="false" ht="15" hidden="false" customHeight="true" outlineLevel="0" collapsed="false">
      <c r="A828" s="12" t="n">
        <f aca="false">'Raw Data'!A825</f>
        <v>42461</v>
      </c>
      <c r="B828" s="32" t="n">
        <f aca="false">'Raw Data'!E825</f>
        <v>36.9962110757427</v>
      </c>
      <c r="C828" s="32" t="n">
        <f aca="false">'Raw Data'!F825</f>
        <v>39.0574068736921</v>
      </c>
      <c r="D828" s="15" t="n">
        <f aca="false">'Raw Data'!H825</f>
        <v>-0.0557136998091382</v>
      </c>
      <c r="E828" s="15" t="n">
        <f aca="false">'Raw Data'!I825</f>
        <v>-0.0557136998091381</v>
      </c>
      <c r="F828" s="17" t="b">
        <f aca="false">'Raw Data'!S825</f>
        <v>1</v>
      </c>
    </row>
    <row r="829" customFormat="false" ht="15" hidden="false" customHeight="true" outlineLevel="0" collapsed="false">
      <c r="A829" s="12" t="n">
        <f aca="false">'Raw Data'!A826</f>
        <v>42462</v>
      </c>
      <c r="B829" s="32" t="n">
        <f aca="false">'Raw Data'!E826</f>
        <v>37.2373260043959</v>
      </c>
      <c r="C829" s="32" t="n">
        <f aca="false">'Raw Data'!F826</f>
        <v>39.0649986873572</v>
      </c>
      <c r="D829" s="15" t="n">
        <f aca="false">'Raw Data'!H826</f>
        <v>-0.0490817381126026</v>
      </c>
      <c r="E829" s="15" t="n">
        <f aca="false">'Raw Data'!I826</f>
        <v>-0.0490817381126026</v>
      </c>
      <c r="F829" s="17" t="b">
        <f aca="false">'Raw Data'!S826</f>
        <v>1</v>
      </c>
    </row>
    <row r="830" customFormat="false" ht="15" hidden="false" customHeight="true" outlineLevel="0" collapsed="false">
      <c r="A830" s="12" t="n">
        <f aca="false">'Raw Data'!A827</f>
        <v>42463</v>
      </c>
      <c r="B830" s="32" t="n">
        <f aca="false">'Raw Data'!E827</f>
        <v>37.0877137731561</v>
      </c>
      <c r="C830" s="32" t="n">
        <f aca="false">'Raw Data'!F827</f>
        <v>39.0609704195408</v>
      </c>
      <c r="D830" s="15" t="n">
        <f aca="false">'Raw Data'!H827</f>
        <v>-0.0532051303688849</v>
      </c>
      <c r="E830" s="15" t="n">
        <f aca="false">'Raw Data'!I827</f>
        <v>-0.053205130368885</v>
      </c>
      <c r="F830" s="17" t="b">
        <f aca="false">'Raw Data'!S827</f>
        <v>0</v>
      </c>
    </row>
    <row r="831" customFormat="false" ht="15" hidden="false" customHeight="true" outlineLevel="0" collapsed="false">
      <c r="A831" s="12" t="n">
        <f aca="false">'Raw Data'!A828</f>
        <v>42464</v>
      </c>
      <c r="B831" s="32" t="n">
        <f aca="false">'Raw Data'!E828</f>
        <v>39.3536680439989</v>
      </c>
      <c r="C831" s="32" t="n">
        <f aca="false">'Raw Data'!F828</f>
        <v>39.0733001321397</v>
      </c>
      <c r="D831" s="15" t="n">
        <f aca="false">'Raw Data'!H828</f>
        <v>0.00712431460126494</v>
      </c>
      <c r="E831" s="15" t="n">
        <f aca="false">'Raw Data'!I828</f>
        <v>0.00712431460126493</v>
      </c>
      <c r="F831" s="17" t="b">
        <f aca="false">'Raw Data'!S828</f>
        <v>0</v>
      </c>
    </row>
    <row r="832" customFormat="false" ht="15" hidden="false" customHeight="true" outlineLevel="0" collapsed="false">
      <c r="A832" s="12" t="n">
        <f aca="false">'Raw Data'!A829</f>
        <v>42465</v>
      </c>
      <c r="B832" s="32" t="n">
        <f aca="false">'Raw Data'!E829</f>
        <v>39.9955432709909</v>
      </c>
      <c r="C832" s="32" t="n">
        <f aca="false">'Raw Data'!F829</f>
        <v>39.0476125709439</v>
      </c>
      <c r="D832" s="15" t="n">
        <f aca="false">'Raw Data'!H829</f>
        <v>0.0237009082143062</v>
      </c>
      <c r="E832" s="15" t="n">
        <f aca="false">'Raw Data'!I829</f>
        <v>0.0237009082143062</v>
      </c>
      <c r="F832" s="17" t="b">
        <f aca="false">'Raw Data'!S829</f>
        <v>0</v>
      </c>
    </row>
    <row r="833" customFormat="false" ht="15" hidden="false" customHeight="true" outlineLevel="0" collapsed="false">
      <c r="A833" s="12" t="n">
        <f aca="false">'Raw Data'!A830</f>
        <v>42466</v>
      </c>
      <c r="B833" s="32" t="n">
        <f aca="false">'Raw Data'!E830</f>
        <v>42.0736059199615</v>
      </c>
      <c r="C833" s="32" t="n">
        <f aca="false">'Raw Data'!F830</f>
        <v>38.9869597196925</v>
      </c>
      <c r="D833" s="15" t="n">
        <f aca="false">'Raw Data'!H830</f>
        <v>0.0733630059220719</v>
      </c>
      <c r="E833" s="15" t="n">
        <f aca="false">'Raw Data'!I830</f>
        <v>0.0733630059220719</v>
      </c>
      <c r="F833" s="17" t="b">
        <f aca="false">'Raw Data'!S830</f>
        <v>0</v>
      </c>
    </row>
    <row r="834" customFormat="false" ht="15" hidden="false" customHeight="true" outlineLevel="0" collapsed="false">
      <c r="A834" s="12" t="n">
        <f aca="false">'Raw Data'!A831</f>
        <v>42467</v>
      </c>
      <c r="B834" s="32" t="n">
        <f aca="false">'Raw Data'!E831</f>
        <v>35.2629547732759</v>
      </c>
      <c r="C834" s="32" t="n">
        <f aca="false">'Raw Data'!F831</f>
        <v>38.8833278674728</v>
      </c>
      <c r="D834" s="15" t="n">
        <f aca="false">'Raw Data'!H831</f>
        <v>-0.102667888084654</v>
      </c>
      <c r="E834" s="15" t="n">
        <f aca="false">'Raw Data'!I831</f>
        <v>-0.102667888084654</v>
      </c>
      <c r="F834" s="17" t="b">
        <f aca="false">'Raw Data'!S831</f>
        <v>1</v>
      </c>
    </row>
    <row r="835" customFormat="false" ht="15" hidden="false" customHeight="true" outlineLevel="0" collapsed="false">
      <c r="A835" s="12" t="n">
        <f aca="false">'Raw Data'!A832</f>
        <v>42468</v>
      </c>
      <c r="B835" s="32" t="n">
        <f aca="false">'Raw Data'!E832</f>
        <v>35.2397776595076</v>
      </c>
      <c r="C835" s="32" t="n">
        <f aca="false">'Raw Data'!F832</f>
        <v>38.8815825730951</v>
      </c>
      <c r="D835" s="15" t="n">
        <f aca="false">'Raw Data'!H832</f>
        <v>-0.103343583741509</v>
      </c>
      <c r="E835" s="15" t="n">
        <f aca="false">'Raw Data'!I832</f>
        <v>-0.103343583741509</v>
      </c>
      <c r="F835" s="17" t="b">
        <f aca="false">'Raw Data'!S832</f>
        <v>1</v>
      </c>
    </row>
    <row r="836" customFormat="false" ht="15" hidden="false" customHeight="true" outlineLevel="0" collapsed="false">
      <c r="A836" s="12" t="n">
        <f aca="false">'Raw Data'!A833</f>
        <v>42469</v>
      </c>
      <c r="B836" s="32" t="n">
        <f aca="false">'Raw Data'!E833</f>
        <v>35.2495861388846</v>
      </c>
      <c r="C836" s="32" t="n">
        <f aca="false">'Raw Data'!F833</f>
        <v>38.5324910955123</v>
      </c>
      <c r="D836" s="15" t="n">
        <f aca="false">'Raw Data'!H833</f>
        <v>-0.0931331489593384</v>
      </c>
      <c r="E836" s="15" t="n">
        <f aca="false">'Raw Data'!I833</f>
        <v>-0.0931331489593384</v>
      </c>
      <c r="F836" s="17" t="b">
        <f aca="false">'Raw Data'!S833</f>
        <v>1</v>
      </c>
    </row>
    <row r="837" customFormat="false" ht="15" hidden="false" customHeight="true" outlineLevel="0" collapsed="false">
      <c r="A837" s="12" t="n">
        <f aca="false">'Raw Data'!A834</f>
        <v>42470</v>
      </c>
      <c r="B837" s="32" t="n">
        <f aca="false">'Raw Data'!E834</f>
        <v>35.3919634612774</v>
      </c>
      <c r="C837" s="32" t="n">
        <f aca="false">'Raw Data'!F834</f>
        <v>38.4074727021887</v>
      </c>
      <c r="D837" s="15" t="n">
        <f aca="false">'Raw Data'!H834</f>
        <v>-0.0852032197708</v>
      </c>
      <c r="E837" s="15" t="n">
        <f aca="false">'Raw Data'!I834</f>
        <v>-0.0852032197708</v>
      </c>
      <c r="F837" s="17" t="b">
        <f aca="false">'Raw Data'!S834</f>
        <v>0</v>
      </c>
    </row>
    <row r="838" customFormat="false" ht="15" hidden="false" customHeight="true" outlineLevel="0" collapsed="false">
      <c r="A838" s="12" t="n">
        <f aca="false">'Raw Data'!A835</f>
        <v>42471</v>
      </c>
      <c r="B838" s="32" t="n">
        <f aca="false">'Raw Data'!E835</f>
        <v>35.3273894246637</v>
      </c>
      <c r="C838" s="32" t="n">
        <f aca="false">'Raw Data'!F835</f>
        <v>38.2501515199154</v>
      </c>
      <c r="D838" s="15" t="n">
        <f aca="false">'Raw Data'!H835</f>
        <v>-0.0827335997041199</v>
      </c>
      <c r="E838" s="15" t="n">
        <f aca="false">'Raw Data'!I835</f>
        <v>-0.0827335997041199</v>
      </c>
      <c r="F838" s="17" t="b">
        <f aca="false">'Raw Data'!S835</f>
        <v>0</v>
      </c>
    </row>
    <row r="839" customFormat="false" ht="15" hidden="false" customHeight="true" outlineLevel="0" collapsed="false">
      <c r="A839" s="12" t="n">
        <f aca="false">'Raw Data'!A836</f>
        <v>42472</v>
      </c>
      <c r="B839" s="32" t="n">
        <f aca="false">'Raw Data'!E836</f>
        <v>35.153963869974</v>
      </c>
      <c r="C839" s="32" t="n">
        <f aca="false">'Raw Data'!F836</f>
        <v>37.8752740308506</v>
      </c>
      <c r="D839" s="15" t="n">
        <f aca="false">'Raw Data'!H836</f>
        <v>-0.0774111895586533</v>
      </c>
      <c r="E839" s="15" t="n">
        <f aca="false">'Raw Data'!I836</f>
        <v>-0.0774111895586533</v>
      </c>
      <c r="F839" s="17" t="b">
        <f aca="false">'Raw Data'!S836</f>
        <v>0</v>
      </c>
    </row>
    <row r="840" customFormat="false" ht="15" hidden="false" customHeight="true" outlineLevel="0" collapsed="false">
      <c r="A840" s="12" t="n">
        <f aca="false">'Raw Data'!A837</f>
        <v>42473</v>
      </c>
      <c r="B840" s="32" t="n">
        <f aca="false">'Raw Data'!E837</f>
        <v>35.2096905409419</v>
      </c>
      <c r="C840" s="32" t="n">
        <f aca="false">'Raw Data'!F837</f>
        <v>37.6030155339381</v>
      </c>
      <c r="D840" s="15" t="n">
        <f aca="false">'Raw Data'!H837</f>
        <v>-0.0679734742403717</v>
      </c>
      <c r="E840" s="15" t="n">
        <f aca="false">'Raw Data'!I837</f>
        <v>-0.0679734742403718</v>
      </c>
      <c r="F840" s="17" t="b">
        <f aca="false">'Raw Data'!S837</f>
        <v>0</v>
      </c>
    </row>
    <row r="841" customFormat="false" ht="15" hidden="false" customHeight="true" outlineLevel="0" collapsed="false">
      <c r="A841" s="12" t="n">
        <f aca="false">'Raw Data'!A838</f>
        <v>42474</v>
      </c>
      <c r="B841" s="32" t="n">
        <f aca="false">'Raw Data'!E838</f>
        <v>35.2459978245762</v>
      </c>
      <c r="C841" s="32" t="n">
        <f aca="false">'Raw Data'!F838</f>
        <v>37.4322218443031</v>
      </c>
      <c r="D841" s="15" t="n">
        <f aca="false">'Raw Data'!H838</f>
        <v>-0.0620275819855639</v>
      </c>
      <c r="E841" s="15" t="n">
        <f aca="false">'Raw Data'!I838</f>
        <v>-0.0620275819855639</v>
      </c>
      <c r="F841" s="17" t="b">
        <f aca="false">'Raw Data'!S838</f>
        <v>0</v>
      </c>
    </row>
    <row r="842" customFormat="false" ht="15" hidden="false" customHeight="true" outlineLevel="0" collapsed="false">
      <c r="A842" s="12" t="n">
        <f aca="false">'Raw Data'!A839</f>
        <v>42475</v>
      </c>
      <c r="B842" s="32" t="n">
        <f aca="false">'Raw Data'!E839</f>
        <v>35.245597136867</v>
      </c>
      <c r="C842" s="32" t="n">
        <f aca="false">'Raw Data'!F839</f>
        <v>37.1528428057803</v>
      </c>
      <c r="D842" s="15" t="n">
        <f aca="false">'Raw Data'!H839</f>
        <v>-0.0541130190391451</v>
      </c>
      <c r="E842" s="15" t="n">
        <f aca="false">'Raw Data'!I839</f>
        <v>-0.054113019039145</v>
      </c>
      <c r="F842" s="17" t="b">
        <f aca="false">'Raw Data'!S839</f>
        <v>0</v>
      </c>
    </row>
    <row r="843" customFormat="false" ht="15" hidden="false" customHeight="true" outlineLevel="0" collapsed="false">
      <c r="A843" s="12" t="n">
        <f aca="false">'Raw Data'!A840</f>
        <v>42476</v>
      </c>
      <c r="B843" s="32" t="n">
        <f aca="false">'Raw Data'!E840</f>
        <v>35.1953834422061</v>
      </c>
      <c r="C843" s="32" t="n">
        <f aca="false">'Raw Data'!F840</f>
        <v>37.1291934275031</v>
      </c>
      <c r="D843" s="15" t="n">
        <f aca="false">'Raw Data'!H840</f>
        <v>-0.0549449898300579</v>
      </c>
      <c r="E843" s="15" t="n">
        <f aca="false">'Raw Data'!I840</f>
        <v>-0.054944989830058</v>
      </c>
      <c r="F843" s="17" t="b">
        <f aca="false">'Raw Data'!S840</f>
        <v>0</v>
      </c>
    </row>
    <row r="844" customFormat="false" ht="15" hidden="false" customHeight="true" outlineLevel="0" collapsed="false">
      <c r="A844" s="12" t="n">
        <f aca="false">'Raw Data'!A841</f>
        <v>42477</v>
      </c>
      <c r="B844" s="32" t="n">
        <f aca="false">'Raw Data'!E841</f>
        <v>35.2307189072796</v>
      </c>
      <c r="C844" s="32" t="n">
        <f aca="false">'Raw Data'!F841</f>
        <v>37.4449398802543</v>
      </c>
      <c r="D844" s="15" t="n">
        <f aca="false">'Raw Data'!H841</f>
        <v>-0.0628491566919804</v>
      </c>
      <c r="E844" s="15" t="n">
        <f aca="false">'Raw Data'!I841</f>
        <v>-0.0628491566919803</v>
      </c>
      <c r="F844" s="17" t="b">
        <f aca="false">'Raw Data'!S841</f>
        <v>0</v>
      </c>
    </row>
    <row r="845" customFormat="false" ht="15" hidden="false" customHeight="true" outlineLevel="0" collapsed="false">
      <c r="A845" s="12" t="n">
        <f aca="false">'Raw Data'!A842</f>
        <v>42478</v>
      </c>
      <c r="B845" s="32" t="n">
        <f aca="false">'Raw Data'!E842</f>
        <v>35.2020946224302</v>
      </c>
      <c r="C845" s="32" t="n">
        <f aca="false">'Raw Data'!F842</f>
        <v>37.2214171016081</v>
      </c>
      <c r="D845" s="15" t="n">
        <f aca="false">'Raw Data'!H842</f>
        <v>-0.0573637023829624</v>
      </c>
      <c r="E845" s="15" t="n">
        <f aca="false">'Raw Data'!I842</f>
        <v>-0.0573637023829626</v>
      </c>
      <c r="F845" s="17" t="b">
        <f aca="false">'Raw Data'!S842</f>
        <v>0</v>
      </c>
    </row>
    <row r="846" customFormat="false" ht="15" hidden="false" customHeight="true" outlineLevel="0" collapsed="false">
      <c r="A846" s="12" t="n">
        <f aca="false">'Raw Data'!A843</f>
        <v>42479</v>
      </c>
      <c r="B846" s="32" t="n">
        <f aca="false">'Raw Data'!E843</f>
        <v>35.1902208811807</v>
      </c>
      <c r="C846" s="32" t="n">
        <f aca="false">'Raw Data'!F843</f>
        <v>37.0843817419647</v>
      </c>
      <c r="D846" s="15" t="n">
        <f aca="false">'Raw Data'!H843</f>
        <v>-0.0538263419027589</v>
      </c>
      <c r="E846" s="15" t="n">
        <f aca="false">'Raw Data'!I843</f>
        <v>-0.053826341902759</v>
      </c>
      <c r="F846" s="17" t="b">
        <f aca="false">'Raw Data'!S843</f>
        <v>0</v>
      </c>
    </row>
    <row r="847" customFormat="false" ht="15" hidden="false" customHeight="true" outlineLevel="0" collapsed="false">
      <c r="A847" s="12" t="n">
        <f aca="false">'Raw Data'!A844</f>
        <v>42480</v>
      </c>
      <c r="B847" s="32" t="n">
        <f aca="false">'Raw Data'!E844</f>
        <v>34.3934365086482</v>
      </c>
      <c r="C847" s="32" t="n">
        <f aca="false">'Raw Data'!F844</f>
        <v>37.0030058822877</v>
      </c>
      <c r="D847" s="15" t="n">
        <f aca="false">'Raw Data'!H844</f>
        <v>-0.0758740515209425</v>
      </c>
      <c r="E847" s="15" t="n">
        <f aca="false">'Raw Data'!I844</f>
        <v>-0.0758740515209426</v>
      </c>
      <c r="F847" s="17" t="b">
        <f aca="false">'Raw Data'!S844</f>
        <v>0</v>
      </c>
    </row>
    <row r="848" customFormat="false" ht="15" hidden="false" customHeight="true" outlineLevel="0" collapsed="false">
      <c r="A848" s="12" t="n">
        <f aca="false">'Raw Data'!A845</f>
        <v>42481</v>
      </c>
      <c r="B848" s="32" t="n">
        <f aca="false">'Raw Data'!E845</f>
        <v>34.1465923443226</v>
      </c>
      <c r="C848" s="32" t="n">
        <f aca="false">'Raw Data'!F845</f>
        <v>37.1357547694453</v>
      </c>
      <c r="D848" s="15" t="n">
        <f aca="false">'Raw Data'!H845</f>
        <v>-0.0875391135660312</v>
      </c>
      <c r="E848" s="15" t="n">
        <f aca="false">'Raw Data'!I845</f>
        <v>-0.0875391135660312</v>
      </c>
      <c r="F848" s="17" t="b">
        <f aca="false">'Raw Data'!S845</f>
        <v>0</v>
      </c>
    </row>
    <row r="849" customFormat="false" ht="15" hidden="false" customHeight="true" outlineLevel="0" collapsed="false">
      <c r="A849" s="12" t="n">
        <f aca="false">'Raw Data'!A846</f>
        <v>42482</v>
      </c>
      <c r="B849" s="32" t="n">
        <f aca="false">'Raw Data'!E846</f>
        <v>34.1947625863516</v>
      </c>
      <c r="C849" s="32" t="n">
        <f aca="false">'Raw Data'!F846</f>
        <v>37.0141353981765</v>
      </c>
      <c r="D849" s="15" t="n">
        <f aca="false">'Raw Data'!H846</f>
        <v>-0.0824504280357322</v>
      </c>
      <c r="E849" s="15" t="n">
        <f aca="false">'Raw Data'!I846</f>
        <v>-0.0824504280357322</v>
      </c>
      <c r="F849" s="17" t="b">
        <f aca="false">'Raw Data'!S846</f>
        <v>0</v>
      </c>
    </row>
    <row r="850" customFormat="false" ht="15" hidden="false" customHeight="true" outlineLevel="0" collapsed="false">
      <c r="A850" s="12" t="n">
        <f aca="false">'Raw Data'!A847</f>
        <v>42483</v>
      </c>
      <c r="B850" s="32" t="n">
        <f aca="false">'Raw Data'!E847</f>
        <v>34.159196375712</v>
      </c>
      <c r="C850" s="32" t="n">
        <f aca="false">'Raw Data'!F847</f>
        <v>36.9745351407023</v>
      </c>
      <c r="D850" s="15" t="n">
        <f aca="false">'Raw Data'!H847</f>
        <v>-0.0824181791054091</v>
      </c>
      <c r="E850" s="15" t="n">
        <f aca="false">'Raw Data'!I847</f>
        <v>-0.0824181791054091</v>
      </c>
      <c r="F850" s="17" t="b">
        <f aca="false">'Raw Data'!S847</f>
        <v>0</v>
      </c>
    </row>
    <row r="851" customFormat="false" ht="15" hidden="false" customHeight="true" outlineLevel="0" collapsed="false">
      <c r="A851" s="12" t="n">
        <f aca="false">'Raw Data'!A848</f>
        <v>42484</v>
      </c>
      <c r="B851" s="32" t="n">
        <f aca="false">'Raw Data'!E848</f>
        <v>34.1401340154848</v>
      </c>
      <c r="C851" s="32" t="n">
        <f aca="false">'Raw Data'!F848</f>
        <v>37.1155655043628</v>
      </c>
      <c r="D851" s="15" t="n">
        <f aca="false">'Raw Data'!H848</f>
        <v>-0.087153480051614</v>
      </c>
      <c r="E851" s="15" t="n">
        <f aca="false">'Raw Data'!I848</f>
        <v>-0.0871534800516138</v>
      </c>
      <c r="F851" s="17" t="b">
        <f aca="false">'Raw Data'!S848</f>
        <v>0</v>
      </c>
    </row>
    <row r="852" customFormat="false" ht="15" hidden="false" customHeight="true" outlineLevel="0" collapsed="false">
      <c r="A852" s="12" t="n">
        <f aca="false">'Raw Data'!A849</f>
        <v>42485</v>
      </c>
      <c r="B852" s="32" t="n">
        <f aca="false">'Raw Data'!E849</f>
        <v>34.108726212587</v>
      </c>
      <c r="C852" s="32" t="n">
        <f aca="false">'Raw Data'!F849</f>
        <v>37.0666167296247</v>
      </c>
      <c r="D852" s="15" t="n">
        <f aca="false">'Raw Data'!H849</f>
        <v>-0.0867194658223906</v>
      </c>
      <c r="E852" s="15" t="n">
        <f aca="false">'Raw Data'!I849</f>
        <v>-0.0867194658223908</v>
      </c>
      <c r="F852" s="17" t="b">
        <f aca="false">'Raw Data'!S849</f>
        <v>0</v>
      </c>
    </row>
    <row r="853" customFormat="false" ht="15" hidden="false" customHeight="true" outlineLevel="0" collapsed="false">
      <c r="A853" s="12" t="n">
        <f aca="false">'Raw Data'!A850</f>
        <v>42486</v>
      </c>
      <c r="B853" s="32" t="n">
        <f aca="false">'Raw Data'!E850</f>
        <v>34.1397893979742</v>
      </c>
      <c r="C853" s="32" t="n">
        <f aca="false">'Raw Data'!F850</f>
        <v>36.8371491870947</v>
      </c>
      <c r="D853" s="15" t="n">
        <f aca="false">'Raw Data'!H850</f>
        <v>-0.0790092685598288</v>
      </c>
      <c r="E853" s="15" t="n">
        <f aca="false">'Raw Data'!I850</f>
        <v>-0.0790092685598289</v>
      </c>
      <c r="F853" s="17" t="b">
        <f aca="false">'Raw Data'!S850</f>
        <v>0</v>
      </c>
    </row>
    <row r="854" customFormat="false" ht="15" hidden="false" customHeight="true" outlineLevel="0" collapsed="false">
      <c r="A854" s="12" t="n">
        <f aca="false">'Raw Data'!A851</f>
        <v>42487</v>
      </c>
      <c r="B854" s="32" t="n">
        <f aca="false">'Raw Data'!E851</f>
        <v>34.1358019291728</v>
      </c>
      <c r="C854" s="32" t="n">
        <f aca="false">'Raw Data'!F851</f>
        <v>36.8036502903722</v>
      </c>
      <c r="D854" s="15" t="n">
        <f aca="false">'Raw Data'!H851</f>
        <v>-0.0781539676945275</v>
      </c>
      <c r="E854" s="15" t="n">
        <f aca="false">'Raw Data'!I851</f>
        <v>-0.0781539676945275</v>
      </c>
      <c r="F854" s="17" t="b">
        <f aca="false">'Raw Data'!S851</f>
        <v>0</v>
      </c>
    </row>
    <row r="855" customFormat="false" ht="15" hidden="false" customHeight="true" outlineLevel="0" collapsed="false">
      <c r="A855" s="12" t="n">
        <f aca="false">'Raw Data'!A852</f>
        <v>42488</v>
      </c>
      <c r="B855" s="32" t="n">
        <f aca="false">'Raw Data'!E852</f>
        <v>34.2186972182101</v>
      </c>
      <c r="C855" s="32" t="n">
        <f aca="false">'Raw Data'!F852</f>
        <v>36.8154494604491</v>
      </c>
      <c r="D855" s="15" t="n">
        <f aca="false">'Raw Data'!H852</f>
        <v>-0.0758869405716925</v>
      </c>
      <c r="E855" s="15" t="n">
        <f aca="false">'Raw Data'!I852</f>
        <v>-0.0758869405716923</v>
      </c>
      <c r="F855" s="17" t="b">
        <f aca="false">'Raw Data'!S852</f>
        <v>0</v>
      </c>
    </row>
    <row r="856" customFormat="false" ht="15" hidden="false" customHeight="true" outlineLevel="0" collapsed="false">
      <c r="A856" s="12" t="n">
        <f aca="false">'Raw Data'!A853</f>
        <v>42489</v>
      </c>
      <c r="B856" s="32" t="n">
        <f aca="false">'Raw Data'!E853</f>
        <v>34.1982085465227</v>
      </c>
      <c r="C856" s="32" t="n">
        <f aca="false">'Raw Data'!F853</f>
        <v>36.725100783567</v>
      </c>
      <c r="D856" s="15" t="n">
        <f aca="false">'Raw Data'!H853</f>
        <v>-0.0738896083871376</v>
      </c>
      <c r="E856" s="15" t="n">
        <f aca="false">'Raw Data'!I853</f>
        <v>-0.0738896083871377</v>
      </c>
      <c r="F856" s="17" t="b">
        <f aca="false">'Raw Data'!S853</f>
        <v>0</v>
      </c>
    </row>
    <row r="857" customFormat="false" ht="15" hidden="false" customHeight="true" outlineLevel="0" collapsed="false">
      <c r="A857" s="12" t="n">
        <f aca="false">'Raw Data'!A854</f>
        <v>42490</v>
      </c>
      <c r="B857" s="32" t="n">
        <f aca="false">'Raw Data'!E854</f>
        <v>34.2138856767666</v>
      </c>
      <c r="C857" s="32" t="n">
        <f aca="false">'Raw Data'!F854</f>
        <v>36.7980872381851</v>
      </c>
      <c r="D857" s="15" t="n">
        <f aca="false">'Raw Data'!H854</f>
        <v>-0.075530782613604</v>
      </c>
      <c r="E857" s="15" t="n">
        <f aca="false">'Raw Data'!I854</f>
        <v>-0.075530782613604</v>
      </c>
      <c r="F857" s="17" t="b">
        <f aca="false">'Raw Data'!S854</f>
        <v>0</v>
      </c>
    </row>
    <row r="858" customFormat="false" ht="15" hidden="false" customHeight="true" outlineLevel="0" collapsed="false">
      <c r="A858" s="12" t="n">
        <f aca="false">'Raw Data'!A855</f>
        <v>42491</v>
      </c>
      <c r="B858" s="32" t="n">
        <f aca="false">'Raw Data'!E855</f>
        <v>34.1601891530696</v>
      </c>
      <c r="C858" s="32" t="n">
        <f aca="false">'Raw Data'!F855</f>
        <v>36.6298766998565</v>
      </c>
      <c r="D858" s="15" t="n">
        <f aca="false">'Raw Data'!H855</f>
        <v>-0.0722972444830555</v>
      </c>
      <c r="E858" s="15" t="n">
        <f aca="false">'Raw Data'!I855</f>
        <v>-0.0722972444830555</v>
      </c>
      <c r="F858" s="17" t="b">
        <f aca="false">'Raw Data'!S855</f>
        <v>0</v>
      </c>
    </row>
    <row r="859" customFormat="false" ht="15" hidden="false" customHeight="true" outlineLevel="0" collapsed="false">
      <c r="A859" s="12" t="n">
        <f aca="false">'Raw Data'!A856</f>
        <v>42492</v>
      </c>
      <c r="B859" s="32" t="n">
        <f aca="false">'Raw Data'!E856</f>
        <v>34.1388986808834</v>
      </c>
      <c r="C859" s="32" t="n">
        <f aca="false">'Raw Data'!F856</f>
        <v>36.7555859022531</v>
      </c>
      <c r="D859" s="15" t="n">
        <f aca="false">'Raw Data'!H856</f>
        <v>-0.0766482611471857</v>
      </c>
      <c r="E859" s="15" t="n">
        <f aca="false">'Raw Data'!I856</f>
        <v>-0.0766482611471857</v>
      </c>
      <c r="F859" s="17" t="b">
        <f aca="false">'Raw Data'!S856</f>
        <v>0</v>
      </c>
    </row>
    <row r="860" customFormat="false" ht="15" hidden="false" customHeight="true" outlineLevel="0" collapsed="false">
      <c r="A860" s="12" t="n">
        <f aca="false">'Raw Data'!A857</f>
        <v>42493</v>
      </c>
      <c r="B860" s="32" t="n">
        <f aca="false">'Raw Data'!E857</f>
        <v>34.1287913237038</v>
      </c>
      <c r="C860" s="32" t="n">
        <f aca="false">'Raw Data'!F857</f>
        <v>36.6853687585822</v>
      </c>
      <c r="D860" s="15" t="n">
        <f aca="false">'Raw Data'!H857</f>
        <v>-0.0749096975228297</v>
      </c>
      <c r="E860" s="15" t="n">
        <f aca="false">'Raw Data'!I857</f>
        <v>-0.0749096975228298</v>
      </c>
      <c r="F860" s="17" t="b">
        <f aca="false">'Raw Data'!S857</f>
        <v>0</v>
      </c>
    </row>
    <row r="861" customFormat="false" ht="15" hidden="false" customHeight="true" outlineLevel="0" collapsed="false">
      <c r="A861" s="12" t="n">
        <f aca="false">'Raw Data'!A858</f>
        <v>42494</v>
      </c>
      <c r="B861" s="32" t="n">
        <f aca="false">'Raw Data'!E858</f>
        <v>34.1903978697417</v>
      </c>
      <c r="C861" s="32" t="n">
        <f aca="false">'Raw Data'!F858</f>
        <v>36.5264225531979</v>
      </c>
      <c r="D861" s="15" t="n">
        <f aca="false">'Raw Data'!H858</f>
        <v>-0.068323998227689</v>
      </c>
      <c r="E861" s="15" t="n">
        <f aca="false">'Raw Data'!I858</f>
        <v>-0.0683239982276891</v>
      </c>
      <c r="F861" s="17" t="b">
        <f aca="false">'Raw Data'!S858</f>
        <v>0</v>
      </c>
    </row>
    <row r="862" customFormat="false" ht="15" hidden="false" customHeight="true" outlineLevel="0" collapsed="false">
      <c r="A862" s="12" t="n">
        <f aca="false">'Raw Data'!A859</f>
        <v>42495</v>
      </c>
      <c r="B862" s="32" t="n">
        <f aca="false">'Raw Data'!E859</f>
        <v>34.1484834489471</v>
      </c>
      <c r="C862" s="32" t="n">
        <f aca="false">'Raw Data'!F859</f>
        <v>36.5280447051559</v>
      </c>
      <c r="D862" s="15" t="n">
        <f aca="false">'Raw Data'!H859</f>
        <v>-0.0696827799034249</v>
      </c>
      <c r="E862" s="15" t="n">
        <f aca="false">'Raw Data'!I859</f>
        <v>-0.0696827799034249</v>
      </c>
      <c r="F862" s="17" t="b">
        <f aca="false">'Raw Data'!S859</f>
        <v>0</v>
      </c>
    </row>
    <row r="863" customFormat="false" ht="15" hidden="false" customHeight="true" outlineLevel="0" collapsed="false">
      <c r="A863" s="12" t="n">
        <f aca="false">'Raw Data'!A860</f>
        <v>42496</v>
      </c>
      <c r="B863" s="32" t="n">
        <f aca="false">'Raw Data'!E860</f>
        <v>34.1774296465316</v>
      </c>
      <c r="C863" s="32" t="n">
        <f aca="false">'Raw Data'!F860</f>
        <v>36.5347471035936</v>
      </c>
      <c r="D863" s="15" t="n">
        <f aca="false">'Raw Data'!H860</f>
        <v>-0.0689729298382507</v>
      </c>
      <c r="E863" s="15" t="n">
        <f aca="false">'Raw Data'!I860</f>
        <v>-0.0689729298382508</v>
      </c>
      <c r="F863" s="17" t="b">
        <f aca="false">'Raw Data'!S860</f>
        <v>0</v>
      </c>
    </row>
    <row r="864" customFormat="false" ht="15" hidden="false" customHeight="true" outlineLevel="0" collapsed="false">
      <c r="A864" s="12" t="n">
        <f aca="false">'Raw Data'!A861</f>
        <v>42497</v>
      </c>
      <c r="B864" s="32" t="n">
        <f aca="false">'Raw Data'!E861</f>
        <v>34.1624220217837</v>
      </c>
      <c r="C864" s="32" t="n">
        <f aca="false">'Raw Data'!F861</f>
        <v>36.490770350331</v>
      </c>
      <c r="D864" s="15" t="n">
        <f aca="false">'Raw Data'!H861</f>
        <v>-0.0681552475132666</v>
      </c>
      <c r="E864" s="15" t="n">
        <f aca="false">'Raw Data'!I861</f>
        <v>-0.0681552475132665</v>
      </c>
      <c r="F864" s="17" t="b">
        <f aca="false">'Raw Data'!S861</f>
        <v>0</v>
      </c>
    </row>
    <row r="865" customFormat="false" ht="15" hidden="false" customHeight="true" outlineLevel="0" collapsed="false">
      <c r="A865" s="12" t="n">
        <f aca="false">'Raw Data'!A862</f>
        <v>42498</v>
      </c>
      <c r="B865" s="32" t="n">
        <f aca="false">'Raw Data'!E862</f>
        <v>34.1627354097313</v>
      </c>
      <c r="C865" s="32" t="n">
        <f aca="false">'Raw Data'!F862</f>
        <v>36.5073859909927</v>
      </c>
      <c r="D865" s="15" t="n">
        <f aca="false">'Raw Data'!H862</f>
        <v>-0.0686318163092272</v>
      </c>
      <c r="E865" s="15" t="n">
        <f aca="false">'Raw Data'!I862</f>
        <v>-0.0686318163092271</v>
      </c>
      <c r="F865" s="17" t="b">
        <f aca="false">'Raw Data'!S862</f>
        <v>0</v>
      </c>
    </row>
    <row r="866" customFormat="false" ht="15" hidden="false" customHeight="true" outlineLevel="0" collapsed="false">
      <c r="A866" s="12" t="n">
        <f aca="false">'Raw Data'!A863</f>
        <v>42499</v>
      </c>
      <c r="B866" s="32" t="n">
        <f aca="false">'Raw Data'!E863</f>
        <v>42.0521235258198</v>
      </c>
      <c r="C866" s="32" t="n">
        <f aca="false">'Raw Data'!F863</f>
        <v>36.5685490231238</v>
      </c>
      <c r="D866" s="15" t="n">
        <f aca="false">'Raw Data'!H863</f>
        <v>0.130399467207146</v>
      </c>
      <c r="E866" s="15" t="n">
        <f aca="false">'Raw Data'!I863</f>
        <v>0.130399467207146</v>
      </c>
      <c r="F866" s="17" t="b">
        <f aca="false">'Raw Data'!S863</f>
        <v>0</v>
      </c>
    </row>
    <row r="867" customFormat="false" ht="15" hidden="false" customHeight="true" outlineLevel="0" collapsed="false">
      <c r="A867" s="12" t="n">
        <f aca="false">'Raw Data'!A864</f>
        <v>42500</v>
      </c>
      <c r="B867" s="32" t="n">
        <f aca="false">'Raw Data'!E864</f>
        <v>42.0507130490258</v>
      </c>
      <c r="C867" s="32" t="n">
        <f aca="false">'Raw Data'!F864</f>
        <v>36.5285285993999</v>
      </c>
      <c r="D867" s="15" t="n">
        <f aca="false">'Raw Data'!H864</f>
        <v>0.131322016898686</v>
      </c>
      <c r="E867" s="15" t="n">
        <f aca="false">'Raw Data'!I864</f>
        <v>0.131322016898686</v>
      </c>
      <c r="F867" s="17" t="b">
        <f aca="false">'Raw Data'!S864</f>
        <v>0</v>
      </c>
    </row>
    <row r="868" customFormat="false" ht="15" hidden="false" customHeight="true" outlineLevel="0" collapsed="false">
      <c r="A868" s="12" t="n">
        <f aca="false">'Raw Data'!A865</f>
        <v>42501</v>
      </c>
      <c r="B868" s="32" t="n">
        <f aca="false">'Raw Data'!E865</f>
        <v>42.0846147609739</v>
      </c>
      <c r="C868" s="32" t="n">
        <f aca="false">'Raw Data'!F865</f>
        <v>36.5309376440102</v>
      </c>
      <c r="D868" s="15" t="n">
        <f aca="false">'Raw Data'!H865</f>
        <v>0.131964546866038</v>
      </c>
      <c r="E868" s="15" t="n">
        <f aca="false">'Raw Data'!I865</f>
        <v>0.131964546866038</v>
      </c>
      <c r="F868" s="17" t="b">
        <f aca="false">'Raw Data'!S865</f>
        <v>0</v>
      </c>
    </row>
    <row r="869" customFormat="false" ht="15" hidden="false" customHeight="true" outlineLevel="0" collapsed="false">
      <c r="A869" s="12" t="n">
        <f aca="false">'Raw Data'!A866</f>
        <v>42502</v>
      </c>
      <c r="B869" s="32" t="n">
        <f aca="false">'Raw Data'!E866</f>
        <v>42.0562699097993</v>
      </c>
      <c r="C869" s="32" t="n">
        <f aca="false">'Raw Data'!F866</f>
        <v>36.4299214148647</v>
      </c>
      <c r="D869" s="15" t="n">
        <f aca="false">'Raw Data'!H866</f>
        <v>0.13378144345663</v>
      </c>
      <c r="E869" s="15" t="n">
        <f aca="false">'Raw Data'!I866</f>
        <v>0.13378144345663</v>
      </c>
      <c r="F869" s="17" t="b">
        <f aca="false">'Raw Data'!S866</f>
        <v>0</v>
      </c>
    </row>
    <row r="870" customFormat="false" ht="15" hidden="false" customHeight="true" outlineLevel="0" collapsed="false">
      <c r="A870" s="12" t="n">
        <f aca="false">'Raw Data'!A867</f>
        <v>42503</v>
      </c>
      <c r="B870" s="32" t="n">
        <f aca="false">'Raw Data'!E867</f>
        <v>42.0653784223653</v>
      </c>
      <c r="C870" s="32" t="n">
        <f aca="false">'Raw Data'!F867</f>
        <v>36.3955290540267</v>
      </c>
      <c r="D870" s="15" t="n">
        <f aca="false">'Raw Data'!H867</f>
        <v>0.134786600786268</v>
      </c>
      <c r="E870" s="15" t="n">
        <f aca="false">'Raw Data'!I867</f>
        <v>0.134786600786268</v>
      </c>
      <c r="F870" s="17" t="b">
        <f aca="false">'Raw Data'!S867</f>
        <v>0</v>
      </c>
    </row>
    <row r="871" customFormat="false" ht="15" hidden="false" customHeight="true" outlineLevel="0" collapsed="false">
      <c r="A871" s="12" t="n">
        <f aca="false">'Raw Data'!A868</f>
        <v>42504</v>
      </c>
      <c r="B871" s="32" t="n">
        <f aca="false">'Raw Data'!E868</f>
        <v>42.0624417603514</v>
      </c>
      <c r="C871" s="32" t="n">
        <f aca="false">'Raw Data'!F868</f>
        <v>36.4232593802704</v>
      </c>
      <c r="D871" s="15" t="n">
        <f aca="false">'Raw Data'!H868</f>
        <v>0.134066928691633</v>
      </c>
      <c r="E871" s="15" t="n">
        <f aca="false">'Raw Data'!I868</f>
        <v>0.134066928691633</v>
      </c>
      <c r="F871" s="17" t="b">
        <f aca="false">'Raw Data'!S868</f>
        <v>0</v>
      </c>
    </row>
    <row r="872" customFormat="false" ht="15" hidden="false" customHeight="true" outlineLevel="0" collapsed="false">
      <c r="A872" s="12" t="n">
        <f aca="false">'Raw Data'!A869</f>
        <v>42505</v>
      </c>
      <c r="B872" s="32" t="n">
        <f aca="false">'Raw Data'!E869</f>
        <v>42.0729063206128</v>
      </c>
      <c r="C872" s="32" t="n">
        <f aca="false">'Raw Data'!F869</f>
        <v>36.4476631368544</v>
      </c>
      <c r="D872" s="15" t="n">
        <f aca="false">'Raw Data'!H869</f>
        <v>0.133702272452768</v>
      </c>
      <c r="E872" s="15" t="n">
        <f aca="false">'Raw Data'!I869</f>
        <v>0.133702272452769</v>
      </c>
      <c r="F872" s="17" t="b">
        <f aca="false">'Raw Data'!S869</f>
        <v>0</v>
      </c>
    </row>
    <row r="873" customFormat="false" ht="15" hidden="false" customHeight="true" outlineLevel="0" collapsed="false">
      <c r="A873" s="12" t="n">
        <f aca="false">'Raw Data'!A870</f>
        <v>42506</v>
      </c>
      <c r="B873" s="32" t="n">
        <f aca="false">'Raw Data'!E870</f>
        <v>42.072456199019</v>
      </c>
      <c r="C873" s="32" t="n">
        <f aca="false">'Raw Data'!F870</f>
        <v>36.4468187015602</v>
      </c>
      <c r="D873" s="15" t="n">
        <f aca="false">'Raw Data'!H870</f>
        <v>0.133713075149389</v>
      </c>
      <c r="E873" s="15" t="n">
        <f aca="false">'Raw Data'!I870</f>
        <v>0.133713075149389</v>
      </c>
      <c r="F873" s="17" t="b">
        <f aca="false">'Raw Data'!S870</f>
        <v>0</v>
      </c>
    </row>
    <row r="874" customFormat="false" ht="15" hidden="false" customHeight="true" outlineLevel="0" collapsed="false">
      <c r="A874" s="12" t="n">
        <f aca="false">'Raw Data'!A871</f>
        <v>42507</v>
      </c>
      <c r="B874" s="32" t="n">
        <f aca="false">'Raw Data'!E871</f>
        <v>42.0479990349035</v>
      </c>
      <c r="C874" s="32" t="n">
        <f aca="false">'Raw Data'!F871</f>
        <v>36.4412477768778</v>
      </c>
      <c r="D874" s="15" t="n">
        <f aca="false">'Raw Data'!H871</f>
        <v>0.133341690133023</v>
      </c>
      <c r="E874" s="15" t="n">
        <f aca="false">'Raw Data'!I871</f>
        <v>0.133341690133023</v>
      </c>
      <c r="F874" s="17" t="b">
        <f aca="false">'Raw Data'!S871</f>
        <v>0</v>
      </c>
    </row>
    <row r="875" customFormat="false" ht="15" hidden="false" customHeight="true" outlineLevel="0" collapsed="false">
      <c r="A875" s="12" t="n">
        <f aca="false">'Raw Data'!A872</f>
        <v>42508</v>
      </c>
      <c r="B875" s="32" t="n">
        <f aca="false">'Raw Data'!E872</f>
        <v>42.0620415717729</v>
      </c>
      <c r="C875" s="32" t="n">
        <f aca="false">'Raw Data'!F872</f>
        <v>36.5334114784445</v>
      </c>
      <c r="D875" s="15" t="n">
        <f aca="false">'Raw Data'!H872</f>
        <v>0.131439889428444</v>
      </c>
      <c r="E875" s="15" t="n">
        <f aca="false">'Raw Data'!I872</f>
        <v>0.131439889428444</v>
      </c>
      <c r="F875" s="17" t="b">
        <f aca="false">'Raw Data'!S872</f>
        <v>0</v>
      </c>
    </row>
    <row r="876" customFormat="false" ht="15" hidden="false" customHeight="true" outlineLevel="0" collapsed="false">
      <c r="A876" s="12" t="n">
        <f aca="false">'Raw Data'!A873</f>
        <v>42509</v>
      </c>
      <c r="B876" s="32" t="n">
        <f aca="false">'Raw Data'!E873</f>
        <v>42.0529973963183</v>
      </c>
      <c r="C876" s="32" t="n">
        <f aca="false">'Raw Data'!F873</f>
        <v>36.5310906251852</v>
      </c>
      <c r="D876" s="15" t="n">
        <f aca="false">'Raw Data'!H873</f>
        <v>0.131308280337148</v>
      </c>
      <c r="E876" s="15" t="n">
        <f aca="false">'Raw Data'!I873</f>
        <v>0.131308280337148</v>
      </c>
      <c r="F876" s="17" t="b">
        <f aca="false">'Raw Data'!S873</f>
        <v>0</v>
      </c>
    </row>
    <row r="877" customFormat="false" ht="15" hidden="false" customHeight="true" outlineLevel="0" collapsed="false">
      <c r="A877" s="12" t="n">
        <f aca="false">'Raw Data'!A874</f>
        <v>42510</v>
      </c>
      <c r="B877" s="32" t="n">
        <f aca="false">'Raw Data'!E874</f>
        <v>42.0638151276014</v>
      </c>
      <c r="C877" s="32" t="n">
        <f aca="false">'Raw Data'!F874</f>
        <v>36.4578642479734</v>
      </c>
      <c r="D877" s="15" t="n">
        <f aca="false">'Raw Data'!H874</f>
        <v>0.133272525628554</v>
      </c>
      <c r="E877" s="15" t="n">
        <f aca="false">'Raw Data'!I874</f>
        <v>0.133272525628554</v>
      </c>
      <c r="F877" s="17" t="b">
        <f aca="false">'Raw Data'!S874</f>
        <v>0</v>
      </c>
    </row>
    <row r="878" customFormat="false" ht="15" hidden="false" customHeight="true" outlineLevel="0" collapsed="false">
      <c r="A878" s="12" t="n">
        <f aca="false">'Raw Data'!A875</f>
        <v>42511</v>
      </c>
      <c r="B878" s="32" t="n">
        <f aca="false">'Raw Data'!E875</f>
        <v>42.0568745650987</v>
      </c>
      <c r="C878" s="32" t="n">
        <f aca="false">'Raw Data'!F875</f>
        <v>36.4703823051986</v>
      </c>
      <c r="D878" s="15" t="n">
        <f aca="false">'Raw Data'!H875</f>
        <v>0.132831845391957</v>
      </c>
      <c r="E878" s="15" t="n">
        <f aca="false">'Raw Data'!I875</f>
        <v>0.132831845391957</v>
      </c>
      <c r="F878" s="17" t="b">
        <f aca="false">'Raw Data'!S875</f>
        <v>0</v>
      </c>
    </row>
    <row r="879" customFormat="false" ht="15" hidden="false" customHeight="true" outlineLevel="0" collapsed="false">
      <c r="A879" s="12" t="n">
        <f aca="false">'Raw Data'!A876</f>
        <v>42512</v>
      </c>
      <c r="B879" s="32" t="n">
        <f aca="false">'Raw Data'!E876</f>
        <v>42.057422465259</v>
      </c>
      <c r="C879" s="32" t="n">
        <f aca="false">'Raw Data'!F876</f>
        <v>36.4691231635983</v>
      </c>
      <c r="D879" s="15" t="n">
        <f aca="false">'Raw Data'!H876</f>
        <v>0.132873080994845</v>
      </c>
      <c r="E879" s="15" t="n">
        <f aca="false">'Raw Data'!I876</f>
        <v>0.132873080994845</v>
      </c>
      <c r="F879" s="17" t="b">
        <f aca="false">'Raw Data'!S876</f>
        <v>0</v>
      </c>
    </row>
    <row r="880" customFormat="false" ht="15" hidden="false" customHeight="true" outlineLevel="0" collapsed="false">
      <c r="A880" s="12" t="n">
        <f aca="false">'Raw Data'!A877</f>
        <v>42513</v>
      </c>
      <c r="B880" s="32" t="n">
        <f aca="false">'Raw Data'!E877</f>
        <v>42.0702903683574</v>
      </c>
      <c r="C880" s="32" t="n">
        <f aca="false">'Raw Data'!F877</f>
        <v>36.4649870483793</v>
      </c>
      <c r="D880" s="15" t="n">
        <f aca="false">'Raw Data'!H877</f>
        <v>0.133236620686461</v>
      </c>
      <c r="E880" s="15" t="n">
        <f aca="false">'Raw Data'!I877</f>
        <v>0.133236620686461</v>
      </c>
      <c r="F880" s="17" t="b">
        <f aca="false">'Raw Data'!S877</f>
        <v>0</v>
      </c>
    </row>
    <row r="881" customFormat="false" ht="15" hidden="false" customHeight="true" outlineLevel="0" collapsed="false">
      <c r="A881" s="12" t="n">
        <f aca="false">'Raw Data'!A878</f>
        <v>42514</v>
      </c>
      <c r="B881" s="32" t="n">
        <f aca="false">'Raw Data'!E878</f>
        <v>35.0846355524534</v>
      </c>
      <c r="C881" s="32" t="n">
        <f aca="false">'Raw Data'!F878</f>
        <v>36.4189512809196</v>
      </c>
      <c r="D881" s="15" t="n">
        <f aca="false">'Raw Data'!H878</f>
        <v>-0.0380313407124142</v>
      </c>
      <c r="E881" s="15" t="n">
        <f aca="false">'Raw Data'!I878</f>
        <v>-0.0380313407124141</v>
      </c>
      <c r="F881" s="17" t="b">
        <f aca="false">'Raw Data'!S878</f>
        <v>1</v>
      </c>
    </row>
    <row r="882" customFormat="false" ht="15" hidden="false" customHeight="true" outlineLevel="0" collapsed="false">
      <c r="A882" s="12" t="n">
        <f aca="false">'Raw Data'!A879</f>
        <v>42515</v>
      </c>
      <c r="B882" s="32" t="n">
        <f aca="false">'Raw Data'!E879</f>
        <v>34.3190344228336</v>
      </c>
      <c r="C882" s="32" t="n">
        <f aca="false">'Raw Data'!F879</f>
        <v>36.3872525289455</v>
      </c>
      <c r="D882" s="15" t="n">
        <f aca="false">'Raw Data'!H879</f>
        <v>-0.0602644608420523</v>
      </c>
      <c r="E882" s="15" t="n">
        <f aca="false">'Raw Data'!I879</f>
        <v>-0.0602644608420523</v>
      </c>
      <c r="F882" s="17" t="b">
        <f aca="false">'Raw Data'!S879</f>
        <v>1</v>
      </c>
    </row>
    <row r="883" customFormat="false" ht="15" hidden="false" customHeight="true" outlineLevel="0" collapsed="false">
      <c r="A883" s="12" t="n">
        <f aca="false">'Raw Data'!A880</f>
        <v>42516</v>
      </c>
      <c r="B883" s="32" t="n">
        <f aca="false">'Raw Data'!E880</f>
        <v>34.2628367455256</v>
      </c>
      <c r="C883" s="32" t="n">
        <f aca="false">'Raw Data'!F880</f>
        <v>36.3781499794485</v>
      </c>
      <c r="D883" s="15" t="n">
        <f aca="false">'Raw Data'!H880</f>
        <v>-0.0617378312728036</v>
      </c>
      <c r="E883" s="15" t="n">
        <f aca="false">'Raw Data'!I880</f>
        <v>-0.0617378312728036</v>
      </c>
      <c r="F883" s="17" t="b">
        <f aca="false">'Raw Data'!S880</f>
        <v>1</v>
      </c>
    </row>
    <row r="884" customFormat="false" ht="15" hidden="false" customHeight="true" outlineLevel="0" collapsed="false">
      <c r="A884" s="12" t="n">
        <f aca="false">'Raw Data'!A881</f>
        <v>42517</v>
      </c>
      <c r="B884" s="32" t="n">
        <f aca="false">'Raw Data'!E881</f>
        <v>34.2702771366651</v>
      </c>
      <c r="C884" s="32" t="n">
        <f aca="false">'Raw Data'!F881</f>
        <v>36.3798848295545</v>
      </c>
      <c r="D884" s="15" t="n">
        <f aca="false">'Raw Data'!H881</f>
        <v>-0.0615579408499232</v>
      </c>
      <c r="E884" s="15" t="n">
        <f aca="false">'Raw Data'!I881</f>
        <v>-0.0615579408499233</v>
      </c>
      <c r="F884" s="17" t="b">
        <f aca="false">'Raw Data'!S881</f>
        <v>1</v>
      </c>
    </row>
    <row r="885" customFormat="false" ht="15" hidden="false" customHeight="true" outlineLevel="0" collapsed="false">
      <c r="A885" s="12" t="n">
        <f aca="false">'Raw Data'!A882</f>
        <v>42518</v>
      </c>
      <c r="B885" s="32" t="n">
        <f aca="false">'Raw Data'!E882</f>
        <v>34.295113845947</v>
      </c>
      <c r="C885" s="32" t="n">
        <f aca="false">'Raw Data'!F882</f>
        <v>36.3825799715069</v>
      </c>
      <c r="D885" s="15" t="n">
        <f aca="false">'Raw Data'!H882</f>
        <v>-0.0608677415370831</v>
      </c>
      <c r="E885" s="15" t="n">
        <f aca="false">'Raw Data'!I882</f>
        <v>-0.0608677415370831</v>
      </c>
      <c r="F885" s="17" t="b">
        <f aca="false">'Raw Data'!S882</f>
        <v>1</v>
      </c>
    </row>
    <row r="886" customFormat="false" ht="15" hidden="false" customHeight="true" outlineLevel="0" collapsed="false">
      <c r="A886" s="12" t="n">
        <f aca="false">'Raw Data'!A883</f>
        <v>42519</v>
      </c>
      <c r="B886" s="32" t="n">
        <f aca="false">'Raw Data'!E883</f>
        <v>34.2386603049761</v>
      </c>
      <c r="C886" s="32" t="n">
        <f aca="false">'Raw Data'!F883</f>
        <v>36.3781365540634</v>
      </c>
      <c r="D886" s="15" t="n">
        <f aca="false">'Raw Data'!H883</f>
        <v>-0.062487148446529</v>
      </c>
      <c r="E886" s="15" t="n">
        <f aca="false">'Raw Data'!I883</f>
        <v>-0.0624871484465291</v>
      </c>
      <c r="F886" s="17" t="b">
        <f aca="false">'Raw Data'!S883</f>
        <v>1</v>
      </c>
    </row>
    <row r="887" customFormat="false" ht="15" hidden="false" customHeight="true" outlineLevel="0" collapsed="false">
      <c r="A887" s="12" t="n">
        <f aca="false">'Raw Data'!A884</f>
        <v>42520</v>
      </c>
      <c r="B887" s="32" t="n">
        <f aca="false">'Raw Data'!E884</f>
        <v>34.2309697176043</v>
      </c>
      <c r="C887" s="32" t="n">
        <f aca="false">'Raw Data'!F884</f>
        <v>36.3937811409484</v>
      </c>
      <c r="D887" s="15" t="n">
        <f aca="false">'Raw Data'!H884</f>
        <v>-0.06318288500696</v>
      </c>
      <c r="E887" s="15" t="n">
        <f aca="false">'Raw Data'!I884</f>
        <v>-0.0631828850069601</v>
      </c>
      <c r="F887" s="17" t="b">
        <f aca="false">'Raw Data'!S884</f>
        <v>1</v>
      </c>
    </row>
    <row r="888" customFormat="false" ht="15" hidden="false" customHeight="true" outlineLevel="0" collapsed="false">
      <c r="A888" s="12" t="n">
        <f aca="false">'Raw Data'!A885</f>
        <v>42521</v>
      </c>
      <c r="B888" s="32" t="n">
        <f aca="false">'Raw Data'!E885</f>
        <v>34.3371326054342</v>
      </c>
      <c r="C888" s="32" t="n">
        <f aca="false">'Raw Data'!F885</f>
        <v>36.3810680767397</v>
      </c>
      <c r="D888" s="15" t="n">
        <f aca="false">'Raw Data'!H885</f>
        <v>-0.0595255141071962</v>
      </c>
      <c r="E888" s="15" t="n">
        <f aca="false">'Raw Data'!I885</f>
        <v>-0.0595255141071961</v>
      </c>
      <c r="F888" s="17" t="b">
        <f aca="false">'Raw Data'!S885</f>
        <v>1</v>
      </c>
    </row>
    <row r="889" customFormat="false" ht="15" hidden="false" customHeight="true" outlineLevel="0" collapsed="false">
      <c r="A889" s="12" t="n">
        <f aca="false">'Raw Data'!A886</f>
        <v>42522</v>
      </c>
      <c r="B889" s="32" t="n">
        <f aca="false">'Raw Data'!E886</f>
        <v>34.2709388181369</v>
      </c>
      <c r="C889" s="32" t="n">
        <f aca="false">'Raw Data'!F886</f>
        <v>36.4207471066157</v>
      </c>
      <c r="D889" s="15" t="n">
        <f aca="false">'Raw Data'!H886</f>
        <v>-0.0627297752152959</v>
      </c>
      <c r="E889" s="15" t="n">
        <f aca="false">'Raw Data'!I886</f>
        <v>-0.0627297752152958</v>
      </c>
      <c r="F889" s="17" t="b">
        <f aca="false">'Raw Data'!S886</f>
        <v>1</v>
      </c>
    </row>
    <row r="890" customFormat="false" ht="15" hidden="false" customHeight="true" outlineLevel="0" collapsed="false">
      <c r="A890" s="12" t="n">
        <f aca="false">'Raw Data'!A887</f>
        <v>42523</v>
      </c>
      <c r="B890" s="32" t="n">
        <f aca="false">'Raw Data'!E887</f>
        <v>34.245244651385</v>
      </c>
      <c r="C890" s="32" t="n">
        <f aca="false">'Raw Data'!F887</f>
        <v>36.3975667045447</v>
      </c>
      <c r="D890" s="15" t="n">
        <f aca="false">'Raw Data'!H887</f>
        <v>-0.0628502460727122</v>
      </c>
      <c r="E890" s="15" t="n">
        <f aca="false">'Raw Data'!I887</f>
        <v>-0.062850246072712</v>
      </c>
      <c r="F890" s="17" t="b">
        <f aca="false">'Raw Data'!S887</f>
        <v>1</v>
      </c>
    </row>
    <row r="891" customFormat="false" ht="15" hidden="false" customHeight="true" outlineLevel="0" collapsed="false">
      <c r="A891" s="12" t="n">
        <f aca="false">'Raw Data'!A888</f>
        <v>42524</v>
      </c>
      <c r="B891" s="32" t="n">
        <f aca="false">'Raw Data'!E888</f>
        <v>34.3207931386956</v>
      </c>
      <c r="C891" s="32" t="n">
        <f aca="false">'Raw Data'!F888</f>
        <v>36.3733644150395</v>
      </c>
      <c r="D891" s="15" t="n">
        <f aca="false">'Raw Data'!H888</f>
        <v>-0.0598054732607485</v>
      </c>
      <c r="E891" s="15" t="n">
        <f aca="false">'Raw Data'!I888</f>
        <v>-0.0598054732607486</v>
      </c>
      <c r="F891" s="17" t="b">
        <f aca="false">'Raw Data'!S888</f>
        <v>1</v>
      </c>
    </row>
    <row r="892" customFormat="false" ht="15" hidden="false" customHeight="true" outlineLevel="0" collapsed="false">
      <c r="A892" s="12" t="n">
        <f aca="false">'Raw Data'!A889</f>
        <v>42525</v>
      </c>
      <c r="B892" s="32" t="n">
        <f aca="false">'Raw Data'!E889</f>
        <v>34.2876729394965</v>
      </c>
      <c r="C892" s="32" t="n">
        <f aca="false">'Raw Data'!F889</f>
        <v>36.3692761535555</v>
      </c>
      <c r="D892" s="15" t="n">
        <f aca="false">'Raw Data'!H889</f>
        <v>-0.060709958874496</v>
      </c>
      <c r="E892" s="15" t="n">
        <f aca="false">'Raw Data'!I889</f>
        <v>-0.0607099588744961</v>
      </c>
      <c r="F892" s="17" t="b">
        <f aca="false">'Raw Data'!S889</f>
        <v>0</v>
      </c>
    </row>
    <row r="893" customFormat="false" ht="15" hidden="false" customHeight="true" outlineLevel="0" collapsed="false">
      <c r="A893" s="12" t="n">
        <f aca="false">'Raw Data'!A890</f>
        <v>42526</v>
      </c>
      <c r="B893" s="32" t="n">
        <f aca="false">'Raw Data'!E890</f>
        <v>34.2466211479634</v>
      </c>
      <c r="C893" s="32" t="n">
        <f aca="false">'Raw Data'!F890</f>
        <v>36.3589449098178</v>
      </c>
      <c r="D893" s="15" t="n">
        <f aca="false">'Raw Data'!H890</f>
        <v>-0.0616797713481883</v>
      </c>
      <c r="E893" s="15" t="n">
        <f aca="false">'Raw Data'!I890</f>
        <v>-0.0616797713481883</v>
      </c>
      <c r="F893" s="17" t="b">
        <f aca="false">'Raw Data'!S890</f>
        <v>0</v>
      </c>
    </row>
    <row r="894" customFormat="false" ht="15" hidden="false" customHeight="true" outlineLevel="0" collapsed="false">
      <c r="A894" s="12" t="n">
        <f aca="false">'Raw Data'!A891</f>
        <v>42527</v>
      </c>
      <c r="B894" s="32" t="n">
        <f aca="false">'Raw Data'!E891</f>
        <v>34.2578495900649</v>
      </c>
      <c r="C894" s="32" t="n">
        <f aca="false">'Raw Data'!F891</f>
        <v>36.3798947398075</v>
      </c>
      <c r="D894" s="15" t="n">
        <f aca="false">'Raw Data'!H891</f>
        <v>-0.061943326132124</v>
      </c>
      <c r="E894" s="15" t="n">
        <f aca="false">'Raw Data'!I891</f>
        <v>-0.0619433261321242</v>
      </c>
      <c r="F894" s="17" t="b">
        <f aca="false">'Raw Data'!S891</f>
        <v>0</v>
      </c>
    </row>
    <row r="895" customFormat="false" ht="15" hidden="false" customHeight="true" outlineLevel="0" collapsed="false">
      <c r="A895" s="12" t="n">
        <f aca="false">'Raw Data'!A892</f>
        <v>42528</v>
      </c>
      <c r="B895" s="32" t="n">
        <f aca="false">'Raw Data'!E892</f>
        <v>42.0548700968593</v>
      </c>
      <c r="C895" s="32" t="n">
        <f aca="false">'Raw Data'!F892</f>
        <v>36.3646259105554</v>
      </c>
      <c r="D895" s="15" t="n">
        <f aca="false">'Raw Data'!H892</f>
        <v>0.135305237495643</v>
      </c>
      <c r="E895" s="15" t="n">
        <f aca="false">'Raw Data'!I892</f>
        <v>0.135305237495643</v>
      </c>
      <c r="F895" s="17" t="b">
        <f aca="false">'Raw Data'!S892</f>
        <v>0</v>
      </c>
    </row>
    <row r="896" customFormat="false" ht="15" hidden="false" customHeight="true" outlineLevel="0" collapsed="false">
      <c r="A896" s="12" t="n">
        <f aca="false">'Raw Data'!A893</f>
        <v>42529</v>
      </c>
      <c r="B896" s="32" t="n">
        <f aca="false">'Raw Data'!E893</f>
        <v>34.1917837525079</v>
      </c>
      <c r="C896" s="32" t="n">
        <f aca="false">'Raw Data'!F893</f>
        <v>36.3678239526661</v>
      </c>
      <c r="D896" s="15" t="n">
        <f aca="false">'Raw Data'!H893</f>
        <v>-0.0636421959120112</v>
      </c>
      <c r="E896" s="15" t="n">
        <f aca="false">'Raw Data'!I893</f>
        <v>-0.0636421959120113</v>
      </c>
      <c r="F896" s="17" t="b">
        <f aca="false">'Raw Data'!S893</f>
        <v>0</v>
      </c>
    </row>
    <row r="897" customFormat="false" ht="15" hidden="false" customHeight="true" outlineLevel="0" collapsed="false">
      <c r="A897" s="12" t="n">
        <f aca="false">'Raw Data'!A894</f>
        <v>42530</v>
      </c>
      <c r="B897" s="32" t="n">
        <f aca="false">'Raw Data'!E894</f>
        <v>35.1005635238471</v>
      </c>
      <c r="C897" s="32" t="n">
        <f aca="false">'Raw Data'!F894</f>
        <v>36.3752790493337</v>
      </c>
      <c r="D897" s="15" t="n">
        <f aca="false">'Raw Data'!H894</f>
        <v>-0.0363160985897164</v>
      </c>
      <c r="E897" s="15" t="n">
        <f aca="false">'Raw Data'!I894</f>
        <v>-0.0363160985897164</v>
      </c>
      <c r="F897" s="17" t="b">
        <f aca="false">'Raw Data'!S894</f>
        <v>0</v>
      </c>
    </row>
    <row r="898" customFormat="false" ht="15" hidden="false" customHeight="true" outlineLevel="0" collapsed="false">
      <c r="A898" s="12" t="n">
        <f aca="false">'Raw Data'!A895</f>
        <v>42531</v>
      </c>
      <c r="B898" s="32" t="n">
        <f aca="false">'Raw Data'!E895</f>
        <v>35.1124147747551</v>
      </c>
      <c r="C898" s="32" t="n">
        <f aca="false">'Raw Data'!F895</f>
        <v>36.3702895380479</v>
      </c>
      <c r="D898" s="15" t="n">
        <f aca="false">'Raw Data'!H895</f>
        <v>-0.0358242169147869</v>
      </c>
      <c r="E898" s="15" t="n">
        <f aca="false">'Raw Data'!I895</f>
        <v>-0.035824216914787</v>
      </c>
      <c r="F898" s="17" t="b">
        <f aca="false">'Raw Data'!S895</f>
        <v>0</v>
      </c>
    </row>
    <row r="899" customFormat="false" ht="15" hidden="false" customHeight="true" outlineLevel="0" collapsed="false">
      <c r="A899" s="12" t="n">
        <f aca="false">'Raw Data'!A896</f>
        <v>42532</v>
      </c>
      <c r="B899" s="32" t="n">
        <f aca="false">'Raw Data'!E896</f>
        <v>34.2681418306071</v>
      </c>
      <c r="C899" s="32" t="n">
        <f aca="false">'Raw Data'!F896</f>
        <v>36.3592771988732</v>
      </c>
      <c r="D899" s="15" t="n">
        <f aca="false">'Raw Data'!H896</f>
        <v>-0.0610227242143144</v>
      </c>
      <c r="E899" s="15" t="n">
        <f aca="false">'Raw Data'!I896</f>
        <v>-0.0610227242143143</v>
      </c>
      <c r="F899" s="17" t="b">
        <f aca="false">'Raw Data'!S896</f>
        <v>0</v>
      </c>
    </row>
    <row r="900" customFormat="false" ht="15" hidden="false" customHeight="true" outlineLevel="0" collapsed="false">
      <c r="A900" s="12" t="n">
        <f aca="false">'Raw Data'!A897</f>
        <v>42533</v>
      </c>
      <c r="B900" s="32" t="n">
        <f aca="false">'Raw Data'!E897</f>
        <v>35.0875277272318</v>
      </c>
      <c r="C900" s="32" t="n">
        <f aca="false">'Raw Data'!F897</f>
        <v>36.3547234608228</v>
      </c>
      <c r="D900" s="15" t="n">
        <f aca="false">'Raw Data'!H897</f>
        <v>-0.0361152755885808</v>
      </c>
      <c r="E900" s="15" t="n">
        <f aca="false">'Raw Data'!I897</f>
        <v>-0.0361152755885807</v>
      </c>
      <c r="F900" s="17" t="b">
        <f aca="false">'Raw Data'!S897</f>
        <v>0</v>
      </c>
    </row>
    <row r="901" customFormat="false" ht="15" hidden="false" customHeight="true" outlineLevel="0" collapsed="false">
      <c r="A901" s="12" t="n">
        <f aca="false">'Raw Data'!A898</f>
        <v>42534</v>
      </c>
      <c r="B901" s="32" t="n">
        <f aca="false">'Raw Data'!E898</f>
        <v>35.0869370283778</v>
      </c>
      <c r="C901" s="32" t="n">
        <f aca="false">'Raw Data'!F898</f>
        <v>36.4042531668276</v>
      </c>
      <c r="D901" s="15" t="n">
        <f aca="false">'Raw Data'!H898</f>
        <v>-0.0375443469854451</v>
      </c>
      <c r="E901" s="15" t="n">
        <f aca="false">'Raw Data'!I898</f>
        <v>-0.0375443469854451</v>
      </c>
      <c r="F901" s="17" t="b">
        <f aca="false">'Raw Data'!S898</f>
        <v>0</v>
      </c>
    </row>
    <row r="902" customFormat="false" ht="15" hidden="false" customHeight="true" outlineLevel="0" collapsed="false">
      <c r="A902" s="12" t="n">
        <f aca="false">'Raw Data'!A899</f>
        <v>42535</v>
      </c>
      <c r="B902" s="32" t="n">
        <f aca="false">'Raw Data'!E899</f>
        <v>35.0912446222984</v>
      </c>
      <c r="C902" s="32" t="n">
        <f aca="false">'Raw Data'!F899</f>
        <v>36.4024749438328</v>
      </c>
      <c r="D902" s="15" t="n">
        <f aca="false">'Raw Data'!H899</f>
        <v>-0.0373663099057224</v>
      </c>
      <c r="E902" s="15" t="n">
        <f aca="false">'Raw Data'!I899</f>
        <v>-0.0373663099057224</v>
      </c>
      <c r="F902" s="17" t="b">
        <f aca="false">'Raw Data'!S899</f>
        <v>0</v>
      </c>
    </row>
    <row r="903" customFormat="false" ht="15" hidden="false" customHeight="true" outlineLevel="0" collapsed="false">
      <c r="A903" s="12" t="n">
        <f aca="false">'Raw Data'!A900</f>
        <v>42536</v>
      </c>
      <c r="B903" s="32" t="n">
        <f aca="false">'Raw Data'!E900</f>
        <v>34.2501994264006</v>
      </c>
      <c r="C903" s="32" t="n">
        <f aca="false">'Raw Data'!F900</f>
        <v>36.3758957576262</v>
      </c>
      <c r="D903" s="15" t="n">
        <f aca="false">'Raw Data'!H900</f>
        <v>-0.0620637650824041</v>
      </c>
      <c r="E903" s="15" t="n">
        <f aca="false">'Raw Data'!I900</f>
        <v>-0.0620637650824041</v>
      </c>
      <c r="F903" s="17" t="b">
        <f aca="false">'Raw Data'!S900</f>
        <v>0</v>
      </c>
    </row>
    <row r="904" customFormat="false" ht="15" hidden="false" customHeight="true" outlineLevel="0" collapsed="false">
      <c r="A904" s="12" t="n">
        <f aca="false">'Raw Data'!A901</f>
        <v>42537</v>
      </c>
      <c r="B904" s="32" t="n">
        <f aca="false">'Raw Data'!E901</f>
        <v>35.1223207640884</v>
      </c>
      <c r="C904" s="32" t="n">
        <f aca="false">'Raw Data'!F901</f>
        <v>36.3707722632418</v>
      </c>
      <c r="D904" s="15" t="n">
        <f aca="false">'Raw Data'!H901</f>
        <v>-0.0355458145132002</v>
      </c>
      <c r="E904" s="15" t="n">
        <f aca="false">'Raw Data'!I901</f>
        <v>-0.0355458145132002</v>
      </c>
      <c r="F904" s="17" t="b">
        <f aca="false">'Raw Data'!S901</f>
        <v>0</v>
      </c>
    </row>
    <row r="905" customFormat="false" ht="15" hidden="false" customHeight="true" outlineLevel="0" collapsed="false">
      <c r="A905" s="12" t="n">
        <f aca="false">'Raw Data'!A902</f>
        <v>42538</v>
      </c>
      <c r="B905" s="32" t="n">
        <f aca="false">'Raw Data'!E902</f>
        <v>35.0926231543059</v>
      </c>
      <c r="C905" s="32" t="n">
        <f aca="false">'Raw Data'!F902</f>
        <v>36.3615694869463</v>
      </c>
      <c r="D905" s="15" t="n">
        <f aca="false">'Raw Data'!H902</f>
        <v>-0.0361599167739814</v>
      </c>
      <c r="E905" s="15" t="n">
        <f aca="false">'Raw Data'!I902</f>
        <v>-0.0361599167739814</v>
      </c>
      <c r="F905" s="17" t="b">
        <f aca="false">'Raw Data'!S902</f>
        <v>0</v>
      </c>
    </row>
    <row r="906" customFormat="false" ht="15" hidden="false" customHeight="true" outlineLevel="0" collapsed="false">
      <c r="A906" s="12" t="n">
        <f aca="false">'Raw Data'!A903</f>
        <v>42539</v>
      </c>
      <c r="B906" s="32" t="n">
        <f aca="false">'Raw Data'!E903</f>
        <v>34.248000135828</v>
      </c>
      <c r="C906" s="32" t="n">
        <f aca="false">'Raw Data'!F903</f>
        <v>36.3595252423481</v>
      </c>
      <c r="D906" s="15" t="n">
        <f aca="false">'Raw Data'!H903</f>
        <v>-0.0616539680607864</v>
      </c>
      <c r="E906" s="15" t="n">
        <f aca="false">'Raw Data'!I903</f>
        <v>-0.0616539680607864</v>
      </c>
      <c r="F906" s="17" t="b">
        <f aca="false">'Raw Data'!S903</f>
        <v>0</v>
      </c>
    </row>
    <row r="907" customFormat="false" ht="15" hidden="false" customHeight="true" outlineLevel="0" collapsed="false">
      <c r="A907" s="12" t="n">
        <f aca="false">'Raw Data'!A904</f>
        <v>42540</v>
      </c>
      <c r="B907" s="32" t="n">
        <f aca="false">'Raw Data'!E904</f>
        <v>35.1011241525128</v>
      </c>
      <c r="C907" s="32" t="n">
        <f aca="false">'Raw Data'!F904</f>
        <v>36.3836795032126</v>
      </c>
      <c r="D907" s="15" t="n">
        <f aca="false">'Raw Data'!H904</f>
        <v>-0.0365388682461333</v>
      </c>
      <c r="E907" s="15" t="n">
        <f aca="false">'Raw Data'!I904</f>
        <v>-0.0365388682461333</v>
      </c>
      <c r="F907" s="17" t="b">
        <f aca="false">'Raw Data'!S904</f>
        <v>0</v>
      </c>
    </row>
    <row r="908" customFormat="false" ht="15" hidden="false" customHeight="true" outlineLevel="0" collapsed="false">
      <c r="A908" s="12" t="n">
        <f aca="false">'Raw Data'!A905</f>
        <v>42541</v>
      </c>
      <c r="B908" s="32" t="n">
        <f aca="false">'Raw Data'!E905</f>
        <v>35.1012254293303</v>
      </c>
      <c r="C908" s="32" t="n">
        <f aca="false">'Raw Data'!F905</f>
        <v>36.3568247139895</v>
      </c>
      <c r="D908" s="15" t="n">
        <f aca="false">'Raw Data'!H905</f>
        <v>-0.035770810542984</v>
      </c>
      <c r="E908" s="15" t="n">
        <f aca="false">'Raw Data'!I905</f>
        <v>-0.035770810542984</v>
      </c>
      <c r="F908" s="17" t="b">
        <f aca="false">'Raw Data'!S905</f>
        <v>0</v>
      </c>
    </row>
    <row r="909" customFormat="false" ht="15" hidden="false" customHeight="true" outlineLevel="0" collapsed="false">
      <c r="A909" s="12" t="n">
        <f aca="false">'Raw Data'!A906</f>
        <v>42542</v>
      </c>
      <c r="B909" s="32" t="n">
        <f aca="false">'Raw Data'!E906</f>
        <v>35.1245799532196</v>
      </c>
      <c r="C909" s="32" t="n">
        <f aca="false">'Raw Data'!F906</f>
        <v>36.3445452483623</v>
      </c>
      <c r="D909" s="15" t="n">
        <f aca="false">'Raw Data'!H906</f>
        <v>-0.0347325234000655</v>
      </c>
      <c r="E909" s="15" t="n">
        <f aca="false">'Raw Data'!I906</f>
        <v>-0.0347325234000653</v>
      </c>
      <c r="F909" s="17" t="b">
        <f aca="false">'Raw Data'!S906</f>
        <v>0</v>
      </c>
    </row>
    <row r="910" customFormat="false" ht="15" hidden="false" customHeight="true" outlineLevel="0" collapsed="false">
      <c r="A910" s="12" t="n">
        <f aca="false">'Raw Data'!A907</f>
        <v>42543</v>
      </c>
      <c r="B910" s="32" t="n">
        <f aca="false">'Raw Data'!E907</f>
        <v>42.043180704995</v>
      </c>
      <c r="C910" s="32" t="n">
        <f aca="false">'Raw Data'!F907</f>
        <v>36.2634674948872</v>
      </c>
      <c r="D910" s="15" t="n">
        <f aca="false">'Raw Data'!H907</f>
        <v>0.137470883819718</v>
      </c>
      <c r="E910" s="15" t="n">
        <f aca="false">'Raw Data'!I907</f>
        <v>0.137470883819718</v>
      </c>
      <c r="F910" s="17" t="b">
        <f aca="false">'Raw Data'!S907</f>
        <v>0</v>
      </c>
    </row>
    <row r="911" customFormat="false" ht="15" hidden="false" customHeight="true" outlineLevel="0" collapsed="false">
      <c r="A911" s="12" t="n">
        <f aca="false">'Raw Data'!A908</f>
        <v>42544</v>
      </c>
      <c r="B911" s="32" t="n">
        <f aca="false">'Raw Data'!E908</f>
        <v>33.3920410593842</v>
      </c>
      <c r="C911" s="32" t="n">
        <f aca="false">'Raw Data'!F908</f>
        <v>36.1578475595202</v>
      </c>
      <c r="D911" s="15" t="n">
        <f aca="false">'Raw Data'!H908</f>
        <v>-0.082828315143042</v>
      </c>
      <c r="E911" s="15" t="n">
        <f aca="false">'Raw Data'!I908</f>
        <v>-0.0828283151430419</v>
      </c>
      <c r="F911" s="17" t="b">
        <f aca="false">'Raw Data'!S908</f>
        <v>0</v>
      </c>
    </row>
    <row r="912" customFormat="false" ht="15" hidden="false" customHeight="true" outlineLevel="0" collapsed="false">
      <c r="A912" s="12" t="n">
        <f aca="false">'Raw Data'!A909</f>
        <v>42545</v>
      </c>
      <c r="B912" s="32" t="n">
        <f aca="false">'Raw Data'!E909</f>
        <v>33.4193887507211</v>
      </c>
      <c r="C912" s="32" t="n">
        <f aca="false">'Raw Data'!F909</f>
        <v>36.2023297832091</v>
      </c>
      <c r="D912" s="15" t="n">
        <f aca="false">'Raw Data'!H909</f>
        <v>-0.0832732475523799</v>
      </c>
      <c r="E912" s="15" t="n">
        <f aca="false">'Raw Data'!I909</f>
        <v>-0.0832732475523798</v>
      </c>
      <c r="F912" s="17" t="b">
        <f aca="false">'Raw Data'!S909</f>
        <v>1</v>
      </c>
    </row>
    <row r="913" customFormat="false" ht="15" hidden="false" customHeight="true" outlineLevel="0" collapsed="false">
      <c r="A913" s="12" t="n">
        <f aca="false">'Raw Data'!A910</f>
        <v>42546</v>
      </c>
      <c r="B913" s="32" t="n">
        <f aca="false">'Raw Data'!E910</f>
        <v>33.4431077780595</v>
      </c>
      <c r="C913" s="32" t="n">
        <f aca="false">'Raw Data'!F910</f>
        <v>36.1712701385155</v>
      </c>
      <c r="D913" s="15" t="n">
        <f aca="false">'Raw Data'!H910</f>
        <v>-0.0815762212818574</v>
      </c>
      <c r="E913" s="15" t="n">
        <f aca="false">'Raw Data'!I910</f>
        <v>-0.0815762212818573</v>
      </c>
      <c r="F913" s="17" t="b">
        <f aca="false">'Raw Data'!S910</f>
        <v>0</v>
      </c>
    </row>
    <row r="914" customFormat="false" ht="15" hidden="false" customHeight="true" outlineLevel="0" collapsed="false">
      <c r="A914" s="12" t="n">
        <f aca="false">'Raw Data'!A911</f>
        <v>42547</v>
      </c>
      <c r="B914" s="32" t="n">
        <f aca="false">'Raw Data'!E911</f>
        <v>33.3652607775277</v>
      </c>
      <c r="C914" s="32" t="n">
        <f aca="false">'Raw Data'!F911</f>
        <v>36.2068396764828</v>
      </c>
      <c r="D914" s="15" t="n">
        <f aca="false">'Raw Data'!H911</f>
        <v>-0.0851657931853772</v>
      </c>
      <c r="E914" s="15" t="n">
        <f aca="false">'Raw Data'!I911</f>
        <v>-0.0851657931853774</v>
      </c>
      <c r="F914" s="17" t="b">
        <f aca="false">'Raw Data'!S911</f>
        <v>0</v>
      </c>
    </row>
    <row r="915" customFormat="false" ht="15" hidden="false" customHeight="true" outlineLevel="0" collapsed="false">
      <c r="A915" s="12" t="n">
        <f aca="false">'Raw Data'!A912</f>
        <v>42548</v>
      </c>
      <c r="B915" s="32" t="n">
        <f aca="false">'Raw Data'!E912</f>
        <v>33.4126462500486</v>
      </c>
      <c r="C915" s="32" t="n">
        <f aca="false">'Raw Data'!F912</f>
        <v>36.1419834423671</v>
      </c>
      <c r="D915" s="15" t="n">
        <f aca="false">'Raw Data'!H912</f>
        <v>-0.0816857537081352</v>
      </c>
      <c r="E915" s="15" t="n">
        <f aca="false">'Raw Data'!I912</f>
        <v>-0.0816857537081353</v>
      </c>
      <c r="F915" s="17" t="b">
        <f aca="false">'Raw Data'!S912</f>
        <v>0</v>
      </c>
    </row>
    <row r="916" customFormat="false" ht="15" hidden="false" customHeight="true" outlineLevel="0" collapsed="false">
      <c r="A916" s="12" t="n">
        <f aca="false">'Raw Data'!A913</f>
        <v>42549</v>
      </c>
      <c r="B916" s="32" t="n">
        <f aca="false">'Raw Data'!E913</f>
        <v>33.3970494728382</v>
      </c>
      <c r="C916" s="32" t="n">
        <f aca="false">'Raw Data'!F913</f>
        <v>36.1419310330791</v>
      </c>
      <c r="D916" s="15" t="n">
        <f aca="false">'Raw Data'!H913</f>
        <v>-0.0821893431775562</v>
      </c>
      <c r="E916" s="15" t="n">
        <f aca="false">'Raw Data'!I913</f>
        <v>-0.0821893431775562</v>
      </c>
      <c r="F916" s="17" t="b">
        <f aca="false">'Raw Data'!S913</f>
        <v>0</v>
      </c>
    </row>
    <row r="917" customFormat="false" ht="15" hidden="false" customHeight="true" outlineLevel="0" collapsed="false">
      <c r="A917" s="12" t="n">
        <f aca="false">'Raw Data'!A914</f>
        <v>42550</v>
      </c>
      <c r="B917" s="32" t="n">
        <f aca="false">'Raw Data'!E914</f>
        <v>33.3649823730828</v>
      </c>
      <c r="C917" s="32" t="n">
        <f aca="false">'Raw Data'!F914</f>
        <v>36.0951632371467</v>
      </c>
      <c r="D917" s="15" t="n">
        <f aca="false">'Raw Data'!H914</f>
        <v>-0.0818277328468337</v>
      </c>
      <c r="E917" s="15" t="n">
        <f aca="false">'Raw Data'!I914</f>
        <v>-0.0818277328468337</v>
      </c>
      <c r="F917" s="17" t="b">
        <f aca="false">'Raw Data'!S914</f>
        <v>0</v>
      </c>
    </row>
    <row r="918" customFormat="false" ht="15" hidden="false" customHeight="true" outlineLevel="0" collapsed="false">
      <c r="A918" s="12" t="n">
        <f aca="false">'Raw Data'!A915</f>
        <v>42551</v>
      </c>
      <c r="B918" s="32" t="n">
        <f aca="false">'Raw Data'!E915</f>
        <v>33.3362074327514</v>
      </c>
      <c r="C918" s="32" t="n">
        <f aca="false">'Raw Data'!F915</f>
        <v>36.0639212561688</v>
      </c>
      <c r="D918" s="15" t="n">
        <f aca="false">'Raw Data'!H915</f>
        <v>-0.0818243595621948</v>
      </c>
      <c r="E918" s="15" t="n">
        <f aca="false">'Raw Data'!I915</f>
        <v>-0.0818243595621949</v>
      </c>
      <c r="F918" s="17" t="b">
        <f aca="false">'Raw Data'!S915</f>
        <v>0</v>
      </c>
    </row>
    <row r="919" customFormat="false" ht="15" hidden="false" customHeight="true" outlineLevel="0" collapsed="false">
      <c r="A919" s="12" t="n">
        <f aca="false">'Raw Data'!A916</f>
        <v>42552</v>
      </c>
      <c r="B919" s="32" t="n">
        <f aca="false">'Raw Data'!E916</f>
        <v>33.3944615663512</v>
      </c>
      <c r="C919" s="32" t="n">
        <f aca="false">'Raw Data'!F916</f>
        <v>36.094687158222</v>
      </c>
      <c r="D919" s="15" t="n">
        <f aca="false">'Raw Data'!H916</f>
        <v>-0.0808584856655262</v>
      </c>
      <c r="E919" s="15" t="n">
        <f aca="false">'Raw Data'!I916</f>
        <v>-0.0808584856655262</v>
      </c>
      <c r="F919" s="17" t="b">
        <f aca="false">'Raw Data'!S916</f>
        <v>0</v>
      </c>
    </row>
    <row r="920" customFormat="false" ht="15" hidden="false" customHeight="true" outlineLevel="0" collapsed="false">
      <c r="A920" s="12" t="n">
        <f aca="false">'Raw Data'!A917</f>
        <v>42553</v>
      </c>
      <c r="B920" s="32" t="n">
        <f aca="false">'Raw Data'!E917</f>
        <v>33.4001973516636</v>
      </c>
      <c r="C920" s="32" t="n">
        <f aca="false">'Raw Data'!F917</f>
        <v>36.0413714930754</v>
      </c>
      <c r="D920" s="15" t="n">
        <f aca="false">'Raw Data'!H917</f>
        <v>-0.079076602859661</v>
      </c>
      <c r="E920" s="15" t="n">
        <f aca="false">'Raw Data'!I917</f>
        <v>-0.0790766028596611</v>
      </c>
      <c r="F920" s="17" t="b">
        <f aca="false">'Raw Data'!S917</f>
        <v>0</v>
      </c>
    </row>
    <row r="921" customFormat="false" ht="15" hidden="false" customHeight="true" outlineLevel="0" collapsed="false">
      <c r="A921" s="12" t="n">
        <f aca="false">'Raw Data'!A918</f>
        <v>42554</v>
      </c>
      <c r="B921" s="32" t="n">
        <f aca="false">'Raw Data'!E918</f>
        <v>33.3634358317368</v>
      </c>
      <c r="C921" s="32" t="n">
        <f aca="false">'Raw Data'!F918</f>
        <v>36.0290552471755</v>
      </c>
      <c r="D921" s="15" t="n">
        <f aca="false">'Raw Data'!H918</f>
        <v>-0.0798964299984666</v>
      </c>
      <c r="E921" s="15" t="n">
        <f aca="false">'Raw Data'!I918</f>
        <v>-0.0798964299984667</v>
      </c>
      <c r="F921" s="17" t="b">
        <f aca="false">'Raw Data'!S918</f>
        <v>0</v>
      </c>
    </row>
    <row r="922" customFormat="false" ht="15" hidden="false" customHeight="true" outlineLevel="0" collapsed="false">
      <c r="A922" s="12" t="n">
        <f aca="false">'Raw Data'!A919</f>
        <v>42555</v>
      </c>
      <c r="B922" s="32" t="n">
        <f aca="false">'Raw Data'!E919</f>
        <v>33.3924428366717</v>
      </c>
      <c r="C922" s="32" t="n">
        <f aca="false">'Raw Data'!F919</f>
        <v>36.063631478504</v>
      </c>
      <c r="D922" s="15" t="n">
        <f aca="false">'Raw Data'!H919</f>
        <v>-0.0799938074281526</v>
      </c>
      <c r="E922" s="15" t="n">
        <f aca="false">'Raw Data'!I919</f>
        <v>-0.0799938074281527</v>
      </c>
      <c r="F922" s="17" t="b">
        <f aca="false">'Raw Data'!S919</f>
        <v>0</v>
      </c>
    </row>
    <row r="923" customFormat="false" ht="15" hidden="false" customHeight="true" outlineLevel="0" collapsed="false">
      <c r="A923" s="12" t="n">
        <f aca="false">'Raw Data'!A920</f>
        <v>42556</v>
      </c>
      <c r="B923" s="32" t="n">
        <f aca="false">'Raw Data'!E920</f>
        <v>33.3530819728811</v>
      </c>
      <c r="C923" s="32" t="n">
        <f aca="false">'Raw Data'!F920</f>
        <v>36.0386727293365</v>
      </c>
      <c r="D923" s="15" t="n">
        <f aca="false">'Raw Data'!H920</f>
        <v>-0.0805200178693842</v>
      </c>
      <c r="E923" s="15" t="n">
        <f aca="false">'Raw Data'!I920</f>
        <v>-0.0805200178693841</v>
      </c>
      <c r="F923" s="17" t="b">
        <f aca="false">'Raw Data'!S920</f>
        <v>0</v>
      </c>
    </row>
    <row r="924" customFormat="false" ht="15" hidden="false" customHeight="true" outlineLevel="0" collapsed="false">
      <c r="A924" s="12" t="n">
        <f aca="false">'Raw Data'!A921</f>
        <v>42557</v>
      </c>
      <c r="B924" s="32" t="n">
        <f aca="false">'Raw Data'!E921</f>
        <v>33.45450676198</v>
      </c>
      <c r="C924" s="32" t="n">
        <f aca="false">'Raw Data'!F921</f>
        <v>36.0319604706539</v>
      </c>
      <c r="D924" s="15" t="n">
        <f aca="false">'Raw Data'!H921</f>
        <v>-0.0770435423547523</v>
      </c>
      <c r="E924" s="15" t="n">
        <f aca="false">'Raw Data'!I921</f>
        <v>-0.0770435423547522</v>
      </c>
      <c r="F924" s="17" t="b">
        <f aca="false">'Raw Data'!S921</f>
        <v>0</v>
      </c>
    </row>
    <row r="925" customFormat="false" ht="15" hidden="false" customHeight="true" outlineLevel="0" collapsed="false">
      <c r="A925" s="12" t="n">
        <f aca="false">'Raw Data'!A922</f>
        <v>42558</v>
      </c>
      <c r="B925" s="32" t="n">
        <f aca="false">'Raw Data'!E922</f>
        <v>42.0671514241051</v>
      </c>
      <c r="C925" s="32" t="n">
        <f aca="false">'Raw Data'!F922</f>
        <v>36.0332030230909</v>
      </c>
      <c r="D925" s="15" t="n">
        <f aca="false">'Raw Data'!H922</f>
        <v>0.143436106243139</v>
      </c>
      <c r="E925" s="15" t="n">
        <f aca="false">'Raw Data'!I922</f>
        <v>0.143436106243139</v>
      </c>
      <c r="F925" s="17" t="b">
        <f aca="false">'Raw Data'!S922</f>
        <v>0</v>
      </c>
    </row>
    <row r="926" customFormat="false" ht="15" hidden="false" customHeight="true" outlineLevel="0" collapsed="false">
      <c r="A926" s="12" t="n">
        <f aca="false">'Raw Data'!A923</f>
        <v>42559</v>
      </c>
      <c r="B926" s="32" t="n">
        <f aca="false">'Raw Data'!E923</f>
        <v>42.0572793192035</v>
      </c>
      <c r="C926" s="32" t="n">
        <f aca="false">'Raw Data'!F923</f>
        <v>36.0127932558113</v>
      </c>
      <c r="D926" s="15" t="n">
        <f aca="false">'Raw Data'!H923</f>
        <v>0.143720330017455</v>
      </c>
      <c r="E926" s="15" t="n">
        <f aca="false">'Raw Data'!I923</f>
        <v>0.143720330017456</v>
      </c>
      <c r="F926" s="17" t="b">
        <f aca="false">'Raw Data'!S923</f>
        <v>0</v>
      </c>
    </row>
    <row r="927" customFormat="false" ht="15" hidden="false" customHeight="true" outlineLevel="0" collapsed="false">
      <c r="A927" s="12" t="n">
        <f aca="false">'Raw Data'!A924</f>
        <v>42560</v>
      </c>
      <c r="B927" s="32" t="n">
        <f aca="false">'Raw Data'!E924</f>
        <v>42.063300934441</v>
      </c>
      <c r="C927" s="32" t="n">
        <f aca="false">'Raw Data'!F924</f>
        <v>36.0060840408352</v>
      </c>
      <c r="D927" s="15" t="n">
        <f aca="false">'Raw Data'!H924</f>
        <v>0.144002414433582</v>
      </c>
      <c r="E927" s="15" t="n">
        <f aca="false">'Raw Data'!I924</f>
        <v>0.144002414433582</v>
      </c>
      <c r="F927" s="17" t="b">
        <f aca="false">'Raw Data'!S924</f>
        <v>0</v>
      </c>
    </row>
    <row r="928" customFormat="false" ht="15" hidden="false" customHeight="true" outlineLevel="0" collapsed="false">
      <c r="A928" s="12" t="n">
        <f aca="false">'Raw Data'!A925</f>
        <v>42561</v>
      </c>
      <c r="B928" s="32" t="n">
        <f aca="false">'Raw Data'!E925</f>
        <v>42.0819863537002</v>
      </c>
      <c r="C928" s="32" t="n">
        <f aca="false">'Raw Data'!F925</f>
        <v>36.037600066005</v>
      </c>
      <c r="D928" s="15" t="n">
        <f aca="false">'Raw Data'!H925</f>
        <v>0.143633578436436</v>
      </c>
      <c r="E928" s="15" t="n">
        <f aca="false">'Raw Data'!I925</f>
        <v>0.143633578436436</v>
      </c>
      <c r="F928" s="17" t="b">
        <f aca="false">'Raw Data'!S925</f>
        <v>0</v>
      </c>
    </row>
    <row r="929" customFormat="false" ht="15" hidden="false" customHeight="true" outlineLevel="0" collapsed="false">
      <c r="A929" s="12" t="n">
        <f aca="false">'Raw Data'!A926</f>
        <v>42562</v>
      </c>
      <c r="B929" s="32" t="n">
        <f aca="false">'Raw Data'!E926</f>
        <v>42.0543474955874</v>
      </c>
      <c r="C929" s="32" t="n">
        <f aca="false">'Raw Data'!F926</f>
        <v>35.9919223598236</v>
      </c>
      <c r="D929" s="15" t="n">
        <f aca="false">'Raw Data'!H926</f>
        <v>0.144156918292452</v>
      </c>
      <c r="E929" s="15" t="n">
        <f aca="false">'Raw Data'!I926</f>
        <v>0.144156918292452</v>
      </c>
      <c r="F929" s="17" t="b">
        <f aca="false">'Raw Data'!S926</f>
        <v>0</v>
      </c>
    </row>
    <row r="930" customFormat="false" ht="15" hidden="false" customHeight="true" outlineLevel="0" collapsed="false">
      <c r="A930" s="12" t="n">
        <f aca="false">'Raw Data'!A927</f>
        <v>42563</v>
      </c>
      <c r="B930" s="32" t="n">
        <f aca="false">'Raw Data'!E927</f>
        <v>42.0682234553086</v>
      </c>
      <c r="C930" s="32" t="n">
        <f aca="false">'Raw Data'!F927</f>
        <v>36.0437505360742</v>
      </c>
      <c r="D930" s="15" t="n">
        <f aca="false">'Raw Data'!H927</f>
        <v>0.143207210203079</v>
      </c>
      <c r="E930" s="15" t="n">
        <f aca="false">'Raw Data'!I927</f>
        <v>0.143207210203079</v>
      </c>
      <c r="F930" s="17" t="b">
        <f aca="false">'Raw Data'!S927</f>
        <v>0</v>
      </c>
    </row>
    <row r="931" customFormat="false" ht="15" hidden="false" customHeight="true" outlineLevel="0" collapsed="false">
      <c r="A931" s="12" t="n">
        <f aca="false">'Raw Data'!A928</f>
        <v>42564</v>
      </c>
      <c r="B931" s="32" t="n">
        <f aca="false">'Raw Data'!E928</f>
        <v>42.0578107237596</v>
      </c>
      <c r="C931" s="32" t="n">
        <f aca="false">'Raw Data'!F928</f>
        <v>36.0621283520871</v>
      </c>
      <c r="D931" s="15" t="n">
        <f aca="false">'Raw Data'!H928</f>
        <v>0.142558118658455</v>
      </c>
      <c r="E931" s="15" t="n">
        <f aca="false">'Raw Data'!I928</f>
        <v>0.142558118658455</v>
      </c>
      <c r="F931" s="17" t="b">
        <f aca="false">'Raw Data'!S928</f>
        <v>0</v>
      </c>
    </row>
    <row r="932" customFormat="false" ht="15" hidden="false" customHeight="true" outlineLevel="0" collapsed="false">
      <c r="A932" s="12" t="n">
        <f aca="false">'Raw Data'!A929</f>
        <v>42565</v>
      </c>
      <c r="B932" s="32" t="n">
        <f aca="false">'Raw Data'!E929</f>
        <v>42.0793796082159</v>
      </c>
      <c r="C932" s="32" t="n">
        <f aca="false">'Raw Data'!F929</f>
        <v>36.0356801088126</v>
      </c>
      <c r="D932" s="15" t="n">
        <f aca="false">'Raw Data'!H929</f>
        <v>0.143626155035406</v>
      </c>
      <c r="E932" s="15" t="n">
        <f aca="false">'Raw Data'!I929</f>
        <v>0.143626155035406</v>
      </c>
      <c r="F932" s="17" t="b">
        <f aca="false">'Raw Data'!S929</f>
        <v>0</v>
      </c>
    </row>
    <row r="933" customFormat="false" ht="15" hidden="false" customHeight="true" outlineLevel="0" collapsed="false">
      <c r="A933" s="12" t="n">
        <f aca="false">'Raw Data'!A930</f>
        <v>42566</v>
      </c>
      <c r="B933" s="32" t="n">
        <f aca="false">'Raw Data'!E930</f>
        <v>42.0657788792875</v>
      </c>
      <c r="C933" s="32" t="n">
        <f aca="false">'Raw Data'!F930</f>
        <v>36.0147091813533</v>
      </c>
      <c r="D933" s="15" t="n">
        <f aca="false">'Raw Data'!H930</f>
        <v>0.143847798831884</v>
      </c>
      <c r="E933" s="15" t="n">
        <f aca="false">'Raw Data'!I930</f>
        <v>0.143847798831884</v>
      </c>
      <c r="F933" s="17" t="b">
        <f aca="false">'Raw Data'!S930</f>
        <v>0</v>
      </c>
    </row>
    <row r="934" customFormat="false" ht="15" hidden="false" customHeight="true" outlineLevel="0" collapsed="false">
      <c r="A934" s="12" t="n">
        <f aca="false">'Raw Data'!A931</f>
        <v>42567</v>
      </c>
      <c r="B934" s="32" t="n">
        <f aca="false">'Raw Data'!E931</f>
        <v>42.0553127213763</v>
      </c>
      <c r="C934" s="32" t="n">
        <f aca="false">'Raw Data'!F931</f>
        <v>36.0352417170603</v>
      </c>
      <c r="D934" s="15" t="n">
        <f aca="false">'Raw Data'!H931</f>
        <v>0.143146504323959</v>
      </c>
      <c r="E934" s="15" t="n">
        <f aca="false">'Raw Data'!I931</f>
        <v>0.14314650432396</v>
      </c>
      <c r="F934" s="17" t="b">
        <f aca="false">'Raw Data'!S931</f>
        <v>0</v>
      </c>
    </row>
    <row r="935" customFormat="false" ht="15" hidden="false" customHeight="true" outlineLevel="0" collapsed="false">
      <c r="A935" s="12" t="n">
        <f aca="false">'Raw Data'!A932</f>
        <v>42568</v>
      </c>
      <c r="B935" s="32" t="n">
        <f aca="false">'Raw Data'!E932</f>
        <v>42.0445774839242</v>
      </c>
      <c r="C935" s="32" t="n">
        <f aca="false">'Raw Data'!F932</f>
        <v>36.0016780148725</v>
      </c>
      <c r="D935" s="15" t="n">
        <f aca="false">'Raw Data'!H932</f>
        <v>0.143726012500951</v>
      </c>
      <c r="E935" s="15" t="n">
        <f aca="false">'Raw Data'!I932</f>
        <v>0.143726012500951</v>
      </c>
      <c r="F935" s="17" t="b">
        <f aca="false">'Raw Data'!S932</f>
        <v>0</v>
      </c>
    </row>
    <row r="936" customFormat="false" ht="15" hidden="false" customHeight="true" outlineLevel="0" collapsed="false">
      <c r="A936" s="12" t="n">
        <f aca="false">'Raw Data'!A933</f>
        <v>42569</v>
      </c>
      <c r="B936" s="32" t="n">
        <f aca="false">'Raw Data'!E933</f>
        <v>42.057146217433</v>
      </c>
      <c r="C936" s="32" t="n">
        <f aca="false">'Raw Data'!F933</f>
        <v>36.041389141511</v>
      </c>
      <c r="D936" s="15" t="n">
        <f aca="false">'Raw Data'!H933</f>
        <v>0.143037690784364</v>
      </c>
      <c r="E936" s="15" t="n">
        <f aca="false">'Raw Data'!I933</f>
        <v>0.143037690784364</v>
      </c>
      <c r="F936" s="17" t="b">
        <f aca="false">'Raw Data'!S933</f>
        <v>0</v>
      </c>
    </row>
    <row r="937" customFormat="false" ht="15" hidden="false" customHeight="true" outlineLevel="0" collapsed="false">
      <c r="A937" s="12" t="n">
        <f aca="false">'Raw Data'!A934</f>
        <v>42570</v>
      </c>
      <c r="B937" s="32" t="n">
        <f aca="false">'Raw Data'!E934</f>
        <v>42.0779100359337</v>
      </c>
      <c r="C937" s="32" t="n">
        <f aca="false">'Raw Data'!F934</f>
        <v>36.0408844057459</v>
      </c>
      <c r="D937" s="15" t="n">
        <f aca="false">'Raw Data'!H934</f>
        <v>0.143472563752153</v>
      </c>
      <c r="E937" s="15" t="n">
        <f aca="false">'Raw Data'!I934</f>
        <v>0.143472563752154</v>
      </c>
      <c r="F937" s="17" t="b">
        <f aca="false">'Raw Data'!S934</f>
        <v>0</v>
      </c>
    </row>
    <row r="938" customFormat="false" ht="15" hidden="false" customHeight="true" outlineLevel="0" collapsed="false">
      <c r="A938" s="12" t="n">
        <f aca="false">'Raw Data'!A935</f>
        <v>42571</v>
      </c>
      <c r="B938" s="32" t="n">
        <f aca="false">'Raw Data'!E935</f>
        <v>42.0507130490258</v>
      </c>
      <c r="C938" s="32" t="n">
        <f aca="false">'Raw Data'!F935</f>
        <v>36.0308963153312</v>
      </c>
      <c r="D938" s="15" t="n">
        <f aca="false">'Raw Data'!H935</f>
        <v>0.143156115490271</v>
      </c>
      <c r="E938" s="15" t="n">
        <f aca="false">'Raw Data'!I935</f>
        <v>0.143156115490271</v>
      </c>
      <c r="F938" s="17" t="b">
        <f aca="false">'Raw Data'!S935</f>
        <v>0</v>
      </c>
    </row>
    <row r="939" customFormat="false" ht="15" hidden="false" customHeight="true" outlineLevel="0" collapsed="false">
      <c r="A939" s="12" t="n">
        <f aca="false">'Raw Data'!A936</f>
        <v>42572</v>
      </c>
      <c r="B939" s="32" t="n">
        <f aca="false">'Raw Data'!E936</f>
        <v>42.0692772845097</v>
      </c>
      <c r="C939" s="32" t="n">
        <f aca="false">'Raw Data'!F936</f>
        <v>36.0446395211314</v>
      </c>
      <c r="D939" s="15" t="n">
        <f aca="false">'Raw Data'!H936</f>
        <v>0.143207541280882</v>
      </c>
      <c r="E939" s="15" t="n">
        <f aca="false">'Raw Data'!I936</f>
        <v>0.143207541280882</v>
      </c>
      <c r="F939" s="17" t="b">
        <f aca="false">'Raw Data'!S936</f>
        <v>0</v>
      </c>
    </row>
    <row r="940" customFormat="false" ht="15" hidden="false" customHeight="true" outlineLevel="0" collapsed="false">
      <c r="A940" s="12" t="n">
        <f aca="false">'Raw Data'!A937</f>
        <v>42573</v>
      </c>
      <c r="B940" s="32" t="n">
        <f aca="false">'Raw Data'!E937</f>
        <v>42.0551616308663</v>
      </c>
      <c r="C940" s="32" t="n">
        <f aca="false">'Raw Data'!F937</f>
        <v>36.0278180763361</v>
      </c>
      <c r="D940" s="15" t="n">
        <f aca="false">'Raw Data'!H937</f>
        <v>0.143319947440327</v>
      </c>
      <c r="E940" s="15" t="n">
        <f aca="false">'Raw Data'!I937</f>
        <v>0.143319947440327</v>
      </c>
      <c r="F940" s="17" t="b">
        <f aca="false">'Raw Data'!S937</f>
        <v>0</v>
      </c>
    </row>
    <row r="941" customFormat="false" ht="15" hidden="false" customHeight="true" outlineLevel="0" collapsed="false">
      <c r="A941" s="12" t="n">
        <f aca="false">'Raw Data'!A938</f>
        <v>42574</v>
      </c>
      <c r="B941" s="32" t="n">
        <f aca="false">'Raw Data'!E938</f>
        <v>42.0554233243322</v>
      </c>
      <c r="C941" s="32" t="n">
        <f aca="false">'Raw Data'!F938</f>
        <v>36.0293362602486</v>
      </c>
      <c r="D941" s="15" t="n">
        <f aca="false">'Raw Data'!H938</f>
        <v>0.143289178606295</v>
      </c>
      <c r="E941" s="15" t="n">
        <f aca="false">'Raw Data'!I938</f>
        <v>0.143289178606295</v>
      </c>
      <c r="F941" s="17" t="b">
        <f aca="false">'Raw Data'!S938</f>
        <v>0</v>
      </c>
    </row>
    <row r="942" customFormat="false" ht="15" hidden="false" customHeight="true" outlineLevel="0" collapsed="false">
      <c r="A942" s="12" t="n">
        <f aca="false">'Raw Data'!A939</f>
        <v>42575</v>
      </c>
      <c r="B942" s="32" t="n">
        <f aca="false">'Raw Data'!E939</f>
        <v>42.0590071113891</v>
      </c>
      <c r="C942" s="32" t="n">
        <f aca="false">'Raw Data'!F939</f>
        <v>36.027893661521</v>
      </c>
      <c r="D942" s="15" t="n">
        <f aca="false">'Raw Data'!H939</f>
        <v>0.143396477094558</v>
      </c>
      <c r="E942" s="15" t="n">
        <f aca="false">'Raw Data'!I939</f>
        <v>0.143396477094558</v>
      </c>
      <c r="F942" s="17" t="b">
        <f aca="false">'Raw Data'!S939</f>
        <v>0</v>
      </c>
    </row>
    <row r="943" customFormat="false" ht="15" hidden="false" customHeight="true" outlineLevel="0" collapsed="false">
      <c r="A943" s="12" t="n">
        <f aca="false">'Raw Data'!A940</f>
        <v>42576</v>
      </c>
      <c r="B943" s="32" t="n">
        <f aca="false">'Raw Data'!E940</f>
        <v>42.0757763784377</v>
      </c>
      <c r="C943" s="32" t="n">
        <f aca="false">'Raw Data'!F940</f>
        <v>36.022818527237</v>
      </c>
      <c r="D943" s="15" t="n">
        <f aca="false">'Raw Data'!H940</f>
        <v>0.14385849465401</v>
      </c>
      <c r="E943" s="15" t="n">
        <f aca="false">'Raw Data'!I940</f>
        <v>0.14385849465401</v>
      </c>
      <c r="F943" s="17" t="b">
        <f aca="false">'Raw Data'!S940</f>
        <v>0</v>
      </c>
    </row>
    <row r="944" customFormat="false" ht="15" hidden="false" customHeight="true" outlineLevel="0" collapsed="false">
      <c r="A944" s="12" t="n">
        <f aca="false">'Raw Data'!A941</f>
        <v>42577</v>
      </c>
      <c r="B944" s="32" t="n">
        <f aca="false">'Raw Data'!E941</f>
        <v>42.045012866006</v>
      </c>
      <c r="C944" s="32" t="n">
        <f aca="false">'Raw Data'!F941</f>
        <v>36.0197877582211</v>
      </c>
      <c r="D944" s="15" t="n">
        <f aca="false">'Raw Data'!H941</f>
        <v>0.143304156594904</v>
      </c>
      <c r="E944" s="15" t="n">
        <f aca="false">'Raw Data'!I941</f>
        <v>0.143304156594903</v>
      </c>
      <c r="F944" s="17" t="b">
        <f aca="false">'Raw Data'!S941</f>
        <v>0</v>
      </c>
    </row>
    <row r="945" customFormat="false" ht="15" hidden="false" customHeight="true" outlineLevel="0" collapsed="false">
      <c r="A945" s="12" t="n">
        <f aca="false">'Raw Data'!A942</f>
        <v>42578</v>
      </c>
      <c r="B945" s="32" t="n">
        <f aca="false">'Raw Data'!E942</f>
        <v>42.0736988742828</v>
      </c>
      <c r="C945" s="32" t="n">
        <f aca="false">'Raw Data'!F942</f>
        <v>36.1242371112324</v>
      </c>
      <c r="D945" s="15" t="n">
        <f aca="false">'Raw Data'!H942</f>
        <v>0.141405721917332</v>
      </c>
      <c r="E945" s="15" t="n">
        <f aca="false">'Raw Data'!I942</f>
        <v>0.141405721917332</v>
      </c>
      <c r="F945" s="17" t="b">
        <f aca="false">'Raw Data'!S942</f>
        <v>0</v>
      </c>
    </row>
    <row r="946" customFormat="false" ht="15" hidden="false" customHeight="true" outlineLevel="0" collapsed="false">
      <c r="A946" s="12" t="n">
        <f aca="false">'Raw Data'!A943</f>
        <v>42579</v>
      </c>
      <c r="B946" s="32" t="n">
        <f aca="false">'Raw Data'!E943</f>
        <v>42.0647837491898</v>
      </c>
      <c r="C946" s="32" t="n">
        <f aca="false">'Raw Data'!F943</f>
        <v>36.0977558696121</v>
      </c>
      <c r="D946" s="15" t="n">
        <f aca="false">'Raw Data'!H943</f>
        <v>0.141853287898875</v>
      </c>
      <c r="E946" s="15" t="n">
        <f aca="false">'Raw Data'!I943</f>
        <v>0.141853287898875</v>
      </c>
      <c r="F946" s="17" t="b">
        <f aca="false">'Raw Data'!S943</f>
        <v>0</v>
      </c>
    </row>
    <row r="947" customFormat="false" ht="15" hidden="false" customHeight="true" outlineLevel="0" collapsed="false">
      <c r="A947" s="12" t="n">
        <f aca="false">'Raw Data'!A944</f>
        <v>42580</v>
      </c>
      <c r="B947" s="32" t="n">
        <f aca="false">'Raw Data'!E944</f>
        <v>42.064162791889</v>
      </c>
      <c r="C947" s="32" t="n">
        <f aca="false">'Raw Data'!F944</f>
        <v>36.143362183472</v>
      </c>
      <c r="D947" s="15" t="n">
        <f aca="false">'Raw Data'!H944</f>
        <v>0.140756411525648</v>
      </c>
      <c r="E947" s="15" t="n">
        <f aca="false">'Raw Data'!I944</f>
        <v>0.140756411525648</v>
      </c>
      <c r="F947" s="17" t="b">
        <f aca="false">'Raw Data'!S944</f>
        <v>0</v>
      </c>
    </row>
    <row r="948" customFormat="false" ht="15" hidden="false" customHeight="true" outlineLevel="0" collapsed="false">
      <c r="A948" s="12" t="n">
        <f aca="false">'Raw Data'!A945</f>
        <v>42581</v>
      </c>
      <c r="B948" s="32" t="n">
        <f aca="false">'Raw Data'!E945</f>
        <v>42.0571660838901</v>
      </c>
      <c r="C948" s="32" t="n">
        <f aca="false">'Raw Data'!F945</f>
        <v>36.115698660568</v>
      </c>
      <c r="D948" s="15" t="n">
        <f aca="false">'Raw Data'!H945</f>
        <v>0.141271226203659</v>
      </c>
      <c r="E948" s="15" t="n">
        <f aca="false">'Raw Data'!I945</f>
        <v>0.141271226203659</v>
      </c>
      <c r="F948" s="17" t="b">
        <f aca="false">'Raw Data'!S945</f>
        <v>0</v>
      </c>
    </row>
    <row r="949" customFormat="false" ht="15" hidden="false" customHeight="true" outlineLevel="0" collapsed="false">
      <c r="A949" s="12" t="n">
        <f aca="false">'Raw Data'!A946</f>
        <v>42582</v>
      </c>
      <c r="B949" s="32" t="n">
        <f aca="false">'Raw Data'!E946</f>
        <v>42.0600652513356</v>
      </c>
      <c r="C949" s="32" t="n">
        <f aca="false">'Raw Data'!F946</f>
        <v>36.145161371905</v>
      </c>
      <c r="D949" s="15" t="n">
        <f aca="false">'Raw Data'!H946</f>
        <v>0.140629926370424</v>
      </c>
      <c r="E949" s="15" t="n">
        <f aca="false">'Raw Data'!I946</f>
        <v>0.140629926370424</v>
      </c>
      <c r="F949" s="17" t="b">
        <f aca="false">'Raw Data'!S946</f>
        <v>0</v>
      </c>
    </row>
    <row r="950" customFormat="false" ht="15" hidden="false" customHeight="true" outlineLevel="0" collapsed="false">
      <c r="A950" s="12" t="n">
        <f aca="false">'Raw Data'!A947</f>
        <v>42583</v>
      </c>
      <c r="B950" s="32" t="n">
        <f aca="false">'Raw Data'!E947</f>
        <v>42.0762055556588</v>
      </c>
      <c r="C950" s="32" t="n">
        <f aca="false">'Raw Data'!F947</f>
        <v>36.1408634102565</v>
      </c>
      <c r="D950" s="15" t="n">
        <f aca="false">'Raw Data'!H947</f>
        <v>0.141061725196463</v>
      </c>
      <c r="E950" s="15" t="n">
        <f aca="false">'Raw Data'!I947</f>
        <v>0.141061725196463</v>
      </c>
      <c r="F950" s="17" t="b">
        <f aca="false">'Raw Data'!S947</f>
        <v>0</v>
      </c>
    </row>
    <row r="951" customFormat="false" ht="15" hidden="false" customHeight="true" outlineLevel="0" collapsed="false">
      <c r="A951" s="12" t="n">
        <f aca="false">'Raw Data'!A948</f>
        <v>42584</v>
      </c>
      <c r="B951" s="32" t="n">
        <f aca="false">'Raw Data'!E948</f>
        <v>42.0734090038713</v>
      </c>
      <c r="C951" s="32" t="n">
        <f aca="false">'Raw Data'!F948</f>
        <v>36.1105139963615</v>
      </c>
      <c r="D951" s="15" t="n">
        <f aca="false">'Raw Data'!H948</f>
        <v>0.141725977254687</v>
      </c>
      <c r="E951" s="15" t="n">
        <f aca="false">'Raw Data'!I948</f>
        <v>0.141725977254687</v>
      </c>
      <c r="F951" s="17" t="b">
        <f aca="false">'Raw Data'!S948</f>
        <v>0</v>
      </c>
    </row>
    <row r="952" customFormat="false" ht="15" hidden="false" customHeight="true" outlineLevel="0" collapsed="false">
      <c r="A952" s="12" t="n">
        <f aca="false">'Raw Data'!A949</f>
        <v>42585</v>
      </c>
      <c r="B952" s="32" t="n">
        <f aca="false">'Raw Data'!E949</f>
        <v>42.0504960763544</v>
      </c>
      <c r="C952" s="32" t="n">
        <f aca="false">'Raw Data'!F949</f>
        <v>36.1204721700945</v>
      </c>
      <c r="D952" s="15" t="n">
        <f aca="false">'Raw Data'!H949</f>
        <v>0.14102149699952</v>
      </c>
      <c r="E952" s="15" t="n">
        <f aca="false">'Raw Data'!I949</f>
        <v>0.14102149699952</v>
      </c>
      <c r="F952" s="17" t="b">
        <f aca="false">'Raw Data'!S949</f>
        <v>0</v>
      </c>
    </row>
    <row r="953" customFormat="false" ht="15" hidden="false" customHeight="true" outlineLevel="0" collapsed="false">
      <c r="A953" s="12" t="n">
        <f aca="false">'Raw Data'!A950</f>
        <v>42586</v>
      </c>
      <c r="B953" s="32" t="n">
        <f aca="false">'Raw Data'!E950</f>
        <v>42.0448427946324</v>
      </c>
      <c r="C953" s="32" t="n">
        <f aca="false">'Raw Data'!F950</f>
        <v>36.1338425686236</v>
      </c>
      <c r="D953" s="15" t="n">
        <f aca="false">'Raw Data'!H950</f>
        <v>0.140587996841397</v>
      </c>
      <c r="E953" s="15" t="n">
        <f aca="false">'Raw Data'!I950</f>
        <v>0.140587996841397</v>
      </c>
      <c r="F953" s="17" t="b">
        <f aca="false">'Raw Data'!S950</f>
        <v>0</v>
      </c>
    </row>
    <row r="954" customFormat="false" ht="15" hidden="false" customHeight="true" outlineLevel="0" collapsed="false">
      <c r="A954" s="12" t="n">
        <f aca="false">'Raw Data'!A951</f>
        <v>42587</v>
      </c>
      <c r="B954" s="32" t="n">
        <f aca="false">'Raw Data'!E951</f>
        <v>42.0693833288486</v>
      </c>
      <c r="C954" s="32" t="n">
        <f aca="false">'Raw Data'!F951</f>
        <v>36.3038330992905</v>
      </c>
      <c r="D954" s="15" t="n">
        <f aca="false">'Raw Data'!H951</f>
        <v>0.137048603362922</v>
      </c>
      <c r="E954" s="15" t="n">
        <f aca="false">'Raw Data'!I951</f>
        <v>0.137048603362922</v>
      </c>
      <c r="F954" s="17" t="b">
        <f aca="false">'Raw Data'!S951</f>
        <v>0</v>
      </c>
    </row>
    <row r="955" customFormat="false" ht="15" hidden="false" customHeight="true" outlineLevel="0" collapsed="false">
      <c r="A955" s="12" t="n">
        <f aca="false">'Raw Data'!A952</f>
        <v>42588</v>
      </c>
      <c r="B955" s="32" t="n">
        <f aca="false">'Raw Data'!E952</f>
        <v>42.0640576200527</v>
      </c>
      <c r="C955" s="32" t="n">
        <f aca="false">'Raw Data'!F952</f>
        <v>36.1768086167889</v>
      </c>
      <c r="D955" s="15" t="n">
        <f aca="false">'Raw Data'!H952</f>
        <v>0.139959132246367</v>
      </c>
      <c r="E955" s="15" t="n">
        <f aca="false">'Raw Data'!I952</f>
        <v>0.139959132246367</v>
      </c>
      <c r="F955" s="17" t="b">
        <f aca="false">'Raw Data'!S952</f>
        <v>0</v>
      </c>
    </row>
    <row r="956" customFormat="false" ht="15" hidden="false" customHeight="true" outlineLevel="0" collapsed="false">
      <c r="A956" s="12" t="n">
        <f aca="false">'Raw Data'!A953</f>
        <v>42589</v>
      </c>
      <c r="B956" s="32" t="n">
        <f aca="false">'Raw Data'!E953</f>
        <v>42.0505261298603</v>
      </c>
      <c r="C956" s="32" t="n">
        <f aca="false">'Raw Data'!F953</f>
        <v>36.1852983973088</v>
      </c>
      <c r="D956" s="15" t="n">
        <f aca="false">'Raw Data'!H953</f>
        <v>0.139480483893079</v>
      </c>
      <c r="E956" s="15" t="n">
        <f aca="false">'Raw Data'!I953</f>
        <v>0.139480483893079</v>
      </c>
      <c r="F956" s="17" t="b">
        <f aca="false">'Raw Data'!S953</f>
        <v>0</v>
      </c>
    </row>
    <row r="957" customFormat="false" ht="15" hidden="false" customHeight="true" outlineLevel="0" collapsed="false">
      <c r="A957" s="12" t="n">
        <f aca="false">'Raw Data'!A954</f>
        <v>42590</v>
      </c>
      <c r="B957" s="32" t="n">
        <f aca="false">'Raw Data'!E954</f>
        <v>42.0586576401006</v>
      </c>
      <c r="C957" s="32" t="n">
        <f aca="false">'Raw Data'!F954</f>
        <v>36.220887430257</v>
      </c>
      <c r="D957" s="15" t="n">
        <f aca="false">'Raw Data'!H954</f>
        <v>0.138800678324018</v>
      </c>
      <c r="E957" s="15" t="n">
        <f aca="false">'Raw Data'!I954</f>
        <v>0.138800678324018</v>
      </c>
      <c r="F957" s="17" t="b">
        <f aca="false">'Raw Data'!S954</f>
        <v>0</v>
      </c>
    </row>
    <row r="958" customFormat="false" ht="15" hidden="false" customHeight="true" outlineLevel="0" collapsed="false">
      <c r="A958" s="12" t="n">
        <f aca="false">'Raw Data'!A955</f>
        <v>42591</v>
      </c>
      <c r="B958" s="32" t="n">
        <f aca="false">'Raw Data'!E955</f>
        <v>42.0623391908598</v>
      </c>
      <c r="C958" s="32" t="n">
        <f aca="false">'Raw Data'!F955</f>
        <v>36.257952862923</v>
      </c>
      <c r="D958" s="15" t="n">
        <f aca="false">'Raw Data'!H955</f>
        <v>0.137994853343727</v>
      </c>
      <c r="E958" s="15" t="n">
        <f aca="false">'Raw Data'!I955</f>
        <v>0.137994853343727</v>
      </c>
      <c r="F958" s="17" t="b">
        <f aca="false">'Raw Data'!S955</f>
        <v>0</v>
      </c>
    </row>
    <row r="959" customFormat="false" ht="15" hidden="false" customHeight="true" outlineLevel="0" collapsed="false">
      <c r="A959" s="12" t="n">
        <f aca="false">'Raw Data'!A956</f>
        <v>42592</v>
      </c>
      <c r="B959" s="32" t="n">
        <f aca="false">'Raw Data'!E956</f>
        <v>34.285720484624</v>
      </c>
      <c r="C959" s="32" t="n">
        <f aca="false">'Raw Data'!F956</f>
        <v>36.2297125436328</v>
      </c>
      <c r="D959" s="15" t="n">
        <f aca="false">'Raw Data'!H956</f>
        <v>-0.0566997581363527</v>
      </c>
      <c r="E959" s="15" t="n">
        <f aca="false">'Raw Data'!I956</f>
        <v>-0.0566997581363527</v>
      </c>
      <c r="F959" s="17" t="b">
        <f aca="false">'Raw Data'!S956</f>
        <v>1</v>
      </c>
    </row>
    <row r="960" customFormat="false" ht="15" hidden="false" customHeight="true" outlineLevel="0" collapsed="false">
      <c r="A960" s="12" t="n">
        <f aca="false">'Raw Data'!A957</f>
        <v>42593</v>
      </c>
      <c r="B960" s="32" t="n">
        <f aca="false">'Raw Data'!E957</f>
        <v>34.833390170592</v>
      </c>
      <c r="C960" s="32" t="n">
        <f aca="false">'Raw Data'!F957</f>
        <v>36.2144057943743</v>
      </c>
      <c r="D960" s="15" t="n">
        <f aca="false">'Raw Data'!H957</f>
        <v>-0.0396463168534246</v>
      </c>
      <c r="E960" s="15" t="n">
        <f aca="false">'Raw Data'!I957</f>
        <v>-0.0396463168534245</v>
      </c>
      <c r="F960" s="17" t="b">
        <f aca="false">'Raw Data'!S957</f>
        <v>1</v>
      </c>
    </row>
    <row r="961" customFormat="false" ht="15" hidden="false" customHeight="true" outlineLevel="0" collapsed="false">
      <c r="A961" s="12" t="n">
        <f aca="false">'Raw Data'!A958</f>
        <v>42594</v>
      </c>
      <c r="B961" s="32" t="n">
        <f aca="false">'Raw Data'!E958</f>
        <v>34.6374322231959</v>
      </c>
      <c r="C961" s="32" t="n">
        <f aca="false">'Raw Data'!F958</f>
        <v>36.2346722585591</v>
      </c>
      <c r="D961" s="15" t="n">
        <f aca="false">'Raw Data'!H958</f>
        <v>-0.0461131190404339</v>
      </c>
      <c r="E961" s="15" t="n">
        <f aca="false">'Raw Data'!I958</f>
        <v>-0.0461131190404337</v>
      </c>
      <c r="F961" s="17" t="b">
        <f aca="false">'Raw Data'!S958</f>
        <v>1</v>
      </c>
    </row>
    <row r="962" customFormat="false" ht="15" hidden="false" customHeight="true" outlineLevel="0" collapsed="false">
      <c r="A962" s="12" t="n">
        <f aca="false">'Raw Data'!A959</f>
        <v>42595</v>
      </c>
      <c r="B962" s="32" t="n">
        <f aca="false">'Raw Data'!E959</f>
        <v>34.2647071256072</v>
      </c>
      <c r="C962" s="32" t="n">
        <f aca="false">'Raw Data'!F959</f>
        <v>36.2448099754372</v>
      </c>
      <c r="D962" s="15" t="n">
        <f aca="false">'Raw Data'!H959</f>
        <v>-0.0577884072544791</v>
      </c>
      <c r="E962" s="15" t="n">
        <f aca="false">'Raw Data'!I959</f>
        <v>-0.0577884072544791</v>
      </c>
      <c r="F962" s="17" t="b">
        <f aca="false">'Raw Data'!S959</f>
        <v>1</v>
      </c>
    </row>
    <row r="963" customFormat="false" ht="15" hidden="false" customHeight="true" outlineLevel="0" collapsed="false">
      <c r="A963" s="12" t="n">
        <f aca="false">'Raw Data'!A960</f>
        <v>42596</v>
      </c>
      <c r="B963" s="32" t="n">
        <f aca="false">'Raw Data'!E960</f>
        <v>34.4194740127</v>
      </c>
      <c r="C963" s="32" t="n">
        <f aca="false">'Raw Data'!F960</f>
        <v>36.24203781505</v>
      </c>
      <c r="D963" s="15" t="n">
        <f aca="false">'Raw Data'!H960</f>
        <v>-0.0529515297554387</v>
      </c>
      <c r="E963" s="15" t="n">
        <f aca="false">'Raw Data'!I960</f>
        <v>-0.0529515297554387</v>
      </c>
      <c r="F963" s="17" t="b">
        <f aca="false">'Raw Data'!S960</f>
        <v>1</v>
      </c>
    </row>
    <row r="964" customFormat="false" ht="15" hidden="false" customHeight="true" outlineLevel="0" collapsed="false">
      <c r="A964" s="12" t="n">
        <f aca="false">'Raw Data'!A961</f>
        <v>42597</v>
      </c>
      <c r="B964" s="32" t="n">
        <f aca="false">'Raw Data'!E961</f>
        <v>35.0026940798333</v>
      </c>
      <c r="C964" s="32" t="n">
        <f aca="false">'Raw Data'!F961</f>
        <v>36.2615983160764</v>
      </c>
      <c r="D964" s="15" t="n">
        <f aca="false">'Raw Data'!H961</f>
        <v>-0.0359659240334996</v>
      </c>
      <c r="E964" s="15" t="n">
        <f aca="false">'Raw Data'!I961</f>
        <v>-0.0359659240334996</v>
      </c>
      <c r="F964" s="17" t="b">
        <f aca="false">'Raw Data'!S961</f>
        <v>1</v>
      </c>
    </row>
    <row r="965" customFormat="false" ht="15" hidden="false" customHeight="true" outlineLevel="0" collapsed="false">
      <c r="A965" s="12" t="n">
        <f aca="false">'Raw Data'!A962</f>
        <v>42598</v>
      </c>
      <c r="B965" s="32" t="n">
        <f aca="false">'Raw Data'!E962</f>
        <v>34.7392325845084</v>
      </c>
      <c r="C965" s="32" t="n">
        <f aca="false">'Raw Data'!F962</f>
        <v>36.2683409156475</v>
      </c>
      <c r="D965" s="15" t="n">
        <f aca="false">'Raw Data'!H962</f>
        <v>-0.044016756196883</v>
      </c>
      <c r="E965" s="15" t="n">
        <f aca="false">'Raw Data'!I962</f>
        <v>-0.0440167561968831</v>
      </c>
      <c r="F965" s="17" t="b">
        <f aca="false">'Raw Data'!S962</f>
        <v>1</v>
      </c>
    </row>
    <row r="966" customFormat="false" ht="15" hidden="false" customHeight="true" outlineLevel="0" collapsed="false">
      <c r="A966" s="12" t="n">
        <f aca="false">'Raw Data'!A963</f>
        <v>42599</v>
      </c>
      <c r="B966" s="32" t="n">
        <f aca="false">'Raw Data'!E963</f>
        <v>34.5924512072925</v>
      </c>
      <c r="C966" s="32" t="n">
        <f aca="false">'Raw Data'!F963</f>
        <v>36.2834681722141</v>
      </c>
      <c r="D966" s="15" t="n">
        <f aca="false">'Raw Data'!H963</f>
        <v>-0.0488839878616379</v>
      </c>
      <c r="E966" s="15" t="n">
        <f aca="false">'Raw Data'!I963</f>
        <v>-0.0488839878616381</v>
      </c>
      <c r="F966" s="17" t="b">
        <f aca="false">'Raw Data'!S963</f>
        <v>1</v>
      </c>
    </row>
    <row r="967" customFormat="false" ht="15" hidden="false" customHeight="true" outlineLevel="0" collapsed="false">
      <c r="A967" s="12" t="n">
        <f aca="false">'Raw Data'!A964</f>
        <v>42600</v>
      </c>
      <c r="B967" s="32" t="n">
        <f aca="false">'Raw Data'!E964</f>
        <v>34.613827111093</v>
      </c>
      <c r="C967" s="32" t="n">
        <f aca="false">'Raw Data'!F964</f>
        <v>36.2713818230409</v>
      </c>
      <c r="D967" s="15" t="n">
        <f aca="false">'Raw Data'!H964</f>
        <v>-0.0478870685587012</v>
      </c>
      <c r="E967" s="15" t="n">
        <f aca="false">'Raw Data'!I964</f>
        <v>-0.0478870685587012</v>
      </c>
      <c r="F967" s="17" t="b">
        <f aca="false">'Raw Data'!S964</f>
        <v>0</v>
      </c>
    </row>
    <row r="968" customFormat="false" ht="15" hidden="false" customHeight="true" outlineLevel="0" collapsed="false">
      <c r="A968" s="12" t="n">
        <f aca="false">'Raw Data'!A965</f>
        <v>42601</v>
      </c>
      <c r="B968" s="32" t="n">
        <f aca="false">'Raw Data'!E965</f>
        <v>34.5864385014415</v>
      </c>
      <c r="C968" s="32" t="n">
        <f aca="false">'Raw Data'!F965</f>
        <v>36.2759755576745</v>
      </c>
      <c r="D968" s="15" t="n">
        <f aca="false">'Raw Data'!H965</f>
        <v>-0.0488496974374127</v>
      </c>
      <c r="E968" s="15" t="n">
        <f aca="false">'Raw Data'!I965</f>
        <v>-0.0488496974374126</v>
      </c>
      <c r="F968" s="17" t="b">
        <f aca="false">'Raw Data'!S965</f>
        <v>1</v>
      </c>
    </row>
    <row r="969" customFormat="false" ht="15" hidden="false" customHeight="true" outlineLevel="0" collapsed="false">
      <c r="A969" s="12" t="n">
        <f aca="false">'Raw Data'!A966</f>
        <v>42602</v>
      </c>
      <c r="B969" s="32" t="n">
        <f aca="false">'Raw Data'!E966</f>
        <v>34.6234417858995</v>
      </c>
      <c r="C969" s="32" t="n">
        <f aca="false">'Raw Data'!F966</f>
        <v>36.3081963071219</v>
      </c>
      <c r="D969" s="15" t="n">
        <f aca="false">'Raw Data'!H966</f>
        <v>-0.0486593600844276</v>
      </c>
      <c r="E969" s="15" t="n">
        <f aca="false">'Raw Data'!I966</f>
        <v>-0.0486593600844278</v>
      </c>
      <c r="F969" s="17" t="b">
        <f aca="false">'Raw Data'!S966</f>
        <v>1</v>
      </c>
    </row>
    <row r="970" customFormat="false" ht="15" hidden="false" customHeight="true" outlineLevel="0" collapsed="false">
      <c r="A970" s="12" t="n">
        <f aca="false">'Raw Data'!A967</f>
        <v>42603</v>
      </c>
      <c r="B970" s="32" t="n">
        <f aca="false">'Raw Data'!E967</f>
        <v>34.4821245873421</v>
      </c>
      <c r="C970" s="32" t="n">
        <f aca="false">'Raw Data'!F967</f>
        <v>36.3148628638633</v>
      </c>
      <c r="D970" s="15" t="n">
        <f aca="false">'Raw Data'!H967</f>
        <v>-0.0531503872935348</v>
      </c>
      <c r="E970" s="15" t="n">
        <f aca="false">'Raw Data'!I967</f>
        <v>-0.0531503872935349</v>
      </c>
      <c r="F970" s="17" t="b">
        <f aca="false">'Raw Data'!S967</f>
        <v>0</v>
      </c>
    </row>
    <row r="971" customFormat="false" ht="15" hidden="false" customHeight="true" outlineLevel="0" collapsed="false">
      <c r="A971" s="12" t="n">
        <f aca="false">'Raw Data'!A968</f>
        <v>42604</v>
      </c>
      <c r="B971" s="32" t="n">
        <f aca="false">'Raw Data'!E968</f>
        <v>34.6867654178462</v>
      </c>
      <c r="C971" s="32" t="n">
        <f aca="false">'Raw Data'!F968</f>
        <v>36.3154034265329</v>
      </c>
      <c r="D971" s="15" t="n">
        <f aca="false">'Raw Data'!H968</f>
        <v>-0.0469527207010411</v>
      </c>
      <c r="E971" s="15" t="n">
        <f aca="false">'Raw Data'!I968</f>
        <v>-0.0469527207010409</v>
      </c>
      <c r="F971" s="17" t="b">
        <f aca="false">'Raw Data'!S968</f>
        <v>0</v>
      </c>
    </row>
    <row r="972" customFormat="false" ht="15" hidden="false" customHeight="true" outlineLevel="0" collapsed="false">
      <c r="A972" s="12" t="n">
        <f aca="false">'Raw Data'!A969</f>
        <v>42605</v>
      </c>
      <c r="B972" s="32" t="n">
        <f aca="false">'Raw Data'!E969</f>
        <v>42.0654378340292</v>
      </c>
      <c r="C972" s="32" t="n">
        <f aca="false">'Raw Data'!F969</f>
        <v>36.376219833816</v>
      </c>
      <c r="D972" s="15" t="n">
        <f aca="false">'Raw Data'!H969</f>
        <v>0.135246850934021</v>
      </c>
      <c r="E972" s="15" t="n">
        <f aca="false">'Raw Data'!I969</f>
        <v>0.135246850934021</v>
      </c>
      <c r="F972" s="17" t="b">
        <f aca="false">'Raw Data'!S969</f>
        <v>0</v>
      </c>
    </row>
    <row r="973" customFormat="false" ht="15" hidden="false" customHeight="true" outlineLevel="0" collapsed="false">
      <c r="A973" s="12" t="n">
        <f aca="false">'Raw Data'!A970</f>
        <v>42606</v>
      </c>
      <c r="B973" s="32" t="n">
        <f aca="false">'Raw Data'!E970</f>
        <v>33.9271381425369</v>
      </c>
      <c r="C973" s="32" t="n">
        <f aca="false">'Raw Data'!F970</f>
        <v>35.9818021728362</v>
      </c>
      <c r="D973" s="15" t="n">
        <f aca="false">'Raw Data'!H970</f>
        <v>-0.0605610771432352</v>
      </c>
      <c r="E973" s="15" t="n">
        <f aca="false">'Raw Data'!I970</f>
        <v>-0.0605610771432352</v>
      </c>
      <c r="F973" s="17" t="b">
        <f aca="false">'Raw Data'!S970</f>
        <v>0</v>
      </c>
    </row>
    <row r="974" customFormat="false" ht="15" hidden="false" customHeight="true" outlineLevel="0" collapsed="false">
      <c r="A974" s="12" t="n">
        <f aca="false">'Raw Data'!A971</f>
        <v>42607</v>
      </c>
      <c r="B974" s="32" t="n">
        <f aca="false">'Raw Data'!E971</f>
        <v>34.0567990273501</v>
      </c>
      <c r="C974" s="32" t="n">
        <f aca="false">'Raw Data'!F971</f>
        <v>36.1711577474354</v>
      </c>
      <c r="D974" s="15" t="n">
        <f aca="false">'Raw Data'!H971</f>
        <v>-0.0620833073122159</v>
      </c>
      <c r="E974" s="15" t="n">
        <f aca="false">'Raw Data'!I971</f>
        <v>-0.0620833073122158</v>
      </c>
      <c r="F974" s="17" t="b">
        <f aca="false">'Raw Data'!S971</f>
        <v>0</v>
      </c>
    </row>
    <row r="975" customFormat="false" ht="15" hidden="false" customHeight="true" outlineLevel="0" collapsed="false">
      <c r="A975" s="12" t="n">
        <f aca="false">'Raw Data'!A972</f>
        <v>42608</v>
      </c>
      <c r="B975" s="32" t="n">
        <f aca="false">'Raw Data'!E972</f>
        <v>34.1037725306415</v>
      </c>
      <c r="C975" s="32" t="n">
        <f aca="false">'Raw Data'!F972</f>
        <v>36.2103603516461</v>
      </c>
      <c r="D975" s="15" t="n">
        <f aca="false">'Raw Data'!H972</f>
        <v>-0.0617699352501812</v>
      </c>
      <c r="E975" s="15" t="n">
        <f aca="false">'Raw Data'!I972</f>
        <v>-0.0617699352501812</v>
      </c>
      <c r="F975" s="17" t="b">
        <f aca="false">'Raw Data'!S972</f>
        <v>0</v>
      </c>
    </row>
    <row r="976" customFormat="false" ht="15" hidden="false" customHeight="true" outlineLevel="0" collapsed="false">
      <c r="A976" s="12" t="n">
        <f aca="false">'Raw Data'!A973</f>
        <v>42609</v>
      </c>
      <c r="B976" s="32" t="n">
        <f aca="false">'Raw Data'!E973</f>
        <v>34.1642971333414</v>
      </c>
      <c r="C976" s="32" t="n">
        <f aca="false">'Raw Data'!F973</f>
        <v>36.2508962266454</v>
      </c>
      <c r="D976" s="15" t="n">
        <f aca="false">'Raw Data'!H973</f>
        <v>-0.0610754286897864</v>
      </c>
      <c r="E976" s="15" t="n">
        <f aca="false">'Raw Data'!I973</f>
        <v>-0.0610754286897862</v>
      </c>
      <c r="F976" s="17" t="b">
        <f aca="false">'Raw Data'!S973</f>
        <v>0</v>
      </c>
    </row>
    <row r="977" customFormat="false" ht="15" hidden="false" customHeight="true" outlineLevel="0" collapsed="false">
      <c r="A977" s="12" t="n">
        <f aca="false">'Raw Data'!A974</f>
        <v>42610</v>
      </c>
      <c r="B977" s="32" t="n">
        <f aca="false">'Raw Data'!E974</f>
        <v>34.1454815238629</v>
      </c>
      <c r="C977" s="32" t="n">
        <f aca="false">'Raw Data'!F974</f>
        <v>36.2550097967737</v>
      </c>
      <c r="D977" s="15" t="n">
        <f aca="false">'Raw Data'!H974</f>
        <v>-0.0617805981572257</v>
      </c>
      <c r="E977" s="15" t="n">
        <f aca="false">'Raw Data'!I974</f>
        <v>-0.0617805981572255</v>
      </c>
      <c r="F977" s="17" t="b">
        <f aca="false">'Raw Data'!S974</f>
        <v>0</v>
      </c>
    </row>
    <row r="978" customFormat="false" ht="15" hidden="false" customHeight="true" outlineLevel="0" collapsed="false">
      <c r="A978" s="12" t="n">
        <f aca="false">'Raw Data'!A975</f>
        <v>42611</v>
      </c>
      <c r="B978" s="32" t="n">
        <f aca="false">'Raw Data'!E975</f>
        <v>34.1664685193547</v>
      </c>
      <c r="C978" s="32" t="n">
        <f aca="false">'Raw Data'!F975</f>
        <v>36.2754935903393</v>
      </c>
      <c r="D978" s="15" t="n">
        <f aca="false">'Raw Data'!H975</f>
        <v>-0.0617279210401826</v>
      </c>
      <c r="E978" s="15" t="n">
        <f aca="false">'Raw Data'!I975</f>
        <v>-0.0617279210401827</v>
      </c>
      <c r="F978" s="17" t="b">
        <f aca="false">'Raw Data'!S975</f>
        <v>0</v>
      </c>
    </row>
    <row r="979" customFormat="false" ht="15" hidden="false" customHeight="true" outlineLevel="0" collapsed="false">
      <c r="A979" s="12" t="n">
        <f aca="false">'Raw Data'!A976</f>
        <v>42612</v>
      </c>
      <c r="B979" s="32" t="n">
        <f aca="false">'Raw Data'!E976</f>
        <v>34.1391353192792</v>
      </c>
      <c r="C979" s="32" t="n">
        <f aca="false">'Raw Data'!F976</f>
        <v>36.2639953597983</v>
      </c>
      <c r="D979" s="15" t="n">
        <f aca="false">'Raw Data'!H976</f>
        <v>-0.0622411792403879</v>
      </c>
      <c r="E979" s="15" t="n">
        <f aca="false">'Raw Data'!I976</f>
        <v>-0.0622411792403879</v>
      </c>
      <c r="F979" s="17" t="b">
        <f aca="false">'Raw Data'!S976</f>
        <v>0</v>
      </c>
    </row>
    <row r="980" customFormat="false" ht="15" hidden="false" customHeight="true" outlineLevel="0" collapsed="false">
      <c r="A980" s="12" t="n">
        <f aca="false">'Raw Data'!A977</f>
        <v>42613</v>
      </c>
      <c r="B980" s="32" t="n">
        <f aca="false">'Raw Data'!E977</f>
        <v>34.1580162426245</v>
      </c>
      <c r="C980" s="32" t="n">
        <f aca="false">'Raw Data'!F977</f>
        <v>36.2203604203231</v>
      </c>
      <c r="D980" s="15" t="n">
        <f aca="false">'Raw Data'!H977</f>
        <v>-0.0603765793379136</v>
      </c>
      <c r="E980" s="15" t="n">
        <f aca="false">'Raw Data'!I977</f>
        <v>-0.0603765793379137</v>
      </c>
      <c r="F980" s="17" t="b">
        <f aca="false">'Raw Data'!S977</f>
        <v>0</v>
      </c>
    </row>
    <row r="981" customFormat="false" ht="15" hidden="false" customHeight="true" outlineLevel="0" collapsed="false">
      <c r="A981" s="12" t="n">
        <f aca="false">'Raw Data'!A978</f>
        <v>42614</v>
      </c>
      <c r="B981" s="32" t="n">
        <f aca="false">'Raw Data'!E978</f>
        <v>34.1382701860846</v>
      </c>
      <c r="C981" s="32" t="n">
        <f aca="false">'Raw Data'!F978</f>
        <v>36.2660215293507</v>
      </c>
      <c r="D981" s="15" t="n">
        <f aca="false">'Raw Data'!H978</f>
        <v>-0.0623274504439723</v>
      </c>
      <c r="E981" s="15" t="n">
        <f aca="false">'Raw Data'!I978</f>
        <v>-0.0623274504439722</v>
      </c>
      <c r="F981" s="17" t="b">
        <f aca="false">'Raw Data'!S978</f>
        <v>0</v>
      </c>
    </row>
    <row r="982" customFormat="false" ht="15" hidden="false" customHeight="true" outlineLevel="0" collapsed="false">
      <c r="A982" s="12" t="n">
        <f aca="false">'Raw Data'!A979</f>
        <v>42615</v>
      </c>
      <c r="B982" s="32" t="n">
        <f aca="false">'Raw Data'!E979</f>
        <v>34.1971377409271</v>
      </c>
      <c r="C982" s="32" t="n">
        <f aca="false">'Raw Data'!F979</f>
        <v>36.2412818736678</v>
      </c>
      <c r="D982" s="15" t="n">
        <f aca="false">'Raw Data'!H979</f>
        <v>-0.0597752989804841</v>
      </c>
      <c r="E982" s="15" t="n">
        <f aca="false">'Raw Data'!I979</f>
        <v>-0.059775298980484</v>
      </c>
      <c r="F982" s="17" t="b">
        <f aca="false">'Raw Data'!S979</f>
        <v>0</v>
      </c>
    </row>
    <row r="983" customFormat="false" ht="15" hidden="false" customHeight="true" outlineLevel="0" collapsed="false">
      <c r="A983" s="12" t="n">
        <f aca="false">'Raw Data'!A980</f>
        <v>42616</v>
      </c>
      <c r="B983" s="32" t="n">
        <f aca="false">'Raw Data'!E980</f>
        <v>34.1750977215276</v>
      </c>
      <c r="C983" s="32" t="n">
        <f aca="false">'Raw Data'!F980</f>
        <v>36.2817130923892</v>
      </c>
      <c r="D983" s="15" t="n">
        <f aca="false">'Raw Data'!H980</f>
        <v>-0.0616418243490371</v>
      </c>
      <c r="E983" s="15" t="n">
        <f aca="false">'Raw Data'!I980</f>
        <v>-0.0616418243490371</v>
      </c>
      <c r="F983" s="17" t="b">
        <f aca="false">'Raw Data'!S980</f>
        <v>0</v>
      </c>
    </row>
    <row r="984" customFormat="false" ht="15" hidden="false" customHeight="true" outlineLevel="0" collapsed="false">
      <c r="A984" s="12" t="n">
        <f aca="false">'Raw Data'!A981</f>
        <v>42617</v>
      </c>
      <c r="B984" s="32" t="n">
        <f aca="false">'Raw Data'!E981</f>
        <v>34.1601601032781</v>
      </c>
      <c r="C984" s="32" t="n">
        <f aca="false">'Raw Data'!F981</f>
        <v>36.307195441947</v>
      </c>
      <c r="D984" s="15" t="n">
        <f aca="false">'Raw Data'!H981</f>
        <v>-0.0628520279816507</v>
      </c>
      <c r="E984" s="15" t="n">
        <f aca="false">'Raw Data'!I981</f>
        <v>-0.0628520279816508</v>
      </c>
      <c r="F984" s="17" t="b">
        <f aca="false">'Raw Data'!S981</f>
        <v>0</v>
      </c>
    </row>
    <row r="985" customFormat="false" ht="15" hidden="false" customHeight="true" outlineLevel="0" collapsed="false">
      <c r="A985" s="12" t="n">
        <f aca="false">'Raw Data'!A982</f>
        <v>42618</v>
      </c>
      <c r="B985" s="32" t="n">
        <f aca="false">'Raw Data'!E982</f>
        <v>34.1327325026223</v>
      </c>
      <c r="C985" s="32" t="n">
        <f aca="false">'Raw Data'!F982</f>
        <v>36.2886443109266</v>
      </c>
      <c r="D985" s="15" t="n">
        <f aca="false">'Raw Data'!H982</f>
        <v>-0.0631625905760299</v>
      </c>
      <c r="E985" s="15" t="n">
        <f aca="false">'Raw Data'!I982</f>
        <v>-0.06316259057603</v>
      </c>
      <c r="F985" s="17" t="b">
        <f aca="false">'Raw Data'!S982</f>
        <v>0</v>
      </c>
    </row>
    <row r="986" customFormat="false" ht="15" hidden="false" customHeight="true" outlineLevel="0" collapsed="false">
      <c r="A986" s="12" t="n">
        <f aca="false">'Raw Data'!A983</f>
        <v>42619</v>
      </c>
      <c r="B986" s="32" t="n">
        <f aca="false">'Raw Data'!E983</f>
        <v>34.1878251934433</v>
      </c>
      <c r="C986" s="32" t="n">
        <f aca="false">'Raw Data'!F983</f>
        <v>36.3152968454495</v>
      </c>
      <c r="D986" s="15" t="n">
        <f aca="false">'Raw Data'!H983</f>
        <v>-0.0622289262323181</v>
      </c>
      <c r="E986" s="15" t="n">
        <f aca="false">'Raw Data'!I983</f>
        <v>-0.062228926232318</v>
      </c>
      <c r="F986" s="17" t="b">
        <f aca="false">'Raw Data'!S983</f>
        <v>0</v>
      </c>
    </row>
    <row r="987" customFormat="false" ht="15" hidden="false" customHeight="true" outlineLevel="0" collapsed="false">
      <c r="A987" s="12" t="n">
        <f aca="false">'Raw Data'!A984</f>
        <v>42620</v>
      </c>
      <c r="B987" s="32" t="n">
        <f aca="false">'Raw Data'!E984</f>
        <v>42.0700449189056</v>
      </c>
      <c r="C987" s="32" t="n">
        <f aca="false">'Raw Data'!F984</f>
        <v>36.3434468100102</v>
      </c>
      <c r="D987" s="15" t="n">
        <f aca="false">'Raw Data'!H984</f>
        <v>0.136120560839286</v>
      </c>
      <c r="E987" s="15" t="n">
        <f aca="false">'Raw Data'!I984</f>
        <v>0.136120560839286</v>
      </c>
      <c r="F987" s="17" t="b">
        <f aca="false">'Raw Data'!S984</f>
        <v>0</v>
      </c>
    </row>
    <row r="988" customFormat="false" ht="15" hidden="false" customHeight="true" outlineLevel="0" collapsed="false">
      <c r="A988" s="12" t="n">
        <f aca="false">'Raw Data'!A985</f>
        <v>42621</v>
      </c>
      <c r="B988" s="32" t="n">
        <f aca="false">'Raw Data'!E985</f>
        <v>42.0720595106999</v>
      </c>
      <c r="C988" s="32" t="n">
        <f aca="false">'Raw Data'!F985</f>
        <v>36.3378823026784</v>
      </c>
      <c r="D988" s="15" t="n">
        <f aca="false">'Raw Data'!H985</f>
        <v>0.136294188464037</v>
      </c>
      <c r="E988" s="15" t="n">
        <f aca="false">'Raw Data'!I985</f>
        <v>0.136294188464037</v>
      </c>
      <c r="F988" s="17" t="b">
        <f aca="false">'Raw Data'!S985</f>
        <v>0</v>
      </c>
    </row>
    <row r="989" customFormat="false" ht="15" hidden="false" customHeight="true" outlineLevel="0" collapsed="false">
      <c r="A989" s="12" t="n">
        <f aca="false">'Raw Data'!A986</f>
        <v>42622</v>
      </c>
      <c r="B989" s="32" t="n">
        <f aca="false">'Raw Data'!E986</f>
        <v>40.3421588928712</v>
      </c>
      <c r="C989" s="32" t="n">
        <f aca="false">'Raw Data'!F986</f>
        <v>36.3130551392214</v>
      </c>
      <c r="D989" s="15" t="n">
        <f aca="false">'Raw Data'!H986</f>
        <v>0.0998732805636187</v>
      </c>
      <c r="E989" s="15" t="n">
        <f aca="false">'Raw Data'!I986</f>
        <v>0.0998732805636187</v>
      </c>
      <c r="F989" s="17" t="b">
        <f aca="false">'Raw Data'!S986</f>
        <v>0</v>
      </c>
    </row>
    <row r="990" customFormat="false" ht="15" hidden="false" customHeight="true" outlineLevel="0" collapsed="false">
      <c r="A990" s="12" t="n">
        <f aca="false">'Raw Data'!A987</f>
        <v>42623</v>
      </c>
      <c r="B990" s="32" t="n">
        <f aca="false">'Raw Data'!E987</f>
        <v>40.3558989040484</v>
      </c>
      <c r="C990" s="32" t="n">
        <f aca="false">'Raw Data'!F987</f>
        <v>36.3338960709132</v>
      </c>
      <c r="D990" s="15" t="n">
        <f aca="false">'Raw Data'!H987</f>
        <v>0.0996633191766591</v>
      </c>
      <c r="E990" s="15" t="n">
        <f aca="false">'Raw Data'!I987</f>
        <v>0.0996633191766592</v>
      </c>
      <c r="F990" s="17" t="b">
        <f aca="false">'Raw Data'!S987</f>
        <v>0</v>
      </c>
    </row>
    <row r="991" customFormat="false" ht="15" hidden="false" customHeight="true" outlineLevel="0" collapsed="false">
      <c r="A991" s="12" t="n">
        <f aca="false">'Raw Data'!A988</f>
        <v>42624</v>
      </c>
      <c r="B991" s="32" t="n">
        <f aca="false">'Raw Data'!E988</f>
        <v>40.3234237038565</v>
      </c>
      <c r="C991" s="32" t="n">
        <f aca="false">'Raw Data'!F988</f>
        <v>36.3453608742611</v>
      </c>
      <c r="D991" s="15" t="n">
        <f aca="false">'Raw Data'!H988</f>
        <v>0.0986538955325594</v>
      </c>
      <c r="E991" s="15" t="n">
        <f aca="false">'Raw Data'!I988</f>
        <v>0.0986538955325593</v>
      </c>
      <c r="F991" s="17" t="b">
        <f aca="false">'Raw Data'!S988</f>
        <v>0</v>
      </c>
    </row>
    <row r="992" customFormat="false" ht="15" hidden="false" customHeight="true" outlineLevel="0" collapsed="false">
      <c r="A992" s="12" t="n">
        <f aca="false">'Raw Data'!A989</f>
        <v>42625</v>
      </c>
      <c r="B992" s="32" t="n">
        <f aca="false">'Raw Data'!E989</f>
        <v>40.3370698501937</v>
      </c>
      <c r="C992" s="32" t="n">
        <f aca="false">'Raw Data'!F989</f>
        <v>36.3161444679224</v>
      </c>
      <c r="D992" s="15" t="n">
        <f aca="false">'Raw Data'!H989</f>
        <v>0.0996831301134293</v>
      </c>
      <c r="E992" s="15" t="n">
        <f aca="false">'Raw Data'!I989</f>
        <v>0.0996831301134293</v>
      </c>
      <c r="F992" s="17" t="b">
        <f aca="false">'Raw Data'!S989</f>
        <v>0</v>
      </c>
    </row>
    <row r="993" customFormat="false" ht="15" hidden="false" customHeight="true" outlineLevel="0" collapsed="false">
      <c r="A993" s="12" t="n">
        <f aca="false">'Raw Data'!A990</f>
        <v>42626</v>
      </c>
      <c r="B993" s="32" t="n">
        <f aca="false">'Raw Data'!E990</f>
        <v>40.2976506711128</v>
      </c>
      <c r="C993" s="32" t="n">
        <f aca="false">'Raw Data'!F990</f>
        <v>36.2895206978724</v>
      </c>
      <c r="D993" s="15" t="n">
        <f aca="false">'Raw Data'!H990</f>
        <v>0.0994631177373703</v>
      </c>
      <c r="E993" s="15" t="n">
        <f aca="false">'Raw Data'!I990</f>
        <v>0.0994631177373703</v>
      </c>
      <c r="F993" s="17" t="b">
        <f aca="false">'Raw Data'!S990</f>
        <v>0</v>
      </c>
    </row>
    <row r="994" customFormat="false" ht="15" hidden="false" customHeight="true" outlineLevel="0" collapsed="false">
      <c r="A994" s="12" t="n">
        <f aca="false">'Raw Data'!A991</f>
        <v>42627</v>
      </c>
      <c r="B994" s="32" t="n">
        <f aca="false">'Raw Data'!E991</f>
        <v>40.3447106791437</v>
      </c>
      <c r="C994" s="32" t="n">
        <f aca="false">'Raw Data'!F991</f>
        <v>36.17136340098</v>
      </c>
      <c r="D994" s="15" t="n">
        <f aca="false">'Raw Data'!H991</f>
        <v>0.103442240826903</v>
      </c>
      <c r="E994" s="15" t="n">
        <f aca="false">'Raw Data'!I991</f>
        <v>0.103442240826903</v>
      </c>
      <c r="F994" s="17" t="b">
        <f aca="false">'Raw Data'!S991</f>
        <v>0</v>
      </c>
    </row>
    <row r="995" customFormat="false" ht="15" hidden="false" customHeight="true" outlineLevel="0" collapsed="false">
      <c r="A995" s="12" t="n">
        <f aca="false">'Raw Data'!A992</f>
        <v>42628</v>
      </c>
      <c r="B995" s="32" t="n">
        <f aca="false">'Raw Data'!E992</f>
        <v>40.3387838426933</v>
      </c>
      <c r="C995" s="32" t="n">
        <f aca="false">'Raw Data'!F992</f>
        <v>36.1037225890502</v>
      </c>
      <c r="D995" s="15" t="n">
        <f aca="false">'Raw Data'!H992</f>
        <v>0.104987331054856</v>
      </c>
      <c r="E995" s="15" t="n">
        <f aca="false">'Raw Data'!I992</f>
        <v>0.104987331054856</v>
      </c>
      <c r="F995" s="17" t="b">
        <f aca="false">'Raw Data'!S992</f>
        <v>0</v>
      </c>
    </row>
    <row r="996" customFormat="false" ht="15" hidden="false" customHeight="true" outlineLevel="0" collapsed="false">
      <c r="A996" s="12" t="n">
        <f aca="false">'Raw Data'!A993</f>
        <v>42629</v>
      </c>
      <c r="B996" s="32" t="n">
        <f aca="false">'Raw Data'!E993</f>
        <v>40.3143894923367</v>
      </c>
      <c r="C996" s="32" t="n">
        <f aca="false">'Raw Data'!F993</f>
        <v>36.0907043765338</v>
      </c>
      <c r="D996" s="15" t="n">
        <f aca="false">'Raw Data'!H993</f>
        <v>0.104768673642094</v>
      </c>
      <c r="E996" s="15" t="n">
        <f aca="false">'Raw Data'!I993</f>
        <v>0.104768673642094</v>
      </c>
      <c r="F996" s="17" t="b">
        <f aca="false">'Raw Data'!S993</f>
        <v>0</v>
      </c>
    </row>
    <row r="997" customFormat="false" ht="15" hidden="false" customHeight="true" outlineLevel="0" collapsed="false">
      <c r="A997" s="12" t="n">
        <f aca="false">'Raw Data'!A994</f>
        <v>42630</v>
      </c>
      <c r="B997" s="32" t="n">
        <f aca="false">'Raw Data'!E994</f>
        <v>40.3387232285387</v>
      </c>
      <c r="C997" s="32" t="n">
        <f aca="false">'Raw Data'!F994</f>
        <v>36.088802423459</v>
      </c>
      <c r="D997" s="15" t="n">
        <f aca="false">'Raw Data'!H994</f>
        <v>0.105355858215982</v>
      </c>
      <c r="E997" s="15" t="n">
        <f aca="false">'Raw Data'!I994</f>
        <v>0.105355858215982</v>
      </c>
      <c r="F997" s="17" t="b">
        <f aca="false">'Raw Data'!S994</f>
        <v>0</v>
      </c>
    </row>
    <row r="998" customFormat="false" ht="15" hidden="false" customHeight="true" outlineLevel="0" collapsed="false">
      <c r="A998" s="12" t="n">
        <f aca="false">'Raw Data'!A995</f>
        <v>42631</v>
      </c>
      <c r="B998" s="32" t="n">
        <f aca="false">'Raw Data'!E995</f>
        <v>40.3442081258544</v>
      </c>
      <c r="C998" s="32" t="n">
        <f aca="false">'Raw Data'!F995</f>
        <v>36.1083375574051</v>
      </c>
      <c r="D998" s="15" t="n">
        <f aca="false">'Raw Data'!H995</f>
        <v>0.104993275744449</v>
      </c>
      <c r="E998" s="15" t="n">
        <f aca="false">'Raw Data'!I995</f>
        <v>0.104993275744449</v>
      </c>
      <c r="F998" s="17" t="b">
        <f aca="false">'Raw Data'!S995</f>
        <v>0</v>
      </c>
    </row>
    <row r="999" customFormat="false" ht="15" hidden="false" customHeight="true" outlineLevel="0" collapsed="false">
      <c r="A999" s="12" t="n">
        <f aca="false">'Raw Data'!A996</f>
        <v>42632</v>
      </c>
      <c r="B999" s="32" t="n">
        <f aca="false">'Raw Data'!E996</f>
        <v>40.3172831619396</v>
      </c>
      <c r="C999" s="32" t="n">
        <f aca="false">'Raw Data'!F996</f>
        <v>36.0696453905487</v>
      </c>
      <c r="D999" s="15" t="n">
        <f aca="false">'Raw Data'!H996</f>
        <v>0.105355258049749</v>
      </c>
      <c r="E999" s="15" t="n">
        <f aca="false">'Raw Data'!I996</f>
        <v>0.105355258049749</v>
      </c>
      <c r="F999" s="17" t="b">
        <f aca="false">'Raw Data'!S996</f>
        <v>0</v>
      </c>
    </row>
    <row r="1000" customFormat="false" ht="15" hidden="false" customHeight="true" outlineLevel="0" collapsed="false">
      <c r="A1000" s="12" t="n">
        <f aca="false">'Raw Data'!A997</f>
        <v>42633</v>
      </c>
      <c r="B1000" s="32" t="n">
        <f aca="false">'Raw Data'!E997</f>
        <v>40.3444317614738</v>
      </c>
      <c r="C1000" s="32" t="n">
        <f aca="false">'Raw Data'!F997</f>
        <v>36.2033505182076</v>
      </c>
      <c r="D1000" s="15" t="n">
        <f aca="false">'Raw Data'!H997</f>
        <v>0.102643191698654</v>
      </c>
      <c r="E1000" s="15" t="n">
        <f aca="false">'Raw Data'!I997</f>
        <v>0.102643191698654</v>
      </c>
      <c r="F1000" s="17" t="b">
        <f aca="false">'Raw Data'!S997</f>
        <v>0</v>
      </c>
    </row>
    <row r="1001" customFormat="false" ht="15" hidden="false" customHeight="true" outlineLevel="0" collapsed="false">
      <c r="A1001" s="12" t="n">
        <f aca="false">'Raw Data'!A998</f>
        <v>42634</v>
      </c>
      <c r="B1001" s="32" t="n">
        <f aca="false">'Raw Data'!E998</f>
        <v>40.3584308638721</v>
      </c>
      <c r="C1001" s="32" t="n">
        <f aca="false">'Raw Data'!F998</f>
        <v>36.1258763891839</v>
      </c>
      <c r="D1001" s="15" t="n">
        <f aca="false">'Raw Data'!H998</f>
        <v>0.104874108930658</v>
      </c>
      <c r="E1001" s="15" t="n">
        <f aca="false">'Raw Data'!I998</f>
        <v>0.104874108930658</v>
      </c>
      <c r="F1001" s="17" t="b">
        <f aca="false">'Raw Data'!S998</f>
        <v>0</v>
      </c>
    </row>
    <row r="1002" customFormat="false" ht="15" hidden="false" customHeight="true" outlineLevel="0" collapsed="false">
      <c r="A1002" s="12" t="n">
        <f aca="false">'Raw Data'!A999</f>
        <v>42635</v>
      </c>
      <c r="B1002" s="32" t="n">
        <f aca="false">'Raw Data'!E999</f>
        <v>40.3135979579214</v>
      </c>
      <c r="C1002" s="32" t="n">
        <f aca="false">'Raw Data'!F999</f>
        <v>36.1554173156185</v>
      </c>
      <c r="D1002" s="15" t="n">
        <f aca="false">'Raw Data'!H999</f>
        <v>0.103145857798233</v>
      </c>
      <c r="E1002" s="15" t="n">
        <f aca="false">'Raw Data'!I999</f>
        <v>0.103145857798233</v>
      </c>
      <c r="F1002" s="17" t="b">
        <f aca="false">'Raw Data'!S999</f>
        <v>0</v>
      </c>
    </row>
    <row r="1003" customFormat="false" ht="15" hidden="false" customHeight="true" outlineLevel="0" collapsed="false">
      <c r="A1003" s="12" t="n">
        <f aca="false">'Raw Data'!A1000</f>
        <v>42636</v>
      </c>
      <c r="B1003" s="32" t="n">
        <f aca="false">'Raw Data'!E1000</f>
        <v>40.3345838551614</v>
      </c>
      <c r="C1003" s="32" t="n">
        <f aca="false">'Raw Data'!F1000</f>
        <v>36.0854568754986</v>
      </c>
      <c r="D1003" s="15" t="n">
        <f aca="false">'Raw Data'!H1000</f>
        <v>0.105346989445114</v>
      </c>
      <c r="E1003" s="15" t="n">
        <f aca="false">'Raw Data'!I1000</f>
        <v>0.105346989445114</v>
      </c>
      <c r="F1003" s="17" t="b">
        <f aca="false">'Raw Data'!S1000</f>
        <v>0</v>
      </c>
    </row>
    <row r="1004" customFormat="false" ht="15" hidden="false" customHeight="true" outlineLevel="0" collapsed="false">
      <c r="A1004" s="12" t="n">
        <f aca="false">'Raw Data'!A1001</f>
        <v>42637</v>
      </c>
      <c r="B1004" s="32" t="n">
        <f aca="false">'Raw Data'!E1001</f>
        <v>40.3510334868045</v>
      </c>
      <c r="C1004" s="32" t="n">
        <f aca="false">'Raw Data'!F1001</f>
        <v>36.0559242142614</v>
      </c>
      <c r="D1004" s="15" t="n">
        <f aca="false">'Raw Data'!H1001</f>
        <v>0.106443600111202</v>
      </c>
      <c r="E1004" s="15" t="n">
        <f aca="false">'Raw Data'!I1001</f>
        <v>0.106443600111202</v>
      </c>
      <c r="F1004" s="17" t="b">
        <f aca="false">'Raw Data'!S1001</f>
        <v>0</v>
      </c>
    </row>
    <row r="1005" customFormat="false" ht="15" hidden="false" customHeight="true" outlineLevel="0" collapsed="false">
      <c r="A1005" s="12" t="n">
        <f aca="false">'Raw Data'!A1002</f>
        <v>42638</v>
      </c>
      <c r="B1005" s="32" t="n">
        <f aca="false">'Raw Data'!E1002</f>
        <v>40.3212563092123</v>
      </c>
      <c r="C1005" s="32" t="n">
        <f aca="false">'Raw Data'!F1002</f>
        <v>36.03700844384</v>
      </c>
      <c r="D1005" s="15" t="n">
        <f aca="false">'Raw Data'!H1002</f>
        <v>0.106252836779629</v>
      </c>
      <c r="E1005" s="15" t="n">
        <f aca="false">'Raw Data'!I1002</f>
        <v>0.106252836779629</v>
      </c>
      <c r="F1005" s="17" t="b">
        <f aca="false">'Raw Data'!S1002</f>
        <v>0</v>
      </c>
    </row>
    <row r="1006" customFormat="false" ht="15" hidden="false" customHeight="true" outlineLevel="0" collapsed="false">
      <c r="A1006" s="12" t="n">
        <f aca="false">'Raw Data'!A1003</f>
        <v>42639</v>
      </c>
      <c r="B1006" s="32" t="n">
        <f aca="false">'Raw Data'!E1003</f>
        <v>40.3082352976748</v>
      </c>
      <c r="C1006" s="32" t="n">
        <f aca="false">'Raw Data'!F1003</f>
        <v>36.0137766901954</v>
      </c>
      <c r="D1006" s="15" t="n">
        <f aca="false">'Raw Data'!H1003</f>
        <v>0.106540476797483</v>
      </c>
      <c r="E1006" s="15" t="n">
        <f aca="false">'Raw Data'!I1003</f>
        <v>0.106540476797483</v>
      </c>
      <c r="F1006" s="17" t="b">
        <f aca="false">'Raw Data'!S1003</f>
        <v>0</v>
      </c>
    </row>
    <row r="1007" customFormat="false" ht="15" hidden="false" customHeight="true" outlineLevel="0" collapsed="false">
      <c r="A1007" s="12" t="n">
        <f aca="false">'Raw Data'!A1004</f>
        <v>42640</v>
      </c>
      <c r="B1007" s="32" t="n">
        <f aca="false">'Raw Data'!E1004</f>
        <v>40.3158637677667</v>
      </c>
      <c r="C1007" s="32" t="n">
        <f aca="false">'Raw Data'!F1004</f>
        <v>36.1236542506997</v>
      </c>
      <c r="D1007" s="15" t="n">
        <f aca="false">'Raw Data'!H1004</f>
        <v>0.103984117547762</v>
      </c>
      <c r="E1007" s="15" t="n">
        <f aca="false">'Raw Data'!I1004</f>
        <v>0.103984117547762</v>
      </c>
      <c r="F1007" s="17" t="b">
        <f aca="false">'Raw Data'!S1004</f>
        <v>0</v>
      </c>
    </row>
    <row r="1008" customFormat="false" ht="15" hidden="false" customHeight="true" outlineLevel="0" collapsed="false">
      <c r="A1008" s="12" t="n">
        <f aca="false">'Raw Data'!A1005</f>
        <v>42641</v>
      </c>
      <c r="B1008" s="32" t="n">
        <f aca="false">'Raw Data'!E1005</f>
        <v>37.1896173407493</v>
      </c>
      <c r="C1008" s="32" t="n">
        <f aca="false">'Raw Data'!F1005</f>
        <v>36.1597473108367</v>
      </c>
      <c r="D1008" s="15" t="n">
        <f aca="false">'Raw Data'!H1005</f>
        <v>0.0276924072779881</v>
      </c>
      <c r="E1008" s="15" t="n">
        <f aca="false">'Raw Data'!I1005</f>
        <v>0.0276924072779881</v>
      </c>
      <c r="F1008" s="17" t="b">
        <f aca="false">'Raw Data'!S1005</f>
        <v>0</v>
      </c>
    </row>
    <row r="1009" customFormat="false" ht="15" hidden="false" customHeight="true" outlineLevel="0" collapsed="false">
      <c r="A1009" s="12" t="n">
        <f aca="false">'Raw Data'!A1006</f>
        <v>42642</v>
      </c>
      <c r="B1009" s="32" t="n">
        <f aca="false">'Raw Data'!E1006</f>
        <v>37.1703974389796</v>
      </c>
      <c r="C1009" s="32" t="n">
        <f aca="false">'Raw Data'!F1006</f>
        <v>35.976130316996</v>
      </c>
      <c r="D1009" s="15" t="n">
        <f aca="false">'Raw Data'!H1006</f>
        <v>0.0321295225305054</v>
      </c>
      <c r="E1009" s="15" t="n">
        <f aca="false">'Raw Data'!I1006</f>
        <v>0.0321295225305055</v>
      </c>
      <c r="F1009" s="17" t="b">
        <f aca="false">'Raw Data'!S1006</f>
        <v>0</v>
      </c>
    </row>
    <row r="1010" customFormat="false" ht="15" hidden="false" customHeight="true" outlineLevel="0" collapsed="false">
      <c r="A1010" s="12" t="n">
        <f aca="false">'Raw Data'!A1007</f>
        <v>42643</v>
      </c>
      <c r="B1010" s="32" t="n">
        <f aca="false">'Raw Data'!E1007</f>
        <v>36.9825385672397</v>
      </c>
      <c r="C1010" s="32" t="n">
        <f aca="false">'Raw Data'!F1007</f>
        <v>35.8245838516573</v>
      </c>
      <c r="D1010" s="15" t="n">
        <f aca="false">'Raw Data'!H1007</f>
        <v>0.0313108499427939</v>
      </c>
      <c r="E1010" s="15" t="n">
        <f aca="false">'Raw Data'!I1007</f>
        <v>0.031310849942794</v>
      </c>
      <c r="F1010" s="17" t="b">
        <f aca="false">'Raw Data'!S1007</f>
        <v>1</v>
      </c>
    </row>
    <row r="1011" customFormat="false" ht="15" hidden="false" customHeight="true" outlineLevel="0" collapsed="false">
      <c r="A1011" s="12" t="n">
        <f aca="false">'Raw Data'!A1008</f>
        <v>42644</v>
      </c>
      <c r="B1011" s="32" t="n">
        <f aca="false">'Raw Data'!E1008</f>
        <v>37.0186595036914</v>
      </c>
      <c r="C1011" s="32" t="n">
        <f aca="false">'Raw Data'!F1008</f>
        <v>35.7629328107359</v>
      </c>
      <c r="D1011" s="15" t="n">
        <f aca="false">'Raw Data'!H1008</f>
        <v>0.0339214523105653</v>
      </c>
      <c r="E1011" s="15" t="n">
        <f aca="false">'Raw Data'!I1008</f>
        <v>0.0339214523105652</v>
      </c>
      <c r="F1011" s="17" t="b">
        <f aca="false">'Raw Data'!S1008</f>
        <v>1</v>
      </c>
    </row>
    <row r="1012" customFormat="false" ht="15" hidden="false" customHeight="true" outlineLevel="0" collapsed="false">
      <c r="A1012" s="12" t="n">
        <f aca="false">'Raw Data'!A1009</f>
        <v>42645</v>
      </c>
      <c r="B1012" s="32" t="n">
        <f aca="false">'Raw Data'!E1009</f>
        <v>37.3717215809322</v>
      </c>
      <c r="C1012" s="32" t="n">
        <f aca="false">'Raw Data'!F1009</f>
        <v>35.7223313169008</v>
      </c>
      <c r="D1012" s="15" t="n">
        <f aca="false">'Raw Data'!H1009</f>
        <v>0.0441347145450462</v>
      </c>
      <c r="E1012" s="15" t="n">
        <f aca="false">'Raw Data'!I1009</f>
        <v>0.0441347145450462</v>
      </c>
      <c r="F1012" s="17" t="b">
        <f aca="false">'Raw Data'!S1009</f>
        <v>1</v>
      </c>
    </row>
    <row r="1013" customFormat="false" ht="15" hidden="false" customHeight="true" outlineLevel="0" collapsed="false">
      <c r="A1013" s="12" t="n">
        <f aca="false">'Raw Data'!A1010</f>
        <v>42646</v>
      </c>
      <c r="B1013" s="32" t="n">
        <f aca="false">'Raw Data'!E1010</f>
        <v>40.3273675484495</v>
      </c>
      <c r="C1013" s="32" t="n">
        <f aca="false">'Raw Data'!F1010</f>
        <v>35.7362555599289</v>
      </c>
      <c r="D1013" s="15" t="n">
        <f aca="false">'Raw Data'!H1010</f>
        <v>0.11384606205711</v>
      </c>
      <c r="E1013" s="15" t="n">
        <f aca="false">'Raw Data'!I1010</f>
        <v>0.11384606205711</v>
      </c>
      <c r="F1013" s="17" t="b">
        <f aca="false">'Raw Data'!S1010</f>
        <v>0</v>
      </c>
    </row>
    <row r="1014" customFormat="false" ht="15" hidden="false" customHeight="true" outlineLevel="0" collapsed="false">
      <c r="A1014" s="12" t="n">
        <f aca="false">'Raw Data'!A1011</f>
        <v>42647</v>
      </c>
      <c r="B1014" s="32" t="n">
        <f aca="false">'Raw Data'!E1011</f>
        <v>40.3091309677861</v>
      </c>
      <c r="C1014" s="32" t="n">
        <f aca="false">'Raw Data'!F1011</f>
        <v>35.6661799100636</v>
      </c>
      <c r="D1014" s="15" t="n">
        <f aca="false">'Raw Data'!H1011</f>
        <v>0.115183605953526</v>
      </c>
      <c r="E1014" s="15" t="n">
        <f aca="false">'Raw Data'!I1011</f>
        <v>0.115183605953526</v>
      </c>
      <c r="F1014" s="17" t="b">
        <f aca="false">'Raw Data'!S1011</f>
        <v>0</v>
      </c>
    </row>
    <row r="1015" customFormat="false" ht="15" hidden="false" customHeight="true" outlineLevel="0" collapsed="false">
      <c r="A1015" s="12" t="n">
        <f aca="false">'Raw Data'!A1012</f>
        <v>42648</v>
      </c>
      <c r="B1015" s="32" t="n">
        <f aca="false">'Raw Data'!E1012</f>
        <v>40.3384117342631</v>
      </c>
      <c r="C1015" s="32" t="n">
        <f aca="false">'Raw Data'!F1012</f>
        <v>35.6396057053634</v>
      </c>
      <c r="D1015" s="15" t="n">
        <f aca="false">'Raw Data'!H1012</f>
        <v>0.116484656358162</v>
      </c>
      <c r="E1015" s="15" t="n">
        <f aca="false">'Raw Data'!I1012</f>
        <v>0.116484656358162</v>
      </c>
      <c r="F1015" s="17" t="b">
        <f aca="false">'Raw Data'!S1012</f>
        <v>0</v>
      </c>
    </row>
    <row r="1016" customFormat="false" ht="15" hidden="false" customHeight="true" outlineLevel="0" collapsed="false">
      <c r="A1016" s="12" t="n">
        <f aca="false">'Raw Data'!A1013</f>
        <v>42649</v>
      </c>
      <c r="B1016" s="32" t="n">
        <f aca="false">'Raw Data'!E1013</f>
        <v>40.3905025246377</v>
      </c>
      <c r="C1016" s="32" t="n">
        <f aca="false">'Raw Data'!F1013</f>
        <v>35.6185665468255</v>
      </c>
      <c r="D1016" s="15" t="n">
        <f aca="false">'Raw Data'!H1013</f>
        <v>0.118145001412187</v>
      </c>
      <c r="E1016" s="15" t="n">
        <f aca="false">'Raw Data'!I1013</f>
        <v>0.118145001412187</v>
      </c>
      <c r="F1016" s="17" t="b">
        <f aca="false">'Raw Data'!S1013</f>
        <v>0</v>
      </c>
    </row>
    <row r="1017" customFormat="false" ht="15" hidden="false" customHeight="true" outlineLevel="0" collapsed="false">
      <c r="A1017" s="12" t="n">
        <f aca="false">'Raw Data'!A1014</f>
        <v>42650</v>
      </c>
      <c r="B1017" s="32" t="n">
        <f aca="false">'Raw Data'!E1014</f>
        <v>40.3257641963298</v>
      </c>
      <c r="C1017" s="32" t="n">
        <f aca="false">'Raw Data'!F1014</f>
        <v>35.5912727186583</v>
      </c>
      <c r="D1017" s="15" t="n">
        <f aca="false">'Raw Data'!H1014</f>
        <v>0.117406119190232</v>
      </c>
      <c r="E1017" s="15" t="n">
        <f aca="false">'Raw Data'!I1014</f>
        <v>0.117406119190232</v>
      </c>
      <c r="F1017" s="17" t="b">
        <f aca="false">'Raw Data'!S1014</f>
        <v>0</v>
      </c>
    </row>
    <row r="1018" customFormat="false" ht="15" hidden="false" customHeight="true" outlineLevel="0" collapsed="false">
      <c r="A1018" s="12" t="n">
        <f aca="false">'Raw Data'!A1015</f>
        <v>42651</v>
      </c>
      <c r="B1018" s="32" t="n">
        <f aca="false">'Raw Data'!E1015</f>
        <v>40.3212114629756</v>
      </c>
      <c r="C1018" s="32" t="n">
        <f aca="false">'Raw Data'!F1015</f>
        <v>35.5712870551952</v>
      </c>
      <c r="D1018" s="15" t="n">
        <f aca="false">'Raw Data'!H1015</f>
        <v>0.117802125368727</v>
      </c>
      <c r="E1018" s="15" t="n">
        <f aca="false">'Raw Data'!I1015</f>
        <v>0.117802125368727</v>
      </c>
      <c r="F1018" s="17" t="b">
        <f aca="false">'Raw Data'!S1015</f>
        <v>0</v>
      </c>
    </row>
    <row r="1019" customFormat="false" ht="15" hidden="false" customHeight="true" outlineLevel="0" collapsed="false">
      <c r="A1019" s="12" t="n">
        <f aca="false">'Raw Data'!A1016</f>
        <v>42652</v>
      </c>
      <c r="B1019" s="32" t="n">
        <f aca="false">'Raw Data'!E1016</f>
        <v>40.3048156128583</v>
      </c>
      <c r="C1019" s="32" t="n">
        <f aca="false">'Raw Data'!F1016</f>
        <v>35.519652725621</v>
      </c>
      <c r="D1019" s="15" t="n">
        <f aca="false">'Raw Data'!H1016</f>
        <v>0.118724346321303</v>
      </c>
      <c r="E1019" s="15" t="n">
        <f aca="false">'Raw Data'!I1016</f>
        <v>0.118724346321303</v>
      </c>
      <c r="F1019" s="17" t="b">
        <f aca="false">'Raw Data'!S1016</f>
        <v>0</v>
      </c>
    </row>
    <row r="1020" customFormat="false" ht="15" hidden="false" customHeight="true" outlineLevel="0" collapsed="false">
      <c r="A1020" s="12" t="n">
        <f aca="false">'Raw Data'!A1017</f>
        <v>42653</v>
      </c>
      <c r="B1020" s="32" t="n">
        <f aca="false">'Raw Data'!E1017</f>
        <v>40.3285694329811</v>
      </c>
      <c r="C1020" s="32" t="n">
        <f aca="false">'Raw Data'!F1017</f>
        <v>35.6166091072383</v>
      </c>
      <c r="D1020" s="15" t="n">
        <f aca="false">'Raw Data'!H1017</f>
        <v>0.11683926288467</v>
      </c>
      <c r="E1020" s="15" t="n">
        <f aca="false">'Raw Data'!I1017</f>
        <v>0.11683926288467</v>
      </c>
      <c r="F1020" s="17" t="b">
        <f aca="false">'Raw Data'!S1017</f>
        <v>0</v>
      </c>
    </row>
    <row r="1021" customFormat="false" ht="15" hidden="false" customHeight="true" outlineLevel="0" collapsed="false">
      <c r="A1021" s="12" t="n">
        <f aca="false">'Raw Data'!A1018</f>
        <v>42654</v>
      </c>
      <c r="B1021" s="32" t="n">
        <f aca="false">'Raw Data'!E1018</f>
        <v>40.3057308846766</v>
      </c>
      <c r="C1021" s="32" t="n">
        <f aca="false">'Raw Data'!F1018</f>
        <v>35.5862594311728</v>
      </c>
      <c r="D1021" s="15" t="n">
        <f aca="false">'Raw Data'!H1018</f>
        <v>0.117091821681816</v>
      </c>
      <c r="E1021" s="15" t="n">
        <f aca="false">'Raw Data'!I1018</f>
        <v>0.117091821681816</v>
      </c>
      <c r="F1021" s="17" t="b">
        <f aca="false">'Raw Data'!S1018</f>
        <v>0</v>
      </c>
    </row>
    <row r="1022" customFormat="false" ht="15" hidden="false" customHeight="true" outlineLevel="0" collapsed="false">
      <c r="A1022" s="12" t="n">
        <f aca="false">'Raw Data'!A1019</f>
        <v>42655</v>
      </c>
      <c r="B1022" s="32" t="n">
        <f aca="false">'Raw Data'!E1019</f>
        <v>40.3949996942384</v>
      </c>
      <c r="C1022" s="32" t="n">
        <f aca="false">'Raw Data'!F1019</f>
        <v>36.220888628139</v>
      </c>
      <c r="D1022" s="15" t="n">
        <f aca="false">'Raw Data'!H1019</f>
        <v>0.103332370285792</v>
      </c>
      <c r="E1022" s="15" t="n">
        <f aca="false">'Raw Data'!I1019</f>
        <v>0.103332370285792</v>
      </c>
      <c r="F1022" s="17" t="b">
        <f aca="false">'Raw Data'!S1019</f>
        <v>0</v>
      </c>
    </row>
    <row r="1023" customFormat="false" ht="15" hidden="false" customHeight="true" outlineLevel="0" collapsed="false">
      <c r="A1023" s="12" t="n">
        <f aca="false">'Raw Data'!A1020</f>
        <v>42656</v>
      </c>
      <c r="B1023" s="32" t="n">
        <f aca="false">'Raw Data'!E1020</f>
        <v>42.8679703083685</v>
      </c>
      <c r="C1023" s="32" t="n">
        <f aca="false">'Raw Data'!F1020</f>
        <v>37.8197565273253</v>
      </c>
      <c r="D1023" s="15" t="n">
        <f aca="false">'Raw Data'!H1020</f>
        <v>0.117761903461469</v>
      </c>
      <c r="E1023" s="15" t="n">
        <f aca="false">'Raw Data'!I1020</f>
        <v>0.117761903461469</v>
      </c>
      <c r="F1023" s="17" t="b">
        <f aca="false">'Raw Data'!S1020</f>
        <v>0</v>
      </c>
    </row>
    <row r="1024" customFormat="false" ht="15" hidden="false" customHeight="true" outlineLevel="0" collapsed="false">
      <c r="A1024" s="12" t="n">
        <f aca="false">'Raw Data'!A1021</f>
        <v>42657</v>
      </c>
      <c r="B1024" s="32" t="n">
        <f aca="false">'Raw Data'!E1021</f>
        <v>42.9177557448642</v>
      </c>
      <c r="C1024" s="32" t="n">
        <f aca="false">'Raw Data'!F1021</f>
        <v>38.3626397925217</v>
      </c>
      <c r="D1024" s="15" t="n">
        <f aca="false">'Raw Data'!H1021</f>
        <v>0.106135930765383</v>
      </c>
      <c r="E1024" s="15" t="n">
        <f aca="false">'Raw Data'!I1021</f>
        <v>0.106135930765383</v>
      </c>
      <c r="F1024" s="17" t="b">
        <f aca="false">'Raw Data'!S1021</f>
        <v>0</v>
      </c>
    </row>
    <row r="1025" customFormat="false" ht="15" hidden="false" customHeight="true" outlineLevel="0" collapsed="false">
      <c r="A1025" s="12" t="n">
        <f aca="false">'Raw Data'!A1022</f>
        <v>42658</v>
      </c>
      <c r="B1025" s="32" t="n">
        <f aca="false">'Raw Data'!E1022</f>
        <v>42.9245597538293</v>
      </c>
      <c r="C1025" s="32" t="n">
        <f aca="false">'Raw Data'!F1022</f>
        <v>38.8317731818119</v>
      </c>
      <c r="D1025" s="15" t="n">
        <f aca="false">'Raw Data'!H1022</f>
        <v>0.0953483645607418</v>
      </c>
      <c r="E1025" s="15" t="n">
        <f aca="false">'Raw Data'!I1022</f>
        <v>0.0953483645607419</v>
      </c>
      <c r="F1025" s="17" t="b">
        <f aca="false">'Raw Data'!S1022</f>
        <v>0</v>
      </c>
    </row>
    <row r="1026" customFormat="false" ht="15" hidden="false" customHeight="true" outlineLevel="0" collapsed="false">
      <c r="A1026" s="12" t="n">
        <f aca="false">'Raw Data'!A1023</f>
        <v>42659</v>
      </c>
      <c r="B1026" s="32" t="n">
        <f aca="false">'Raw Data'!E1023</f>
        <v>42.9185676807118</v>
      </c>
      <c r="C1026" s="32" t="n">
        <f aca="false">'Raw Data'!F1023</f>
        <v>39.4766251788857</v>
      </c>
      <c r="D1026" s="15" t="n">
        <f aca="false">'Raw Data'!H1023</f>
        <v>0.0801970496180606</v>
      </c>
      <c r="E1026" s="15" t="n">
        <f aca="false">'Raw Data'!I1023</f>
        <v>0.0801970496180606</v>
      </c>
      <c r="F1026" s="17" t="b">
        <f aca="false">'Raw Data'!S1023</f>
        <v>0</v>
      </c>
    </row>
    <row r="1027" customFormat="false" ht="15" hidden="false" customHeight="true" outlineLevel="0" collapsed="false">
      <c r="A1027" s="12" t="n">
        <f aca="false">'Raw Data'!A1024</f>
        <v>42660</v>
      </c>
      <c r="B1027" s="32" t="n">
        <f aca="false">'Raw Data'!E1024</f>
        <v>42.9316375892119</v>
      </c>
      <c r="C1027" s="32" t="n">
        <f aca="false">'Raw Data'!F1024</f>
        <v>38.862565594424</v>
      </c>
      <c r="D1027" s="15" t="n">
        <f aca="false">'Raw Data'!H1024</f>
        <v>0.0947802651676722</v>
      </c>
      <c r="E1027" s="15" t="n">
        <f aca="false">'Raw Data'!I1024</f>
        <v>0.0947802651676722</v>
      </c>
      <c r="F1027" s="17" t="b">
        <f aca="false">'Raw Data'!S1024</f>
        <v>0</v>
      </c>
    </row>
    <row r="1028" customFormat="false" ht="15" hidden="false" customHeight="true" outlineLevel="0" collapsed="false">
      <c r="A1028" s="12" t="n">
        <f aca="false">'Raw Data'!A1025</f>
        <v>42661</v>
      </c>
      <c r="B1028" s="32" t="n">
        <f aca="false">'Raw Data'!E1025</f>
        <v>42.9256858248738</v>
      </c>
      <c r="C1028" s="32" t="n">
        <f aca="false">'Raw Data'!F1025</f>
        <v>39.086608538028</v>
      </c>
      <c r="D1028" s="15" t="n">
        <f aca="false">'Raw Data'!H1025</f>
        <v>0.0894354327268841</v>
      </c>
      <c r="E1028" s="15" t="n">
        <f aca="false">'Raw Data'!I1025</f>
        <v>0.0894354327268842</v>
      </c>
      <c r="F1028" s="17" t="b">
        <f aca="false">'Raw Data'!S1025</f>
        <v>0</v>
      </c>
    </row>
    <row r="1029" customFormat="false" ht="15" hidden="false" customHeight="true" outlineLevel="0" collapsed="false">
      <c r="A1029" s="12" t="n">
        <f aca="false">'Raw Data'!A1026</f>
        <v>42662</v>
      </c>
      <c r="B1029" s="32" t="n">
        <f aca="false">'Raw Data'!E1026</f>
        <v>42.9560402443441</v>
      </c>
      <c r="C1029" s="32" t="n">
        <f aca="false">'Raw Data'!F1026</f>
        <v>38.4018919855052</v>
      </c>
      <c r="D1029" s="15" t="n">
        <f aca="false">'Raw Data'!H1026</f>
        <v>0.106018809763046</v>
      </c>
      <c r="E1029" s="15" t="n">
        <f aca="false">'Raw Data'!I1026</f>
        <v>0.106018809763046</v>
      </c>
      <c r="F1029" s="17" t="b">
        <f aca="false">'Raw Data'!S1026</f>
        <v>0</v>
      </c>
    </row>
    <row r="1030" customFormat="false" ht="15" hidden="false" customHeight="true" outlineLevel="0" collapsed="false">
      <c r="A1030" s="12" t="n">
        <f aca="false">'Raw Data'!A1027</f>
        <v>42663</v>
      </c>
      <c r="B1030" s="32" t="n">
        <f aca="false">'Raw Data'!E1027</f>
        <v>42.657988432185</v>
      </c>
      <c r="C1030" s="32" t="n">
        <f aca="false">'Raw Data'!F1027</f>
        <v>38.6733650017984</v>
      </c>
      <c r="D1030" s="15" t="n">
        <f aca="false">'Raw Data'!H1027</f>
        <v>0.0934086105987195</v>
      </c>
      <c r="E1030" s="15" t="n">
        <f aca="false">'Raw Data'!I1027</f>
        <v>0.0934086105987196</v>
      </c>
      <c r="F1030" s="17" t="b">
        <f aca="false">'Raw Data'!S1027</f>
        <v>0</v>
      </c>
    </row>
    <row r="1031" customFormat="false" ht="15" hidden="false" customHeight="true" outlineLevel="0" collapsed="false">
      <c r="A1031" s="12" t="n">
        <f aca="false">'Raw Data'!A1028</f>
        <v>42664</v>
      </c>
      <c r="B1031" s="32" t="n">
        <f aca="false">'Raw Data'!E1028</f>
        <v>42.694773398887</v>
      </c>
      <c r="C1031" s="32" t="n">
        <f aca="false">'Raw Data'!F1028</f>
        <v>38.5995009041506</v>
      </c>
      <c r="D1031" s="15" t="n">
        <f aca="false">'Raw Data'!H1028</f>
        <v>0.0959197618049227</v>
      </c>
      <c r="E1031" s="15" t="n">
        <f aca="false">'Raw Data'!I1028</f>
        <v>0.0959197618049228</v>
      </c>
      <c r="F1031" s="17" t="b">
        <f aca="false">'Raw Data'!S1028</f>
        <v>0</v>
      </c>
    </row>
    <row r="1032" customFormat="false" ht="15" hidden="false" customHeight="true" outlineLevel="0" collapsed="false">
      <c r="A1032" s="12" t="n">
        <f aca="false">'Raw Data'!A1029</f>
        <v>42665</v>
      </c>
      <c r="B1032" s="32" t="n">
        <f aca="false">'Raw Data'!E1029</f>
        <v>42.7437678634193</v>
      </c>
      <c r="C1032" s="32" t="n">
        <f aca="false">'Raw Data'!F1029</f>
        <v>38.8066409849067</v>
      </c>
      <c r="D1032" s="15" t="n">
        <f aca="false">'Raw Data'!H1029</f>
        <v>0.0921099630498891</v>
      </c>
      <c r="E1032" s="15" t="n">
        <f aca="false">'Raw Data'!I1029</f>
        <v>0.092109963049889</v>
      </c>
      <c r="F1032" s="17" t="b">
        <f aca="false">'Raw Data'!S1029</f>
        <v>0</v>
      </c>
    </row>
    <row r="1033" customFormat="false" ht="15" hidden="false" customHeight="true" outlineLevel="0" collapsed="false">
      <c r="A1033" s="12" t="n">
        <f aca="false">'Raw Data'!A1030</f>
        <v>42666</v>
      </c>
      <c r="B1033" s="32" t="n">
        <f aca="false">'Raw Data'!E1030</f>
        <v>42.7644402475275</v>
      </c>
      <c r="C1033" s="32" t="n">
        <f aca="false">'Raw Data'!F1030</f>
        <v>39.0550931947797</v>
      </c>
      <c r="D1033" s="15" t="n">
        <f aca="false">'Raw Data'!H1030</f>
        <v>0.0867390530842325</v>
      </c>
      <c r="E1033" s="15" t="n">
        <f aca="false">'Raw Data'!I1030</f>
        <v>0.0867390530842325</v>
      </c>
      <c r="F1033" s="17" t="b">
        <f aca="false">'Raw Data'!S1030</f>
        <v>0</v>
      </c>
    </row>
    <row r="1034" customFormat="false" ht="15" hidden="false" customHeight="true" outlineLevel="0" collapsed="false">
      <c r="A1034" s="12" t="n">
        <f aca="false">'Raw Data'!A1031</f>
        <v>42667</v>
      </c>
      <c r="B1034" s="32" t="n">
        <f aca="false">'Raw Data'!E1031</f>
        <v>42.693163309856</v>
      </c>
      <c r="C1034" s="32" t="n">
        <f aca="false">'Raw Data'!F1031</f>
        <v>38.667764590596</v>
      </c>
      <c r="D1034" s="15" t="n">
        <f aca="false">'Raw Data'!H1031</f>
        <v>0.0942867290025973</v>
      </c>
      <c r="E1034" s="15" t="n">
        <f aca="false">'Raw Data'!I1031</f>
        <v>0.0942867290025974</v>
      </c>
      <c r="F1034" s="17" t="b">
        <f aca="false">'Raw Data'!S1031</f>
        <v>0</v>
      </c>
    </row>
    <row r="1035" customFormat="false" ht="15" hidden="false" customHeight="true" outlineLevel="0" collapsed="false">
      <c r="A1035" s="12" t="n">
        <f aca="false">'Raw Data'!A1032</f>
        <v>42668</v>
      </c>
      <c r="B1035" s="32" t="n">
        <f aca="false">'Raw Data'!E1032</f>
        <v>42.6684799554093</v>
      </c>
      <c r="C1035" s="32" t="n">
        <f aca="false">'Raw Data'!F1032</f>
        <v>38.4562188107962</v>
      </c>
      <c r="D1035" s="15" t="n">
        <f aca="false">'Raw Data'!H1032</f>
        <v>0.0987206750513528</v>
      </c>
      <c r="E1035" s="15" t="n">
        <f aca="false">'Raw Data'!I1032</f>
        <v>0.0987206750513528</v>
      </c>
      <c r="F1035" s="17" t="b">
        <f aca="false">'Raw Data'!S1032</f>
        <v>0</v>
      </c>
    </row>
    <row r="1036" customFormat="false" ht="15" hidden="false" customHeight="true" outlineLevel="0" collapsed="false">
      <c r="A1036" s="12" t="n">
        <f aca="false">'Raw Data'!A1033</f>
        <v>42669</v>
      </c>
      <c r="B1036" s="32" t="n">
        <f aca="false">'Raw Data'!E1033</f>
        <v>42.6051402172872</v>
      </c>
      <c r="C1036" s="32" t="n">
        <f aca="false">'Raw Data'!F1033</f>
        <v>38.2419047638773</v>
      </c>
      <c r="D1036" s="15" t="n">
        <f aca="false">'Raw Data'!H1033</f>
        <v>0.102411010294939</v>
      </c>
      <c r="E1036" s="15" t="n">
        <f aca="false">'Raw Data'!I1033</f>
        <v>0.102411010294939</v>
      </c>
      <c r="F1036" s="17" t="b">
        <f aca="false">'Raw Data'!S1033</f>
        <v>0</v>
      </c>
    </row>
    <row r="1037" customFormat="false" ht="15" hidden="false" customHeight="true" outlineLevel="0" collapsed="false">
      <c r="A1037" s="12" t="n">
        <f aca="false">'Raw Data'!A1034</f>
        <v>42670</v>
      </c>
      <c r="B1037" s="32" t="n">
        <f aca="false">'Raw Data'!E1034</f>
        <v>42.7010487512331</v>
      </c>
      <c r="C1037" s="32" t="n">
        <f aca="false">'Raw Data'!F1034</f>
        <v>38.3468106410096</v>
      </c>
      <c r="D1037" s="15" t="n">
        <f aca="false">'Raw Data'!H1034</f>
        <v>0.101970284982703</v>
      </c>
      <c r="E1037" s="15" t="n">
        <f aca="false">'Raw Data'!I1034</f>
        <v>0.101970284982703</v>
      </c>
      <c r="F1037" s="17" t="b">
        <f aca="false">'Raw Data'!S1034</f>
        <v>0</v>
      </c>
    </row>
    <row r="1038" customFormat="false" ht="15" hidden="false" customHeight="true" outlineLevel="0" collapsed="false">
      <c r="A1038" s="12" t="n">
        <f aca="false">'Raw Data'!A1035</f>
        <v>42671</v>
      </c>
      <c r="B1038" s="32" t="n">
        <f aca="false">'Raw Data'!E1035</f>
        <v>42.663753422847</v>
      </c>
      <c r="C1038" s="32" t="n">
        <f aca="false">'Raw Data'!F1035</f>
        <v>38.5271099896449</v>
      </c>
      <c r="D1038" s="15" t="n">
        <f aca="false">'Raw Data'!H1035</f>
        <v>0.0969592007576827</v>
      </c>
      <c r="E1038" s="15" t="n">
        <f aca="false">'Raw Data'!I1035</f>
        <v>0.0969592007576827</v>
      </c>
      <c r="F1038" s="17" t="b">
        <f aca="false">'Raw Data'!S1035</f>
        <v>0</v>
      </c>
    </row>
    <row r="1039" customFormat="false" ht="15" hidden="false" customHeight="true" outlineLevel="0" collapsed="false">
      <c r="A1039" s="12" t="n">
        <f aca="false">'Raw Data'!A1036</f>
        <v>42672</v>
      </c>
      <c r="B1039" s="32" t="n">
        <f aca="false">'Raw Data'!E1036</f>
        <v>42.6726375784188</v>
      </c>
      <c r="C1039" s="32" t="n">
        <f aca="false">'Raw Data'!F1036</f>
        <v>38.6438532000599</v>
      </c>
      <c r="D1039" s="15" t="n">
        <f aca="false">'Raw Data'!H1036</f>
        <v>0.0944114216271564</v>
      </c>
      <c r="E1039" s="15" t="n">
        <f aca="false">'Raw Data'!I1036</f>
        <v>0.0944114216271562</v>
      </c>
      <c r="F1039" s="17" t="b">
        <f aca="false">'Raw Data'!S1036</f>
        <v>0</v>
      </c>
    </row>
    <row r="1040" customFormat="false" ht="15" hidden="false" customHeight="true" outlineLevel="0" collapsed="false">
      <c r="A1040" s="12" t="n">
        <f aca="false">'Raw Data'!A1037</f>
        <v>42673</v>
      </c>
      <c r="B1040" s="32" t="n">
        <f aca="false">'Raw Data'!E1037</f>
        <v>42.6808075151235</v>
      </c>
      <c r="C1040" s="32" t="n">
        <f aca="false">'Raw Data'!F1037</f>
        <v>38.706522676476</v>
      </c>
      <c r="D1040" s="15" t="n">
        <f aca="false">'Raw Data'!H1037</f>
        <v>0.0931164396840246</v>
      </c>
      <c r="E1040" s="15" t="n">
        <f aca="false">'Raw Data'!I1037</f>
        <v>0.0931164396840245</v>
      </c>
      <c r="F1040" s="17" t="b">
        <f aca="false">'Raw Data'!S1037</f>
        <v>0</v>
      </c>
    </row>
    <row r="1041" customFormat="false" ht="15" hidden="false" customHeight="true" outlineLevel="0" collapsed="false">
      <c r="A1041" s="12" t="n">
        <f aca="false">'Raw Data'!A1038</f>
        <v>42674</v>
      </c>
      <c r="B1041" s="32" t="n">
        <f aca="false">'Raw Data'!E1038</f>
        <v>42.7215350883712</v>
      </c>
      <c r="C1041" s="32" t="n">
        <f aca="false">'Raw Data'!F1038</f>
        <v>38.0208366920084</v>
      </c>
      <c r="D1041" s="15" t="n">
        <f aca="false">'Raw Data'!H1038</f>
        <v>0.110031120994112</v>
      </c>
      <c r="E1041" s="15" t="n">
        <f aca="false">'Raw Data'!I1038</f>
        <v>0.110031120994112</v>
      </c>
      <c r="F1041" s="17" t="b">
        <f aca="false">'Raw Data'!S1038</f>
        <v>0</v>
      </c>
    </row>
    <row r="1042" customFormat="false" ht="15" hidden="false" customHeight="true" outlineLevel="0" collapsed="false">
      <c r="A1042" s="12" t="n">
        <f aca="false">'Raw Data'!A1039</f>
        <v>42675</v>
      </c>
      <c r="B1042" s="32" t="n">
        <f aca="false">'Raw Data'!E1039</f>
        <v>42.7311242608541</v>
      </c>
      <c r="C1042" s="32" t="n">
        <f aca="false">'Raw Data'!F1039</f>
        <v>37.2597586326294</v>
      </c>
      <c r="D1042" s="15" t="n">
        <f aca="false">'Raw Data'!H1039</f>
        <v>0.128041696137561</v>
      </c>
      <c r="E1042" s="15" t="n">
        <f aca="false">'Raw Data'!I1039</f>
        <v>0.128041696137561</v>
      </c>
      <c r="F1042" s="17" t="b">
        <f aca="false">'Raw Data'!S1039</f>
        <v>0</v>
      </c>
    </row>
    <row r="1043" customFormat="false" ht="15" hidden="false" customHeight="true" outlineLevel="0" collapsed="false">
      <c r="A1043" s="12" t="n">
        <f aca="false">'Raw Data'!A1040</f>
        <v>42676</v>
      </c>
      <c r="B1043" s="32" t="n">
        <f aca="false">'Raw Data'!E1040</f>
        <v>42.713768411139</v>
      </c>
      <c r="C1043" s="32" t="n">
        <f aca="false">'Raw Data'!F1040</f>
        <v>37.742502278336</v>
      </c>
      <c r="D1043" s="15" t="n">
        <f aca="false">'Raw Data'!H1040</f>
        <v>0.11638556647478</v>
      </c>
      <c r="E1043" s="15" t="n">
        <f aca="false">'Raw Data'!I1040</f>
        <v>0.11638556647478</v>
      </c>
      <c r="F1043" s="17" t="b">
        <f aca="false">'Raw Data'!S1040</f>
        <v>0</v>
      </c>
    </row>
    <row r="1044" customFormat="false" ht="15" hidden="false" customHeight="true" outlineLevel="0" collapsed="false">
      <c r="A1044" s="12" t="n">
        <f aca="false">'Raw Data'!A1041</f>
        <v>42677</v>
      </c>
      <c r="B1044" s="32" t="n">
        <f aca="false">'Raw Data'!E1041</f>
        <v>42.8239231555568</v>
      </c>
      <c r="C1044" s="32" t="n">
        <f aca="false">'Raw Data'!F1041</f>
        <v>39.4587007793553</v>
      </c>
      <c r="D1044" s="15" t="n">
        <f aca="false">'Raw Data'!H1041</f>
        <v>0.078582767019672</v>
      </c>
      <c r="E1044" s="15" t="n">
        <f aca="false">'Raw Data'!I1041</f>
        <v>0.0785827670196721</v>
      </c>
      <c r="F1044" s="17" t="b">
        <f aca="false">'Raw Data'!S1041</f>
        <v>0</v>
      </c>
    </row>
    <row r="1045" customFormat="false" ht="15" hidden="false" customHeight="true" outlineLevel="0" collapsed="false">
      <c r="A1045" s="12" t="n">
        <f aca="false">'Raw Data'!A1042</f>
        <v>42678</v>
      </c>
      <c r="B1045" s="32" t="n">
        <f aca="false">'Raw Data'!E1042</f>
        <v>42.7499404070432</v>
      </c>
      <c r="C1045" s="32" t="n">
        <f aca="false">'Raw Data'!F1042</f>
        <v>39.7855739269691</v>
      </c>
      <c r="D1045" s="15" t="n">
        <f aca="false">'Raw Data'!H1042</f>
        <v>0.0693420026285165</v>
      </c>
      <c r="E1045" s="15" t="n">
        <f aca="false">'Raw Data'!I1042</f>
        <v>0.0693420026285165</v>
      </c>
      <c r="F1045" s="17" t="b">
        <f aca="false">'Raw Data'!S1042</f>
        <v>0</v>
      </c>
    </row>
    <row r="1046" customFormat="false" ht="15" hidden="false" customHeight="true" outlineLevel="0" collapsed="false">
      <c r="A1046" s="12" t="n">
        <f aca="false">'Raw Data'!A1043</f>
        <v>42679</v>
      </c>
      <c r="B1046" s="32" t="n">
        <f aca="false">'Raw Data'!E1043</f>
        <v>42.8003012665535</v>
      </c>
      <c r="C1046" s="32" t="n">
        <f aca="false">'Raw Data'!F1043</f>
        <v>40.1259944359638</v>
      </c>
      <c r="D1046" s="15" t="n">
        <f aca="false">'Raw Data'!H1043</f>
        <v>0.0624833646364901</v>
      </c>
      <c r="E1046" s="15" t="n">
        <f aca="false">'Raw Data'!I1043</f>
        <v>0.06248336463649</v>
      </c>
      <c r="F1046" s="17" t="b">
        <f aca="false">'Raw Data'!S1043</f>
        <v>0</v>
      </c>
    </row>
    <row r="1047" customFormat="false" ht="15" hidden="false" customHeight="true" outlineLevel="0" collapsed="false">
      <c r="A1047" s="12" t="n">
        <f aca="false">'Raw Data'!A1044</f>
        <v>42680</v>
      </c>
      <c r="B1047" s="32" t="n">
        <f aca="false">'Raw Data'!E1044</f>
        <v>42.750886895397</v>
      </c>
      <c r="C1047" s="32" t="n">
        <f aca="false">'Raw Data'!F1044</f>
        <v>40.3035742120489</v>
      </c>
      <c r="D1047" s="15" t="n">
        <f aca="false">'Raw Data'!H1044</f>
        <v>0.0572458926837272</v>
      </c>
      <c r="E1047" s="15" t="n">
        <f aca="false">'Raw Data'!I1044</f>
        <v>0.0572458926837273</v>
      </c>
      <c r="F1047" s="17" t="b">
        <f aca="false">'Raw Data'!S1044</f>
        <v>0</v>
      </c>
    </row>
    <row r="1048" customFormat="false" ht="15" hidden="false" customHeight="true" outlineLevel="0" collapsed="false">
      <c r="A1048" s="12" t="n">
        <f aca="false">'Raw Data'!A1045</f>
        <v>42681</v>
      </c>
      <c r="B1048" s="32" t="n">
        <f aca="false">'Raw Data'!E1045</f>
        <v>42.9364277211952</v>
      </c>
      <c r="C1048" s="32" t="n">
        <f aca="false">'Raw Data'!F1045</f>
        <v>40.4343695071777</v>
      </c>
      <c r="D1048" s="15" t="n">
        <f aca="false">'Raw Data'!H1045</f>
        <v>0.0582735534093431</v>
      </c>
      <c r="E1048" s="15" t="n">
        <f aca="false">'Raw Data'!I1045</f>
        <v>0.0582735534093431</v>
      </c>
      <c r="F1048" s="17" t="b">
        <f aca="false">'Raw Data'!S1045</f>
        <v>0</v>
      </c>
    </row>
    <row r="1049" customFormat="false" ht="15" hidden="false" customHeight="true" outlineLevel="0" collapsed="false">
      <c r="A1049" s="12" t="n">
        <f aca="false">'Raw Data'!A1046</f>
        <v>42682</v>
      </c>
      <c r="B1049" s="32" t="n">
        <f aca="false">'Raw Data'!E1046</f>
        <v>42.9217983720085</v>
      </c>
      <c r="C1049" s="32" t="n">
        <f aca="false">'Raw Data'!F1046</f>
        <v>40.4495853436258</v>
      </c>
      <c r="D1049" s="15" t="n">
        <f aca="false">'Raw Data'!H1046</f>
        <v>0.0575980765520515</v>
      </c>
      <c r="E1049" s="15" t="n">
        <f aca="false">'Raw Data'!I1046</f>
        <v>0.0575980765520515</v>
      </c>
      <c r="F1049" s="17" t="b">
        <f aca="false">'Raw Data'!S1046</f>
        <v>0</v>
      </c>
    </row>
    <row r="1050" customFormat="false" ht="15" hidden="false" customHeight="true" outlineLevel="0" collapsed="false">
      <c r="A1050" s="12" t="n">
        <f aca="false">'Raw Data'!A1047</f>
        <v>42683</v>
      </c>
      <c r="B1050" s="32" t="n">
        <f aca="false">'Raw Data'!E1047</f>
        <v>42.9509146093692</v>
      </c>
      <c r="C1050" s="32" t="n">
        <f aca="false">'Raw Data'!F1047</f>
        <v>40.5479540104947</v>
      </c>
      <c r="D1050" s="15" t="n">
        <f aca="false">'Raw Data'!H1047</f>
        <v>0.0559466689063315</v>
      </c>
      <c r="E1050" s="15" t="n">
        <f aca="false">'Raw Data'!I1047</f>
        <v>0.0559466689063315</v>
      </c>
      <c r="F1050" s="17" t="b">
        <f aca="false">'Raw Data'!S1047</f>
        <v>0</v>
      </c>
    </row>
    <row r="1051" customFormat="false" ht="15" hidden="false" customHeight="true" outlineLevel="0" collapsed="false">
      <c r="A1051" s="12" t="n">
        <f aca="false">'Raw Data'!A1048</f>
        <v>42684</v>
      </c>
      <c r="B1051" s="32" t="n">
        <f aca="false">'Raw Data'!E1048</f>
        <v>42.9346714551264</v>
      </c>
      <c r="C1051" s="32" t="n">
        <f aca="false">'Raw Data'!F1048</f>
        <v>40.5469693704039</v>
      </c>
      <c r="D1051" s="15" t="n">
        <f aca="false">'Raw Data'!H1048</f>
        <v>0.0556124456948031</v>
      </c>
      <c r="E1051" s="15" t="n">
        <f aca="false">'Raw Data'!I1048</f>
        <v>0.0556124456948031</v>
      </c>
      <c r="F1051" s="17" t="b">
        <f aca="false">'Raw Data'!S1048</f>
        <v>0</v>
      </c>
    </row>
    <row r="1052" customFormat="false" ht="15" hidden="false" customHeight="true" outlineLevel="0" collapsed="false">
      <c r="A1052" s="12" t="n">
        <f aca="false">'Raw Data'!A1049</f>
        <v>42685</v>
      </c>
      <c r="B1052" s="32" t="n">
        <f aca="false">'Raw Data'!E1049</f>
        <v>42.9398616902548</v>
      </c>
      <c r="C1052" s="32" t="n">
        <f aca="false">'Raw Data'!F1049</f>
        <v>40.703152971513</v>
      </c>
      <c r="D1052" s="15" t="n">
        <f aca="false">'Raw Data'!H1049</f>
        <v>0.0520893321659075</v>
      </c>
      <c r="E1052" s="15" t="n">
        <f aca="false">'Raw Data'!I1049</f>
        <v>0.0520893321659076</v>
      </c>
      <c r="F1052" s="17" t="b">
        <f aca="false">'Raw Data'!S1049</f>
        <v>0</v>
      </c>
    </row>
    <row r="1053" customFormat="false" ht="15" hidden="false" customHeight="true" outlineLevel="0" collapsed="false">
      <c r="A1053" s="12" t="n">
        <f aca="false">'Raw Data'!A1050</f>
        <v>42686</v>
      </c>
      <c r="B1053" s="32" t="n">
        <f aca="false">'Raw Data'!E1050</f>
        <v>42.9349062298113</v>
      </c>
      <c r="C1053" s="32" t="n">
        <f aca="false">'Raw Data'!F1050</f>
        <v>40.6617615076528</v>
      </c>
      <c r="D1053" s="15" t="n">
        <f aca="false">'Raw Data'!H1050</f>
        <v>0.0529439777972586</v>
      </c>
      <c r="E1053" s="15" t="n">
        <f aca="false">'Raw Data'!I1050</f>
        <v>0.0529439777972585</v>
      </c>
      <c r="F1053" s="17" t="b">
        <f aca="false">'Raw Data'!S1050</f>
        <v>0</v>
      </c>
    </row>
    <row r="1054" customFormat="false" ht="15" hidden="false" customHeight="true" outlineLevel="0" collapsed="false">
      <c r="A1054" s="12" t="n">
        <f aca="false">'Raw Data'!A1051</f>
        <v>42687</v>
      </c>
      <c r="B1054" s="32" t="n">
        <f aca="false">'Raw Data'!E1051</f>
        <v>42.9402819146851</v>
      </c>
      <c r="C1054" s="32" t="n">
        <f aca="false">'Raw Data'!F1051</f>
        <v>40.8209596270379</v>
      </c>
      <c r="D1054" s="15" t="n">
        <f aca="false">'Raw Data'!H1051</f>
        <v>0.0493551088429746</v>
      </c>
      <c r="E1054" s="15" t="n">
        <f aca="false">'Raw Data'!I1051</f>
        <v>0.0493551088429745</v>
      </c>
      <c r="F1054" s="17" t="b">
        <f aca="false">'Raw Data'!S1051</f>
        <v>0</v>
      </c>
    </row>
    <row r="1055" customFormat="false" ht="15" hidden="false" customHeight="true" outlineLevel="0" collapsed="false">
      <c r="A1055" s="12" t="n">
        <f aca="false">'Raw Data'!A1052</f>
        <v>42688</v>
      </c>
      <c r="B1055" s="32" t="n">
        <f aca="false">'Raw Data'!E1052</f>
        <v>42.9297427587397</v>
      </c>
      <c r="C1055" s="32" t="n">
        <f aca="false">'Raw Data'!F1052</f>
        <v>40.6003269924278</v>
      </c>
      <c r="D1055" s="15" t="n">
        <f aca="false">'Raw Data'!H1052</f>
        <v>0.0542611163407842</v>
      </c>
      <c r="E1055" s="15" t="n">
        <f aca="false">'Raw Data'!I1052</f>
        <v>0.0542611163407842</v>
      </c>
      <c r="F1055" s="17" t="b">
        <f aca="false">'Raw Data'!S1052</f>
        <v>0</v>
      </c>
    </row>
    <row r="1056" customFormat="false" ht="15" hidden="false" customHeight="true" outlineLevel="0" collapsed="false">
      <c r="A1056" s="12" t="n">
        <f aca="false">'Raw Data'!A1053</f>
        <v>42689</v>
      </c>
      <c r="B1056" s="32" t="n">
        <f aca="false">'Raw Data'!E1053</f>
        <v>43.7914419876525</v>
      </c>
      <c r="C1056" s="32" t="n">
        <f aca="false">'Raw Data'!F1053</f>
        <v>40.3962423339755</v>
      </c>
      <c r="D1056" s="15" t="n">
        <f aca="false">'Raw Data'!H1053</f>
        <v>0.0775311225109767</v>
      </c>
      <c r="E1056" s="15" t="n">
        <f aca="false">'Raw Data'!I1053</f>
        <v>0.0775311225109767</v>
      </c>
      <c r="F1056" s="17" t="b">
        <f aca="false">'Raw Data'!S1053</f>
        <v>0</v>
      </c>
    </row>
    <row r="1057" customFormat="false" ht="15" hidden="false" customHeight="true" outlineLevel="0" collapsed="false">
      <c r="A1057" s="12" t="n">
        <f aca="false">'Raw Data'!A1054</f>
        <v>42690</v>
      </c>
      <c r="B1057" s="32" t="n">
        <f aca="false">'Raw Data'!E1054</f>
        <v>43.8059965316163</v>
      </c>
      <c r="C1057" s="32" t="n">
        <f aca="false">'Raw Data'!F1054</f>
        <v>40.5155246750836</v>
      </c>
      <c r="D1057" s="15" t="n">
        <f aca="false">'Raw Data'!H1054</f>
        <v>0.0751146445021035</v>
      </c>
      <c r="E1057" s="15" t="n">
        <f aca="false">'Raw Data'!I1054</f>
        <v>0.0751146445021034</v>
      </c>
      <c r="F1057" s="17" t="b">
        <f aca="false">'Raw Data'!S1054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18"/>
  </cols>
  <sheetData>
    <row r="1" customFormat="false" ht="19.5" hidden="false" customHeight="true" outlineLevel="0" collapsed="false">
      <c r="A1" s="18" t="s">
        <v>76</v>
      </c>
      <c r="B1" s="18"/>
      <c r="C1" s="18"/>
      <c r="D1" s="18"/>
      <c r="E1" s="18"/>
      <c r="F1" s="18"/>
      <c r="G1" s="18"/>
    </row>
    <row r="2" customFormat="false" ht="15" hidden="false" customHeight="true" outlineLevel="0" collapsed="false">
      <c r="A2" s="19" t="s">
        <v>77</v>
      </c>
      <c r="B2" s="19"/>
      <c r="C2" s="19"/>
      <c r="D2" s="19"/>
      <c r="E2" s="19"/>
      <c r="F2" s="19"/>
      <c r="G2" s="19"/>
    </row>
    <row r="4" customFormat="false" ht="27.75" hidden="false" customHeight="true" outlineLevel="0" collapsed="false">
      <c r="A4" s="33" t="s">
        <v>78</v>
      </c>
      <c r="B4" s="33" t="s">
        <v>48</v>
      </c>
      <c r="C4" s="33" t="s">
        <v>79</v>
      </c>
      <c r="D4" s="33" t="s">
        <v>54</v>
      </c>
      <c r="E4" s="33" t="s">
        <v>80</v>
      </c>
      <c r="F4" s="33" t="s">
        <v>81</v>
      </c>
    </row>
    <row r="5" customFormat="false" ht="15" hidden="false" customHeight="true" outlineLevel="0" collapsed="false">
      <c r="A5" s="34" t="s">
        <v>82</v>
      </c>
      <c r="B5" s="25" t="n">
        <f aca="false">SUMIFS('Raw Data'!$B$2:$B$1054,'Raw Data'!$J$2:$J$1054,2013,'Raw Data'!$K$2:$K$1054,12)</f>
        <v>524283.452433713</v>
      </c>
      <c r="C5" s="25" t="n">
        <f aca="false">SUMIFS('Raw Data'!$D$2:$D$1054,'Raw Data'!$J$2:$J$1054,2013,'Raw Data'!$K$2:$K$1054,12)</f>
        <v>16095</v>
      </c>
      <c r="D5" s="25" t="n">
        <f aca="false">SUMIFS('Raw Data'!$G$2:$G$1054,'Raw Data'!$J$2:$J$1054,2013,'Raw Data'!$K$2:$K$1054,12)</f>
        <v>-12782.289063019</v>
      </c>
      <c r="E5" s="30" t="n">
        <f aca="false">D5/B5</f>
        <v>-0.0243804930399461</v>
      </c>
      <c r="F5" s="28" t="n">
        <f aca="false">AVERAGEIFS('Raw Data'!$E$2:$E$1054,'Raw Data'!$J$2:$J$1054,2013,'Raw Data'!$K$2:$K$1054,12)</f>
        <v>32.6042660000364</v>
      </c>
    </row>
    <row r="6" customFormat="false" ht="15" hidden="false" customHeight="true" outlineLevel="0" collapsed="false">
      <c r="A6" s="22" t="s">
        <v>83</v>
      </c>
      <c r="B6" s="26" t="n">
        <f aca="false">SUMIFS('Raw Data'!$B$2:$B$1054,'Raw Data'!$J$2:$J$1054,2014,'Raw Data'!$K$2:$K$1054,1)</f>
        <v>4008180.48884024</v>
      </c>
      <c r="C6" s="26" t="n">
        <f aca="false">SUMIFS('Raw Data'!$D$2:$D$1054,'Raw Data'!$J$2:$J$1054,2014,'Raw Data'!$K$2:$K$1054,1)</f>
        <v>119965</v>
      </c>
      <c r="D6" s="26" t="n">
        <f aca="false">SUMIFS('Raw Data'!$G$2:$G$1054,'Raw Data'!$J$2:$J$1054,2014,'Raw Data'!$K$2:$K$1054,1)</f>
        <v>12460.6454033405</v>
      </c>
      <c r="E6" s="27" t="n">
        <f aca="false">D6/B6</f>
        <v>0.00310880346781639</v>
      </c>
      <c r="F6" s="29" t="n">
        <f aca="false">AVERAGEIFS('Raw Data'!$E$2:$E$1054,'Raw Data'!$J$2:$J$1054,2014,'Raw Data'!$K$2:$K$1054,1)</f>
        <v>33.7392638528091</v>
      </c>
    </row>
    <row r="7" customFormat="false" ht="15" hidden="false" customHeight="true" outlineLevel="0" collapsed="false">
      <c r="A7" s="34" t="s">
        <v>84</v>
      </c>
      <c r="B7" s="25" t="n">
        <f aca="false">SUMIFS('Raw Data'!$B$2:$B$1054,'Raw Data'!$J$2:$J$1054,2014,'Raw Data'!$K$2:$K$1054,2)</f>
        <v>5780487.17532102</v>
      </c>
      <c r="C7" s="25" t="n">
        <f aca="false">SUMIFS('Raw Data'!$D$2:$D$1054,'Raw Data'!$J$2:$J$1054,2014,'Raw Data'!$K$2:$K$1054,2)</f>
        <v>178035</v>
      </c>
      <c r="D7" s="25" t="n">
        <f aca="false">SUMIFS('Raw Data'!$G$2:$G$1054,'Raw Data'!$J$2:$J$1054,2014,'Raw Data'!$K$2:$K$1054,2)</f>
        <v>-132991.385551814</v>
      </c>
      <c r="E7" s="30" t="n">
        <f aca="false">D7/B7</f>
        <v>-0.0230069510610804</v>
      </c>
      <c r="F7" s="28" t="n">
        <f aca="false">AVERAGEIFS('Raw Data'!$E$2:$E$1054,'Raw Data'!$J$2:$J$1054,2014,'Raw Data'!$K$2:$K$1054,2)</f>
        <v>32.7664521886821</v>
      </c>
    </row>
    <row r="8" customFormat="false" ht="15" hidden="false" customHeight="true" outlineLevel="0" collapsed="false">
      <c r="A8" s="22" t="s">
        <v>85</v>
      </c>
      <c r="B8" s="26" t="n">
        <f aca="false">SUMIFS('Raw Data'!$B$2:$B$1054,'Raw Data'!$J$2:$J$1054,2014,'Raw Data'!$K$2:$K$1054,3)</f>
        <v>8279517.17612846</v>
      </c>
      <c r="C8" s="26" t="n">
        <f aca="false">SUMIFS('Raw Data'!$D$2:$D$1054,'Raw Data'!$J$2:$J$1054,2014,'Raw Data'!$K$2:$K$1054,3)</f>
        <v>252836</v>
      </c>
      <c r="D8" s="26" t="n">
        <f aca="false">SUMIFS('Raw Data'!$G$2:$G$1054,'Raw Data'!$J$2:$J$1054,2014,'Raw Data'!$K$2:$K$1054,3)</f>
        <v>-136136.843264401</v>
      </c>
      <c r="E8" s="27" t="n">
        <f aca="false">D8/B8</f>
        <v>-0.0164426065395349</v>
      </c>
      <c r="F8" s="29" t="n">
        <f aca="false">AVERAGEIFS('Raw Data'!$E$2:$E$1054,'Raw Data'!$J$2:$J$1054,2014,'Raw Data'!$K$2:$K$1054,3)</f>
        <v>33.2804783824384</v>
      </c>
    </row>
    <row r="9" customFormat="false" ht="15" hidden="false" customHeight="true" outlineLevel="0" collapsed="false">
      <c r="A9" s="34" t="s">
        <v>86</v>
      </c>
      <c r="B9" s="25" t="n">
        <f aca="false">SUMIFS('Raw Data'!$B$2:$B$1054,'Raw Data'!$J$2:$J$1054,2014,'Raw Data'!$K$2:$K$1054,4)</f>
        <v>6435743.27385559</v>
      </c>
      <c r="C9" s="25" t="n">
        <f aca="false">SUMIFS('Raw Data'!$D$2:$D$1054,'Raw Data'!$J$2:$J$1054,2014,'Raw Data'!$K$2:$K$1054,4)</f>
        <v>190091</v>
      </c>
      <c r="D9" s="25" t="n">
        <f aca="false">SUMIFS('Raw Data'!$G$2:$G$1054,'Raw Data'!$J$2:$J$1054,2014,'Raw Data'!$K$2:$K$1054,4)</f>
        <v>-43900.3512910212</v>
      </c>
      <c r="E9" s="30" t="n">
        <f aca="false">D9/B9</f>
        <v>-0.006821333515487</v>
      </c>
      <c r="F9" s="28" t="n">
        <f aca="false">AVERAGEIFS('Raw Data'!$E$2:$E$1054,'Raw Data'!$J$2:$J$1054,2014,'Raw Data'!$K$2:$K$1054,4)</f>
        <v>34.0621782565667</v>
      </c>
    </row>
    <row r="10" customFormat="false" ht="15" hidden="false" customHeight="true" outlineLevel="0" collapsed="false">
      <c r="A10" s="22" t="s">
        <v>87</v>
      </c>
      <c r="B10" s="26" t="n">
        <f aca="false">SUMIFS('Raw Data'!$B$2:$B$1054,'Raw Data'!$J$2:$J$1054,2014,'Raw Data'!$K$2:$K$1054,5)</f>
        <v>7694906.15369268</v>
      </c>
      <c r="C10" s="26" t="n">
        <f aca="false">SUMIFS('Raw Data'!$D$2:$D$1054,'Raw Data'!$J$2:$J$1054,2014,'Raw Data'!$K$2:$K$1054,5)</f>
        <v>235793</v>
      </c>
      <c r="D10" s="26" t="n">
        <f aca="false">SUMIFS('Raw Data'!$G$2:$G$1054,'Raw Data'!$J$2:$J$1054,2014,'Raw Data'!$K$2:$K$1054,5)</f>
        <v>-322334.263607428</v>
      </c>
      <c r="E10" s="27" t="n">
        <f aca="false">D10/B10</f>
        <v>-0.041889304062889</v>
      </c>
      <c r="F10" s="29" t="n">
        <f aca="false">AVERAGEIFS('Raw Data'!$E$2:$E$1054,'Raw Data'!$J$2:$J$1054,2014,'Raw Data'!$K$2:$K$1054,5)</f>
        <v>33.1141916739377</v>
      </c>
    </row>
    <row r="11" customFormat="false" ht="15" hidden="false" customHeight="true" outlineLevel="0" collapsed="false">
      <c r="A11" s="34" t="s">
        <v>88</v>
      </c>
      <c r="B11" s="25" t="n">
        <f aca="false">SUMIFS('Raw Data'!$B$2:$B$1054,'Raw Data'!$J$2:$J$1054,2014,'Raw Data'!$K$2:$K$1054,6)</f>
        <v>6456943.64663631</v>
      </c>
      <c r="C11" s="25" t="n">
        <f aca="false">SUMIFS('Raw Data'!$D$2:$D$1054,'Raw Data'!$J$2:$J$1054,2014,'Raw Data'!$K$2:$K$1054,6)</f>
        <v>198857</v>
      </c>
      <c r="D11" s="25" t="n">
        <f aca="false">SUMIFS('Raw Data'!$G$2:$G$1054,'Raw Data'!$J$2:$J$1054,2014,'Raw Data'!$K$2:$K$1054,6)</f>
        <v>-188900.01037013</v>
      </c>
      <c r="E11" s="30" t="n">
        <f aca="false">D11/B11</f>
        <v>-0.0292553289463097</v>
      </c>
      <c r="F11" s="28" t="n">
        <f aca="false">AVERAGEIFS('Raw Data'!$E$2:$E$1054,'Raw Data'!$J$2:$J$1054,2014,'Raw Data'!$K$2:$K$1054,6)</f>
        <v>32.9438788895769</v>
      </c>
    </row>
    <row r="12" customFormat="false" ht="15" hidden="false" customHeight="true" outlineLevel="0" collapsed="false">
      <c r="A12" s="22" t="s">
        <v>89</v>
      </c>
      <c r="B12" s="26" t="n">
        <f aca="false">SUMIFS('Raw Data'!$B$2:$B$1054,'Raw Data'!$J$2:$J$1054,2014,'Raw Data'!$K$2:$K$1054,7)</f>
        <v>4933710.80070922</v>
      </c>
      <c r="C12" s="26" t="n">
        <f aca="false">SUMIFS('Raw Data'!$D$2:$D$1054,'Raw Data'!$J$2:$J$1054,2014,'Raw Data'!$K$2:$K$1054,7)</f>
        <v>147449</v>
      </c>
      <c r="D12" s="26" t="n">
        <f aca="false">SUMIFS('Raw Data'!$G$2:$G$1054,'Raw Data'!$J$2:$J$1054,2014,'Raw Data'!$K$2:$K$1054,7)</f>
        <v>-71184.1012228084</v>
      </c>
      <c r="E12" s="27" t="n">
        <f aca="false">D12/B12</f>
        <v>-0.0144281057601868</v>
      </c>
      <c r="F12" s="29" t="n">
        <f aca="false">AVERAGEIFS('Raw Data'!$E$2:$E$1054,'Raw Data'!$J$2:$J$1054,2014,'Raw Data'!$K$2:$K$1054,7)</f>
        <v>34.2012544846443</v>
      </c>
    </row>
    <row r="13" customFormat="false" ht="15" hidden="false" customHeight="true" outlineLevel="0" collapsed="false">
      <c r="A13" s="34" t="s">
        <v>90</v>
      </c>
      <c r="B13" s="25" t="n">
        <f aca="false">SUMIFS('Raw Data'!$B$2:$B$1054,'Raw Data'!$J$2:$J$1054,2014,'Raw Data'!$K$2:$K$1054,8)</f>
        <v>10010378.2877578</v>
      </c>
      <c r="C13" s="25" t="n">
        <f aca="false">SUMIFS('Raw Data'!$D$2:$D$1054,'Raw Data'!$J$2:$J$1054,2014,'Raw Data'!$K$2:$K$1054,8)</f>
        <v>310572</v>
      </c>
      <c r="D13" s="25" t="n">
        <f aca="false">SUMIFS('Raw Data'!$G$2:$G$1054,'Raw Data'!$J$2:$J$1054,2014,'Raw Data'!$K$2:$K$1054,8)</f>
        <v>-514054.136966254</v>
      </c>
      <c r="E13" s="30" t="n">
        <f aca="false">D13/B13</f>
        <v>-0.0513521189898404</v>
      </c>
      <c r="F13" s="28" t="n">
        <f aca="false">AVERAGEIFS('Raw Data'!$E$2:$E$1054,'Raw Data'!$J$2:$J$1054,2014,'Raw Data'!$K$2:$K$1054,8)</f>
        <v>32.4956811034593</v>
      </c>
    </row>
    <row r="14" customFormat="false" ht="15" hidden="false" customHeight="true" outlineLevel="0" collapsed="false">
      <c r="A14" s="22" t="s">
        <v>91</v>
      </c>
      <c r="B14" s="26" t="n">
        <f aca="false">SUMIFS('Raw Data'!$B$2:$B$1054,'Raw Data'!$J$2:$J$1054,2014,'Raw Data'!$K$2:$K$1054,9)</f>
        <v>7643452.6856599</v>
      </c>
      <c r="C14" s="26" t="n">
        <f aca="false">SUMIFS('Raw Data'!$D$2:$D$1054,'Raw Data'!$J$2:$J$1054,2014,'Raw Data'!$K$2:$K$1054,9)</f>
        <v>237742</v>
      </c>
      <c r="D14" s="26" t="n">
        <f aca="false">SUMIFS('Raw Data'!$G$2:$G$1054,'Raw Data'!$J$2:$J$1054,2014,'Raw Data'!$K$2:$K$1054,9)</f>
        <v>-550107.353529807</v>
      </c>
      <c r="E14" s="27" t="n">
        <f aca="false">D14/B14</f>
        <v>-0.0719710549869536</v>
      </c>
      <c r="F14" s="29" t="n">
        <f aca="false">AVERAGEIFS('Raw Data'!$E$2:$E$1054,'Raw Data'!$J$2:$J$1054,2014,'Raw Data'!$K$2:$K$1054,9)</f>
        <v>33.2853616057228</v>
      </c>
    </row>
    <row r="15" customFormat="false" ht="15" hidden="false" customHeight="true" outlineLevel="0" collapsed="false">
      <c r="A15" s="34" t="s">
        <v>92</v>
      </c>
      <c r="B15" s="25" t="n">
        <f aca="false">SUMIFS('Raw Data'!$B$2:$B$1054,'Raw Data'!$J$2:$J$1054,2014,'Raw Data'!$K$2:$K$1054,10)</f>
        <v>5924683.38116296</v>
      </c>
      <c r="C15" s="25" t="n">
        <f aca="false">SUMIFS('Raw Data'!$D$2:$D$1054,'Raw Data'!$J$2:$J$1054,2014,'Raw Data'!$K$2:$K$1054,10)</f>
        <v>171709</v>
      </c>
      <c r="D15" s="25" t="n">
        <f aca="false">SUMIFS('Raw Data'!$G$2:$G$1054,'Raw Data'!$J$2:$J$1054,2014,'Raw Data'!$K$2:$K$1054,10)</f>
        <v>-113777.936146794</v>
      </c>
      <c r="E15" s="30" t="n">
        <f aca="false">D15/B15</f>
        <v>-0.0192040534197222</v>
      </c>
      <c r="F15" s="28" t="n">
        <f aca="false">AVERAGEIFS('Raw Data'!$E$2:$E$1054,'Raw Data'!$J$2:$J$1054,2014,'Raw Data'!$K$2:$K$1054,10)</f>
        <v>35.905736155851</v>
      </c>
    </row>
    <row r="16" customFormat="false" ht="15" hidden="false" customHeight="true" outlineLevel="0" collapsed="false">
      <c r="A16" s="22" t="s">
        <v>93</v>
      </c>
      <c r="B16" s="26" t="n">
        <f aca="false">SUMIFS('Raw Data'!$B$2:$B$1054,'Raw Data'!$J$2:$J$1054,2014,'Raw Data'!$K$2:$K$1054,11)</f>
        <v>2631353.34311266</v>
      </c>
      <c r="C16" s="26" t="n">
        <f aca="false">SUMIFS('Raw Data'!$D$2:$D$1054,'Raw Data'!$J$2:$J$1054,2014,'Raw Data'!$K$2:$K$1054,11)</f>
        <v>68569</v>
      </c>
      <c r="D16" s="26" t="n">
        <f aca="false">SUMIFS('Raw Data'!$G$2:$G$1054,'Raw Data'!$J$2:$J$1054,2014,'Raw Data'!$K$2:$K$1054,11)</f>
        <v>114228.507626264</v>
      </c>
      <c r="E16" s="27" t="n">
        <f aca="false">D16/B16</f>
        <v>0.0434105544681968</v>
      </c>
      <c r="F16" s="29" t="n">
        <f aca="false">AVERAGEIFS('Raw Data'!$E$2:$E$1054,'Raw Data'!$J$2:$J$1054,2014,'Raw Data'!$K$2:$K$1054,11)</f>
        <v>39.2577554062874</v>
      </c>
    </row>
    <row r="17" customFormat="false" ht="15" hidden="false" customHeight="true" outlineLevel="0" collapsed="false">
      <c r="A17" s="34" t="s">
        <v>94</v>
      </c>
      <c r="B17" s="25" t="n">
        <f aca="false">SUMIFS('Raw Data'!$B$2:$B$1054,'Raw Data'!$J$2:$J$1054,2014,'Raw Data'!$K$2:$K$1054,12)</f>
        <v>5615619.29882374</v>
      </c>
      <c r="C17" s="25" t="n">
        <f aca="false">SUMIFS('Raw Data'!$D$2:$D$1054,'Raw Data'!$J$2:$J$1054,2014,'Raw Data'!$K$2:$K$1054,12)</f>
        <v>142612</v>
      </c>
      <c r="D17" s="25" t="n">
        <f aca="false">SUMIFS('Raw Data'!$G$2:$G$1054,'Raw Data'!$J$2:$J$1054,2014,'Raw Data'!$K$2:$K$1054,12)</f>
        <v>-319176.760451671</v>
      </c>
      <c r="E17" s="30" t="n">
        <f aca="false">D17/B17</f>
        <v>-0.0568373216678927</v>
      </c>
      <c r="F17" s="28" t="n">
        <f aca="false">AVERAGEIFS('Raw Data'!$E$2:$E$1054,'Raw Data'!$J$2:$J$1054,2014,'Raw Data'!$K$2:$K$1054,12)</f>
        <v>39.6957710661723</v>
      </c>
    </row>
    <row r="18" customFormat="false" ht="15" hidden="false" customHeight="true" outlineLevel="0" collapsed="false">
      <c r="A18" s="22" t="s">
        <v>95</v>
      </c>
      <c r="B18" s="26" t="n">
        <f aca="false">SUMIFS('Raw Data'!$B$2:$B$1054,'Raw Data'!$J$2:$J$1054,2015,'Raw Data'!$K$2:$K$1054,1)</f>
        <v>3696191.50790871</v>
      </c>
      <c r="C18" s="26" t="n">
        <f aca="false">SUMIFS('Raw Data'!$D$2:$D$1054,'Raw Data'!$J$2:$J$1054,2015,'Raw Data'!$K$2:$K$1054,1)</f>
        <v>91740</v>
      </c>
      <c r="D18" s="26" t="n">
        <f aca="false">SUMIFS('Raw Data'!$G$2:$G$1054,'Raw Data'!$J$2:$J$1054,2015,'Raw Data'!$K$2:$K$1054,1)</f>
        <v>-155068.95857229</v>
      </c>
      <c r="E18" s="27" t="n">
        <f aca="false">D18/B18</f>
        <v>-0.0419537132317116</v>
      </c>
      <c r="F18" s="29" t="n">
        <f aca="false">AVERAGEIFS('Raw Data'!$E$2:$E$1054,'Raw Data'!$J$2:$J$1054,2015,'Raw Data'!$K$2:$K$1054,1)</f>
        <v>40.6738989169987</v>
      </c>
    </row>
    <row r="19" customFormat="false" ht="15" hidden="false" customHeight="true" outlineLevel="0" collapsed="false">
      <c r="A19" s="34" t="s">
        <v>96</v>
      </c>
      <c r="B19" s="25" t="n">
        <f aca="false">SUMIFS('Raw Data'!$B$2:$B$1054,'Raw Data'!$J$2:$J$1054,2015,'Raw Data'!$K$2:$K$1054,2)</f>
        <v>4901504.89312981</v>
      </c>
      <c r="C19" s="25" t="n">
        <f aca="false">SUMIFS('Raw Data'!$D$2:$D$1054,'Raw Data'!$J$2:$J$1054,2015,'Raw Data'!$K$2:$K$1054,2)</f>
        <v>127753</v>
      </c>
      <c r="D19" s="25" t="n">
        <f aca="false">SUMIFS('Raw Data'!$G$2:$G$1054,'Raw Data'!$J$2:$J$1054,2015,'Raw Data'!$K$2:$K$1054,2)</f>
        <v>-250251.374758963</v>
      </c>
      <c r="E19" s="30" t="n">
        <f aca="false">D19/B19</f>
        <v>-0.0510560287534811</v>
      </c>
      <c r="F19" s="28" t="n">
        <f aca="false">AVERAGEIFS('Raw Data'!$E$2:$E$1054,'Raw Data'!$J$2:$J$1054,2015,'Raw Data'!$K$2:$K$1054,2)</f>
        <v>38.9226372999452</v>
      </c>
    </row>
    <row r="20" customFormat="false" ht="15" hidden="false" customHeight="true" outlineLevel="0" collapsed="false">
      <c r="A20" s="22" t="s">
        <v>97</v>
      </c>
      <c r="B20" s="26" t="n">
        <f aca="false">SUMIFS('Raw Data'!$B$2:$B$1054,'Raw Data'!$J$2:$J$1054,2015,'Raw Data'!$K$2:$K$1054,3)</f>
        <v>5269353.15269244</v>
      </c>
      <c r="C20" s="26" t="n">
        <f aca="false">SUMIFS('Raw Data'!$D$2:$D$1054,'Raw Data'!$J$2:$J$1054,2015,'Raw Data'!$K$2:$K$1054,3)</f>
        <v>136673</v>
      </c>
      <c r="D20" s="26" t="n">
        <f aca="false">SUMIFS('Raw Data'!$G$2:$G$1054,'Raw Data'!$J$2:$J$1054,2015,'Raw Data'!$K$2:$K$1054,3)</f>
        <v>-330277.567393034</v>
      </c>
      <c r="E20" s="27" t="n">
        <f aca="false">D20/B20</f>
        <v>-0.0626789584646218</v>
      </c>
      <c r="F20" s="29" t="n">
        <f aca="false">AVERAGEIFS('Raw Data'!$E$2:$E$1054,'Raw Data'!$J$2:$J$1054,2015,'Raw Data'!$K$2:$K$1054,3)</f>
        <v>39.5140387681474</v>
      </c>
    </row>
    <row r="21" customFormat="false" ht="15" hidden="false" customHeight="true" outlineLevel="0" collapsed="false">
      <c r="A21" s="34" t="s">
        <v>98</v>
      </c>
      <c r="B21" s="25" t="n">
        <f aca="false">SUMIFS('Raw Data'!$B$2:$B$1054,'Raw Data'!$J$2:$J$1054,2015,'Raw Data'!$K$2:$K$1054,4)</f>
        <v>5963993.96776295</v>
      </c>
      <c r="C21" s="25" t="n">
        <f aca="false">SUMIFS('Raw Data'!$D$2:$D$1054,'Raw Data'!$J$2:$J$1054,2015,'Raw Data'!$K$2:$K$1054,4)</f>
        <v>153702</v>
      </c>
      <c r="D21" s="25" t="n">
        <f aca="false">SUMIFS('Raw Data'!$G$2:$G$1054,'Raw Data'!$J$2:$J$1054,2015,'Raw Data'!$K$2:$K$1054,4)</f>
        <v>-322679.696644054</v>
      </c>
      <c r="E21" s="30" t="n">
        <f aca="false">D21/B21</f>
        <v>-0.0541046316257575</v>
      </c>
      <c r="F21" s="28" t="n">
        <f aca="false">AVERAGEIFS('Raw Data'!$E$2:$E$1054,'Raw Data'!$J$2:$J$1054,2015,'Raw Data'!$K$2:$K$1054,4)</f>
        <v>39.977303992063</v>
      </c>
    </row>
    <row r="22" customFormat="false" ht="15" hidden="false" customHeight="true" outlineLevel="0" collapsed="false">
      <c r="A22" s="22" t="s">
        <v>99</v>
      </c>
      <c r="B22" s="26" t="n">
        <f aca="false">SUMIFS('Raw Data'!$B$2:$B$1054,'Raw Data'!$J$2:$J$1054,2015,'Raw Data'!$K$2:$K$1054,5)</f>
        <v>8384367.24115292</v>
      </c>
      <c r="C22" s="26" t="n">
        <f aca="false">SUMIFS('Raw Data'!$D$2:$D$1054,'Raw Data'!$J$2:$J$1054,2015,'Raw Data'!$K$2:$K$1054,5)</f>
        <v>220775</v>
      </c>
      <c r="D22" s="26" t="n">
        <f aca="false">SUMIFS('Raw Data'!$G$2:$G$1054,'Raw Data'!$J$2:$J$1054,2015,'Raw Data'!$K$2:$K$1054,5)</f>
        <v>-589334.657462986</v>
      </c>
      <c r="E22" s="27" t="n">
        <f aca="false">D22/B22</f>
        <v>-0.0702896999275461</v>
      </c>
      <c r="F22" s="29" t="n">
        <f aca="false">AVERAGEIFS('Raw Data'!$E$2:$E$1054,'Raw Data'!$J$2:$J$1054,2015,'Raw Data'!$K$2:$K$1054,5)</f>
        <v>38.1234095314253</v>
      </c>
    </row>
    <row r="23" customFormat="false" ht="15" hidden="false" customHeight="true" outlineLevel="0" collapsed="false">
      <c r="A23" s="34" t="s">
        <v>100</v>
      </c>
      <c r="B23" s="25" t="n">
        <f aca="false">SUMIFS('Raw Data'!$B$2:$B$1054,'Raw Data'!$J$2:$J$1054,2015,'Raw Data'!$K$2:$K$1054,6)</f>
        <v>5332108.32336354</v>
      </c>
      <c r="C23" s="25" t="n">
        <f aca="false">SUMIFS('Raw Data'!$D$2:$D$1054,'Raw Data'!$J$2:$J$1054,2015,'Raw Data'!$K$2:$K$1054,6)</f>
        <v>136581</v>
      </c>
      <c r="D23" s="25" t="n">
        <f aca="false">SUMIFS('Raw Data'!$G$2:$G$1054,'Raw Data'!$J$2:$J$1054,2015,'Raw Data'!$K$2:$K$1054,6)</f>
        <v>-188817.045593255</v>
      </c>
      <c r="E23" s="30" t="n">
        <f aca="false">D23/B23</f>
        <v>-0.035411329654711</v>
      </c>
      <c r="F23" s="28" t="n">
        <f aca="false">AVERAGEIFS('Raw Data'!$E$2:$E$1054,'Raw Data'!$J$2:$J$1054,2015,'Raw Data'!$K$2:$K$1054,6)</f>
        <v>40.037434194307</v>
      </c>
    </row>
    <row r="24" customFormat="false" ht="15" hidden="false" customHeight="true" outlineLevel="0" collapsed="false">
      <c r="A24" s="22" t="s">
        <v>101</v>
      </c>
      <c r="B24" s="26" t="n">
        <f aca="false">SUMIFS('Raw Data'!$B$2:$B$1054,'Raw Data'!$J$2:$J$1054,2015,'Raw Data'!$K$2:$K$1054,7)</f>
        <v>3677692.39405612</v>
      </c>
      <c r="C24" s="26" t="n">
        <f aca="false">SUMIFS('Raw Data'!$D$2:$D$1054,'Raw Data'!$J$2:$J$1054,2015,'Raw Data'!$K$2:$K$1054,7)</f>
        <v>95600</v>
      </c>
      <c r="D24" s="26" t="n">
        <f aca="false">SUMIFS('Raw Data'!$G$2:$G$1054,'Raw Data'!$J$2:$J$1054,2015,'Raw Data'!$K$2:$K$1054,7)</f>
        <v>-151496.170966253</v>
      </c>
      <c r="E24" s="27" t="n">
        <f aca="false">D24/B24</f>
        <v>-0.0411932686950928</v>
      </c>
      <c r="F24" s="29" t="n">
        <f aca="false">AVERAGEIFS('Raw Data'!$E$2:$E$1054,'Raw Data'!$J$2:$J$1054,2015,'Raw Data'!$K$2:$K$1054,7)</f>
        <v>38.735437450076</v>
      </c>
    </row>
    <row r="25" customFormat="false" ht="15" hidden="false" customHeight="true" outlineLevel="0" collapsed="false">
      <c r="A25" s="34" t="s">
        <v>102</v>
      </c>
      <c r="B25" s="25" t="n">
        <f aca="false">SUMIFS('Raw Data'!$B$2:$B$1054,'Raw Data'!$J$2:$J$1054,2015,'Raw Data'!$K$2:$K$1054,8)</f>
        <v>3934668.408063</v>
      </c>
      <c r="C25" s="25" t="n">
        <f aca="false">SUMIFS('Raw Data'!$D$2:$D$1054,'Raw Data'!$J$2:$J$1054,2015,'Raw Data'!$K$2:$K$1054,8)</f>
        <v>108899</v>
      </c>
      <c r="D25" s="25" t="n">
        <f aca="false">SUMIFS('Raw Data'!$G$2:$G$1054,'Raw Data'!$J$2:$J$1054,2015,'Raw Data'!$K$2:$K$1054,8)</f>
        <v>-276258.926829441</v>
      </c>
      <c r="E25" s="30" t="n">
        <f aca="false">D25/B25</f>
        <v>-0.0702114887911078</v>
      </c>
      <c r="F25" s="28" t="n">
        <f aca="false">AVERAGEIFS('Raw Data'!$E$2:$E$1054,'Raw Data'!$J$2:$J$1054,2015,'Raw Data'!$K$2:$K$1054,8)</f>
        <v>37.5753608049375</v>
      </c>
    </row>
    <row r="26" customFormat="false" ht="15" hidden="false" customHeight="true" outlineLevel="0" collapsed="false">
      <c r="A26" s="22" t="s">
        <v>103</v>
      </c>
      <c r="B26" s="26" t="n">
        <f aca="false">SUMIFS('Raw Data'!$B$2:$B$1054,'Raw Data'!$J$2:$J$1054,2015,'Raw Data'!$K$2:$K$1054,9)</f>
        <v>4669899.85861668</v>
      </c>
      <c r="C26" s="26" t="n">
        <f aca="false">SUMIFS('Raw Data'!$D$2:$D$1054,'Raw Data'!$J$2:$J$1054,2015,'Raw Data'!$K$2:$K$1054,9)</f>
        <v>134837</v>
      </c>
      <c r="D26" s="26" t="n">
        <f aca="false">SUMIFS('Raw Data'!$G$2:$G$1054,'Raw Data'!$J$2:$J$1054,2015,'Raw Data'!$K$2:$K$1054,9)</f>
        <v>-354594.836317785</v>
      </c>
      <c r="E26" s="27" t="n">
        <f aca="false">D26/B26</f>
        <v>-0.0759320000542417</v>
      </c>
      <c r="F26" s="29" t="n">
        <f aca="false">AVERAGEIFS('Raw Data'!$E$2:$E$1054,'Raw Data'!$J$2:$J$1054,2015,'Raw Data'!$K$2:$K$1054,9)</f>
        <v>36.4548531665166</v>
      </c>
    </row>
    <row r="27" customFormat="false" ht="15" hidden="false" customHeight="true" outlineLevel="0" collapsed="false">
      <c r="A27" s="34" t="s">
        <v>104</v>
      </c>
      <c r="B27" s="25" t="n">
        <f aca="false">SUMIFS('Raw Data'!$B$2:$B$1054,'Raw Data'!$J$2:$J$1054,2015,'Raw Data'!$K$2:$K$1054,10)</f>
        <v>4828975.07950143</v>
      </c>
      <c r="C27" s="25" t="n">
        <f aca="false">SUMIFS('Raw Data'!$D$2:$D$1054,'Raw Data'!$J$2:$J$1054,2015,'Raw Data'!$K$2:$K$1054,10)</f>
        <v>135328</v>
      </c>
      <c r="D27" s="25" t="n">
        <f aca="false">SUMIFS('Raw Data'!$G$2:$G$1054,'Raw Data'!$J$2:$J$1054,2015,'Raw Data'!$K$2:$K$1054,10)</f>
        <v>-346518.9979818</v>
      </c>
      <c r="E27" s="30" t="n">
        <f aca="false">D27/B27</f>
        <v>-0.0717582907919202</v>
      </c>
      <c r="F27" s="28" t="n">
        <f aca="false">AVERAGEIFS('Raw Data'!$E$2:$E$1054,'Raw Data'!$J$2:$J$1054,2015,'Raw Data'!$K$2:$K$1054,10)</f>
        <v>37.3998064403739</v>
      </c>
    </row>
    <row r="28" customFormat="false" ht="15" hidden="false" customHeight="true" outlineLevel="0" collapsed="false">
      <c r="A28" s="22" t="s">
        <v>105</v>
      </c>
      <c r="B28" s="26" t="n">
        <f aca="false">SUMIFS('Raw Data'!$B$2:$B$1054,'Raw Data'!$J$2:$J$1054,2015,'Raw Data'!$K$2:$K$1054,11)</f>
        <v>6538148.88332874</v>
      </c>
      <c r="C28" s="26" t="n">
        <f aca="false">SUMIFS('Raw Data'!$D$2:$D$1054,'Raw Data'!$J$2:$J$1054,2015,'Raw Data'!$K$2:$K$1054,11)</f>
        <v>185868</v>
      </c>
      <c r="D28" s="26" t="n">
        <f aca="false">SUMIFS('Raw Data'!$G$2:$G$1054,'Raw Data'!$J$2:$J$1054,2015,'Raw Data'!$K$2:$K$1054,11)</f>
        <v>-600684.571337532</v>
      </c>
      <c r="E28" s="27" t="n">
        <f aca="false">D28/B28</f>
        <v>-0.0918737982350301</v>
      </c>
      <c r="F28" s="29" t="n">
        <f aca="false">AVERAGEIFS('Raw Data'!$E$2:$E$1054,'Raw Data'!$J$2:$J$1054,2015,'Raw Data'!$K$2:$K$1054,11)</f>
        <v>35.6098286558362</v>
      </c>
    </row>
    <row r="29" customFormat="false" ht="15" hidden="false" customHeight="true" outlineLevel="0" collapsed="false">
      <c r="A29" s="34" t="s">
        <v>106</v>
      </c>
      <c r="B29" s="25" t="n">
        <f aca="false">SUMIFS('Raw Data'!$B$2:$B$1054,'Raw Data'!$J$2:$J$1054,2015,'Raw Data'!$K$2:$K$1054,12)</f>
        <v>6820689.67764691</v>
      </c>
      <c r="C29" s="25" t="n">
        <f aca="false">SUMIFS('Raw Data'!$D$2:$D$1054,'Raw Data'!$J$2:$J$1054,2015,'Raw Data'!$K$2:$K$1054,12)</f>
        <v>187333</v>
      </c>
      <c r="D29" s="25" t="n">
        <f aca="false">SUMIFS('Raw Data'!$G$2:$G$1054,'Raw Data'!$J$2:$J$1054,2015,'Raw Data'!$K$2:$K$1054,12)</f>
        <v>-333627.642912018</v>
      </c>
      <c r="E29" s="30" t="n">
        <f aca="false">D29/B29</f>
        <v>-0.0489140627531256</v>
      </c>
      <c r="F29" s="28" t="n">
        <f aca="false">AVERAGEIFS('Raw Data'!$E$2:$E$1054,'Raw Data'!$J$2:$J$1054,2015,'Raw Data'!$K$2:$K$1054,12)</f>
        <v>36.9236772548323</v>
      </c>
    </row>
    <row r="30" customFormat="false" ht="15" hidden="false" customHeight="true" outlineLevel="0" collapsed="false">
      <c r="A30" s="22" t="s">
        <v>107</v>
      </c>
      <c r="B30" s="26" t="n">
        <f aca="false">SUMIFS('Raw Data'!$B$2:$B$1054,'Raw Data'!$J$2:$J$1054,2016,'Raw Data'!$K$2:$K$1054,1)</f>
        <v>5403090.50925758</v>
      </c>
      <c r="C30" s="26" t="n">
        <f aca="false">SUMIFS('Raw Data'!$D$2:$D$1054,'Raw Data'!$J$2:$J$1054,2016,'Raw Data'!$K$2:$K$1054,1)</f>
        <v>150561</v>
      </c>
      <c r="D30" s="26" t="n">
        <f aca="false">SUMIFS('Raw Data'!$G$2:$G$1054,'Raw Data'!$J$2:$J$1054,2016,'Raw Data'!$K$2:$K$1054,1)</f>
        <v>-254252.206074277</v>
      </c>
      <c r="E30" s="27" t="n">
        <f aca="false">D30/B30</f>
        <v>-0.0470568104751614</v>
      </c>
      <c r="F30" s="29" t="n">
        <f aca="false">AVERAGEIFS('Raw Data'!$E$2:$E$1054,'Raw Data'!$J$2:$J$1054,2016,'Raw Data'!$K$2:$K$1054,1)</f>
        <v>37.6027400547052</v>
      </c>
    </row>
    <row r="31" customFormat="false" ht="15" hidden="false" customHeight="true" outlineLevel="0" collapsed="false">
      <c r="A31" s="34" t="s">
        <v>108</v>
      </c>
      <c r="B31" s="25" t="n">
        <f aca="false">SUMIFS('Raw Data'!$B$2:$B$1054,'Raw Data'!$J$2:$J$1054,2016,'Raw Data'!$K$2:$K$1054,2)</f>
        <v>4891882.308156</v>
      </c>
      <c r="C31" s="25" t="n">
        <f aca="false">SUMIFS('Raw Data'!$D$2:$D$1054,'Raw Data'!$J$2:$J$1054,2016,'Raw Data'!$K$2:$K$1054,2)</f>
        <v>132990</v>
      </c>
      <c r="D31" s="25" t="n">
        <f aca="false">SUMIFS('Raw Data'!$G$2:$G$1054,'Raw Data'!$J$2:$J$1054,2016,'Raw Data'!$K$2:$K$1054,2)</f>
        <v>2578.66444686786</v>
      </c>
      <c r="E31" s="30" t="n">
        <f aca="false">D31/B31</f>
        <v>0.000527131333999711</v>
      </c>
      <c r="F31" s="28" t="n">
        <f aca="false">AVERAGEIFS('Raw Data'!$E$2:$E$1054,'Raw Data'!$J$2:$J$1054,2016,'Raw Data'!$K$2:$K$1054,2)</f>
        <v>38.490590104656</v>
      </c>
    </row>
    <row r="32" customFormat="false" ht="15" hidden="false" customHeight="true" outlineLevel="0" collapsed="false">
      <c r="A32" s="22" t="s">
        <v>109</v>
      </c>
      <c r="B32" s="26" t="n">
        <f aca="false">SUMIFS('Raw Data'!$B$2:$B$1054,'Raw Data'!$J$2:$J$1054,2016,'Raw Data'!$K$2:$K$1054,3)</f>
        <v>2951856.0057579</v>
      </c>
      <c r="C32" s="26" t="n">
        <f aca="false">SUMIFS('Raw Data'!$D$2:$D$1054,'Raw Data'!$J$2:$J$1054,2016,'Raw Data'!$K$2:$K$1054,3)</f>
        <v>74185</v>
      </c>
      <c r="D32" s="26" t="n">
        <f aca="false">SUMIFS('Raw Data'!$G$2:$G$1054,'Raw Data'!$J$2:$J$1054,2016,'Raw Data'!$K$2:$K$1054,3)</f>
        <v>34054.5144860054</v>
      </c>
      <c r="E32" s="27" t="n">
        <f aca="false">D32/B32</f>
        <v>0.0115366448836185</v>
      </c>
      <c r="F32" s="29" t="n">
        <f aca="false">AVERAGEIFS('Raw Data'!$E$2:$E$1054,'Raw Data'!$J$2:$J$1054,2016,'Raw Data'!$K$2:$K$1054,3)</f>
        <v>40.3441000369994</v>
      </c>
    </row>
    <row r="33" customFormat="false" ht="15" hidden="false" customHeight="true" outlineLevel="0" collapsed="false">
      <c r="A33" s="34" t="s">
        <v>110</v>
      </c>
      <c r="B33" s="25" t="n">
        <f aca="false">SUMIFS('Raw Data'!$B$2:$B$1054,'Raw Data'!$J$2:$J$1054,2016,'Raw Data'!$K$2:$K$1054,4)</f>
        <v>6656880.17616495</v>
      </c>
      <c r="C33" s="25" t="n">
        <f aca="false">SUMIFS('Raw Data'!$D$2:$D$1054,'Raw Data'!$J$2:$J$1054,2016,'Raw Data'!$K$2:$K$1054,4)</f>
        <v>190235</v>
      </c>
      <c r="D33" s="25" t="n">
        <f aca="false">SUMIFS('Raw Data'!$G$2:$G$1054,'Raw Data'!$J$2:$J$1054,2016,'Raw Data'!$K$2:$K$1054,4)</f>
        <v>-470851.729065941</v>
      </c>
      <c r="E33" s="30" t="n">
        <f aca="false">D33/B33</f>
        <v>-0.0707315914671007</v>
      </c>
      <c r="F33" s="28" t="n">
        <f aca="false">AVERAGEIFS('Raw Data'!$E$2:$E$1054,'Raw Data'!$J$2:$J$1054,2016,'Raw Data'!$K$2:$K$1054,4)</f>
        <v>35.5646212527688</v>
      </c>
    </row>
    <row r="34" customFormat="false" ht="15" hidden="false" customHeight="true" outlineLevel="0" collapsed="false">
      <c r="A34" s="22" t="s">
        <v>111</v>
      </c>
      <c r="B34" s="26" t="n">
        <f aca="false">SUMIFS('Raw Data'!$B$2:$B$1054,'Raw Data'!$J$2:$J$1054,2016,'Raw Data'!$K$2:$K$1054,5)</f>
        <v>5170231.85490041</v>
      </c>
      <c r="C34" s="26" t="n">
        <f aca="false">SUMIFS('Raw Data'!$D$2:$D$1054,'Raw Data'!$J$2:$J$1054,2016,'Raw Data'!$K$2:$K$1054,5)</f>
        <v>146298</v>
      </c>
      <c r="D34" s="26" t="n">
        <f aca="false">SUMIFS('Raw Data'!$G$2:$G$1054,'Raw Data'!$J$2:$J$1054,2016,'Raw Data'!$K$2:$K$1054,5)</f>
        <v>-168162.777076727</v>
      </c>
      <c r="E34" s="27" t="n">
        <f aca="false">D34/B34</f>
        <v>-0.0325251907063587</v>
      </c>
      <c r="F34" s="29" t="n">
        <f aca="false">AVERAGEIFS('Raw Data'!$E$2:$E$1054,'Raw Data'!$J$2:$J$1054,2016,'Raw Data'!$K$2:$K$1054,5)</f>
        <v>38.0398823342939</v>
      </c>
    </row>
    <row r="35" customFormat="false" ht="15" hidden="false" customHeight="true" outlineLevel="0" collapsed="false">
      <c r="A35" s="34" t="s">
        <v>112</v>
      </c>
      <c r="B35" s="25" t="n">
        <f aca="false">SUMIFS('Raw Data'!$B$2:$B$1054,'Raw Data'!$J$2:$J$1054,2016,'Raw Data'!$K$2:$K$1054,6)</f>
        <v>6771134.9382742</v>
      </c>
      <c r="C35" s="25" t="n">
        <f aca="false">SUMIFS('Raw Data'!$D$2:$D$1054,'Raw Data'!$J$2:$J$1054,2016,'Raw Data'!$K$2:$K$1054,6)</f>
        <v>197469</v>
      </c>
      <c r="D35" s="25" t="n">
        <f aca="false">SUMIFS('Raw Data'!$G$2:$G$1054,'Raw Data'!$J$2:$J$1054,2016,'Raw Data'!$K$2:$K$1054,6)</f>
        <v>-397214.692931718</v>
      </c>
      <c r="E35" s="30" t="n">
        <f aca="false">D35/B35</f>
        <v>-0.0586629415235016</v>
      </c>
      <c r="F35" s="28" t="n">
        <f aca="false">AVERAGEIFS('Raw Data'!$E$2:$E$1054,'Raw Data'!$J$2:$J$1054,2016,'Raw Data'!$K$2:$K$1054,6)</f>
        <v>34.8278847085774</v>
      </c>
    </row>
    <row r="36" customFormat="false" ht="15" hidden="false" customHeight="true" outlineLevel="0" collapsed="false">
      <c r="A36" s="22" t="s">
        <v>113</v>
      </c>
      <c r="B36" s="26" t="n">
        <f aca="false">SUMIFS('Raw Data'!$B$2:$B$1054,'Raw Data'!$J$2:$J$1054,2016,'Raw Data'!$K$2:$K$1054,7)</f>
        <v>3324825.43161598</v>
      </c>
      <c r="C36" s="26" t="n">
        <f aca="false">SUMIFS('Raw Data'!$D$2:$D$1054,'Raw Data'!$J$2:$J$1054,2016,'Raw Data'!$K$2:$K$1054,7)</f>
        <v>90653</v>
      </c>
      <c r="D36" s="26" t="n">
        <f aca="false">SUMIFS('Raw Data'!$G$2:$G$1054,'Raw Data'!$J$2:$J$1054,2016,'Raw Data'!$K$2:$K$1054,7)</f>
        <v>56428.1590387552</v>
      </c>
      <c r="E36" s="27" t="n">
        <f aca="false">D36/B36</f>
        <v>0.0169717659466197</v>
      </c>
      <c r="F36" s="29" t="n">
        <f aca="false">AVERAGEIFS('Raw Data'!$E$2:$E$1054,'Raw Data'!$J$2:$J$1054,2016,'Raw Data'!$K$2:$K$1054,7)</f>
        <v>40.3844703022166</v>
      </c>
    </row>
    <row r="37" customFormat="false" ht="15" hidden="false" customHeight="true" outlineLevel="0" collapsed="false">
      <c r="A37" s="34" t="s">
        <v>114</v>
      </c>
      <c r="B37" s="25" t="n">
        <f aca="false">SUMIFS('Raw Data'!$B$2:$B$1054,'Raw Data'!$J$2:$J$1054,2016,'Raw Data'!$K$2:$K$1054,8)</f>
        <v>4343329.4138205</v>
      </c>
      <c r="C37" s="25" t="n">
        <f aca="false">SUMIFS('Raw Data'!$D$2:$D$1054,'Raw Data'!$J$2:$J$1054,2016,'Raw Data'!$K$2:$K$1054,8)</f>
        <v>123621</v>
      </c>
      <c r="D37" s="25" t="n">
        <f aca="false">SUMIFS('Raw Data'!$G$2:$G$1054,'Raw Data'!$J$2:$J$1054,2016,'Raw Data'!$K$2:$K$1054,8)</f>
        <v>-136458.241184861</v>
      </c>
      <c r="E37" s="30" t="n">
        <f aca="false">D37/B37</f>
        <v>-0.0314178889472785</v>
      </c>
      <c r="F37" s="28" t="n">
        <f aca="false">AVERAGEIFS('Raw Data'!$E$2:$E$1054,'Raw Data'!$J$2:$J$1054,2016,'Raw Data'!$K$2:$K$1054,8)</f>
        <v>36.878843964685</v>
      </c>
    </row>
    <row r="38" customFormat="false" ht="15" hidden="false" customHeight="true" outlineLevel="0" collapsed="false">
      <c r="A38" s="22" t="s">
        <v>115</v>
      </c>
      <c r="B38" s="26" t="n">
        <f aca="false">SUMIFS('Raw Data'!$B$2:$B$1054,'Raw Data'!$J$2:$J$1054,2016,'Raw Data'!$K$2:$K$1054,9)</f>
        <v>3259542.50174151</v>
      </c>
      <c r="C38" s="26" t="n">
        <f aca="false">SUMIFS('Raw Data'!$D$2:$D$1054,'Raw Data'!$J$2:$J$1054,2016,'Raw Data'!$K$2:$K$1054,9)</f>
        <v>88672</v>
      </c>
      <c r="D38" s="26" t="n">
        <f aca="false">SUMIFS('Raw Data'!$G$2:$G$1054,'Raw Data'!$J$2:$J$1054,2016,'Raw Data'!$K$2:$K$1054,9)</f>
        <v>49345.2141997427</v>
      </c>
      <c r="E38" s="27" t="n">
        <f aca="false">D38/B38</f>
        <v>0.0151386932900487</v>
      </c>
      <c r="F38" s="29" t="n">
        <f aca="false">AVERAGEIFS('Raw Data'!$E$2:$E$1054,'Raw Data'!$J$2:$J$1054,2016,'Raw Data'!$K$2:$K$1054,9)</f>
        <v>38.8925871692311</v>
      </c>
    </row>
    <row r="39" customFormat="false" ht="15" hidden="false" customHeight="true" outlineLevel="0" collapsed="false">
      <c r="A39" s="34" t="s">
        <v>116</v>
      </c>
      <c r="B39" s="25" t="n">
        <f aca="false">SUMIFS('Raw Data'!$B$2:$B$1054,'Raw Data'!$J$2:$J$1054,2016,'Raw Data'!$K$2:$K$1054,10)</f>
        <v>2329172.70277017</v>
      </c>
      <c r="C39" s="25" t="n">
        <f aca="false">SUMIFS('Raw Data'!$D$2:$D$1054,'Raw Data'!$J$2:$J$1054,2016,'Raw Data'!$K$2:$K$1054,10)</f>
        <v>56667</v>
      </c>
      <c r="D39" s="25" t="n">
        <f aca="false">SUMIFS('Raw Data'!$G$2:$G$1054,'Raw Data'!$J$2:$J$1054,2016,'Raw Data'!$K$2:$K$1054,10)</f>
        <v>219961.644972457</v>
      </c>
      <c r="E39" s="30" t="n">
        <f aca="false">D39/B39</f>
        <v>0.0944376708136965</v>
      </c>
      <c r="F39" s="28" t="n">
        <f aca="false">AVERAGEIFS('Raw Data'!$E$2:$E$1054,'Raw Data'!$J$2:$J$1054,2016,'Raw Data'!$K$2:$K$1054,10)</f>
        <v>41.6273109055028</v>
      </c>
    </row>
    <row r="40" customFormat="false" ht="15" hidden="false" customHeight="true" outlineLevel="0" collapsed="false">
      <c r="A40" s="22" t="s">
        <v>117</v>
      </c>
      <c r="B40" s="26" t="n">
        <f aca="false">SUMIFS('Raw Data'!$B$2:$B$1054,'Raw Data'!$J$2:$J$1054,2016,'Raw Data'!$K$2:$K$1054,11)</f>
        <v>1851029.86266632</v>
      </c>
      <c r="C40" s="26" t="n">
        <f aca="false">SUMIFS('Raw Data'!$D$2:$D$1054,'Raw Data'!$J$2:$J$1054,2016,'Raw Data'!$K$2:$K$1054,11)</f>
        <v>43107</v>
      </c>
      <c r="D40" s="26" t="n">
        <f aca="false">SUMIFS('Raw Data'!$G$2:$G$1054,'Raw Data'!$J$2:$J$1054,2016,'Raw Data'!$K$2:$K$1054,11)</f>
        <v>126556.984368645</v>
      </c>
      <c r="E40" s="27" t="n">
        <f aca="false">D40/B40</f>
        <v>0.0683711197324202</v>
      </c>
      <c r="F40" s="29" t="n">
        <f aca="false">AVERAGEIFS('Raw Data'!$E$2:$E$1054,'Raw Data'!$J$2:$J$1054,2016,'Raw Data'!$K$2:$K$1054,11)</f>
        <v>42.9784992291877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18"/>
  </cols>
  <sheetData>
    <row r="1" customFormat="false" ht="19.5" hidden="false" customHeight="true" outlineLevel="0" collapsed="false">
      <c r="A1" s="18" t="s">
        <v>118</v>
      </c>
      <c r="B1" s="18"/>
      <c r="C1" s="18"/>
      <c r="D1" s="18"/>
      <c r="E1" s="18"/>
      <c r="F1" s="18"/>
    </row>
    <row r="2" customFormat="false" ht="15" hidden="false" customHeight="true" outlineLevel="0" collapsed="false">
      <c r="A2" s="19" t="s">
        <v>119</v>
      </c>
      <c r="B2" s="19"/>
      <c r="C2" s="19"/>
      <c r="D2" s="19"/>
      <c r="E2" s="19"/>
      <c r="F2" s="19"/>
    </row>
    <row r="4" customFormat="false" ht="27.75" hidden="false" customHeight="true" outlineLevel="0" collapsed="false">
      <c r="A4" s="33" t="s">
        <v>120</v>
      </c>
      <c r="B4" s="33" t="s">
        <v>48</v>
      </c>
      <c r="C4" s="33" t="s">
        <v>79</v>
      </c>
      <c r="D4" s="33" t="s">
        <v>54</v>
      </c>
      <c r="E4" s="33" t="s">
        <v>80</v>
      </c>
      <c r="F4" s="33" t="s">
        <v>81</v>
      </c>
    </row>
    <row r="5" customFormat="false" ht="15" hidden="false" customHeight="true" outlineLevel="0" collapsed="false">
      <c r="A5" s="34" t="n">
        <v>2013</v>
      </c>
      <c r="B5" s="25" t="n">
        <f aca="false">SUMIFS('Raw Data'!$B$2:$B$1054,'Raw Data'!$J$2:$J$1054,2013)</f>
        <v>524283.452433713</v>
      </c>
      <c r="C5" s="25" t="n">
        <f aca="false">SUMIFS('Raw Data'!$D$2:$D$1054,'Raw Data'!$J$2:$J$1054,2013)</f>
        <v>16095</v>
      </c>
      <c r="D5" s="25" t="n">
        <f aca="false">SUMIFS('Raw Data'!$G$2:$G$1054,'Raw Data'!$J$2:$J$1054,2013)</f>
        <v>-12782.289063019</v>
      </c>
      <c r="E5" s="30" t="n">
        <f aca="false">D5/B5</f>
        <v>-0.0243804930399461</v>
      </c>
      <c r="F5" s="28" t="n">
        <f aca="false">AVERAGEIFS('Raw Data'!$E$2:$E$1054,'Raw Data'!$J$2:$J$1054,2013)</f>
        <v>32.6042660000364</v>
      </c>
    </row>
    <row r="6" customFormat="false" ht="15" hidden="false" customHeight="true" outlineLevel="0" collapsed="false">
      <c r="A6" s="22" t="n">
        <v>2014</v>
      </c>
      <c r="B6" s="26" t="n">
        <f aca="false">SUMIFS('Raw Data'!$B$2:$B$1054,'Raw Data'!$J$2:$J$1054,2014)</f>
        <v>75414975.7117006</v>
      </c>
      <c r="C6" s="26" t="n">
        <f aca="false">SUMIFS('Raw Data'!$D$2:$D$1054,'Raw Data'!$J$2:$J$1054,2014)</f>
        <v>2254230</v>
      </c>
      <c r="D6" s="26" t="n">
        <f aca="false">SUMIFS('Raw Data'!$G$2:$G$1054,'Raw Data'!$J$2:$J$1054,2014)</f>
        <v>-2265873.98937252</v>
      </c>
      <c r="E6" s="27" t="n">
        <f aca="false">D6/B6</f>
        <v>-0.0300454116438968</v>
      </c>
      <c r="F6" s="29" t="n">
        <f aca="false">AVERAGEIFS('Raw Data'!$E$2:$E$1054,'Raw Data'!$J$2:$J$1054,2014)</f>
        <v>34.573533052949</v>
      </c>
    </row>
    <row r="7" customFormat="false" ht="15" hidden="false" customHeight="true" outlineLevel="0" collapsed="false">
      <c r="A7" s="34" t="n">
        <v>2015</v>
      </c>
      <c r="B7" s="25" t="n">
        <f aca="false">SUMIFS('Raw Data'!$B$2:$B$1054,'Raw Data'!$J$2:$J$1054,2015)</f>
        <v>64017593.3872232</v>
      </c>
      <c r="C7" s="25" t="n">
        <f aca="false">SUMIFS('Raw Data'!$D$2:$D$1054,'Raw Data'!$J$2:$J$1054,2015)</f>
        <v>1715089</v>
      </c>
      <c r="D7" s="25" t="n">
        <f aca="false">SUMIFS('Raw Data'!$G$2:$G$1054,'Raw Data'!$J$2:$J$1054,2015)</f>
        <v>-3899610.44676941</v>
      </c>
      <c r="E7" s="30" t="n">
        <f aca="false">D7/B7</f>
        <v>-0.0609146679910604</v>
      </c>
      <c r="F7" s="28" t="n">
        <f aca="false">AVERAGEIFS('Raw Data'!$E$2:$E$1054,'Raw Data'!$J$2:$J$1054,2015)</f>
        <v>38.3274820515909</v>
      </c>
    </row>
    <row r="8" customFormat="false" ht="15" hidden="false" customHeight="true" outlineLevel="0" collapsed="false">
      <c r="A8" s="22" t="n">
        <v>2016</v>
      </c>
      <c r="B8" s="26" t="n">
        <f aca="false">SUMIFS('Raw Data'!$B$2:$B$1054,'Raw Data'!$J$2:$J$1054,2016)</f>
        <v>46952975.7051255</v>
      </c>
      <c r="C8" s="26" t="n">
        <f aca="false">SUMIFS('Raw Data'!$D$2:$D$1054,'Raw Data'!$J$2:$J$1054,2016)</f>
        <v>1294458</v>
      </c>
      <c r="D8" s="26" t="n">
        <f aca="false">SUMIFS('Raw Data'!$G$2:$G$1054,'Raw Data'!$J$2:$J$1054,2016)</f>
        <v>-938014.464821051</v>
      </c>
      <c r="E8" s="27" t="n">
        <f aca="false">D8/B8</f>
        <v>-0.0199777426400401</v>
      </c>
      <c r="F8" s="29" t="n">
        <f aca="false">AVERAGEIFS('Raw Data'!$E$2:$E$1054,'Raw Data'!$J$2:$J$1054,2016)</f>
        <v>38.5159927419621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19.5" hidden="false" customHeight="true" outlineLevel="0" collapsed="false">
      <c r="A1" s="18" t="s">
        <v>121</v>
      </c>
      <c r="B1" s="18"/>
      <c r="C1" s="18"/>
      <c r="D1" s="18"/>
      <c r="E1" s="18"/>
      <c r="F1" s="18"/>
    </row>
    <row r="2" customFormat="false" ht="15" hidden="false" customHeight="true" outlineLevel="0" collapsed="false">
      <c r="A2" s="19" t="s">
        <v>122</v>
      </c>
      <c r="B2" s="19"/>
      <c r="C2" s="19"/>
      <c r="D2" s="19"/>
      <c r="E2" s="19"/>
      <c r="F2" s="19"/>
    </row>
    <row r="4" customFormat="false" ht="27.75" hidden="false" customHeight="true" outlineLevel="0" collapsed="false">
      <c r="A4" s="33" t="s">
        <v>123</v>
      </c>
      <c r="B4" s="33" t="s">
        <v>124</v>
      </c>
      <c r="C4" s="33" t="s">
        <v>125</v>
      </c>
      <c r="D4" s="33" t="s">
        <v>81</v>
      </c>
      <c r="E4" s="33" t="s">
        <v>126</v>
      </c>
    </row>
    <row r="5" customFormat="false" ht="15" hidden="false" customHeight="true" outlineLevel="0" collapsed="false">
      <c r="A5" s="34" t="s">
        <v>32</v>
      </c>
      <c r="B5" s="25" t="n">
        <f aca="false">AVERAGEIFS('Raw Data'!$B$2:$B$1054,'Raw Data'!$M$2:$M$1054,"Monday")</f>
        <v>156313.034969048</v>
      </c>
      <c r="C5" s="25" t="n">
        <f aca="false">AVERAGEIFS('Raw Data'!$D$2:$D$1054,'Raw Data'!$M$2:$M$1054,"Monday")</f>
        <v>4400.04635761589</v>
      </c>
      <c r="D5" s="28" t="n">
        <f aca="false">AVERAGEIFS('Raw Data'!$E$2:$E$1054,'Raw Data'!$M$2:$M$1054,"Monday")</f>
        <v>37.2428134089351</v>
      </c>
      <c r="E5" s="30" t="n">
        <f aca="false">AVERAGEIFS('Raw Data'!$H$2:$H$1054,'Raw Data'!$M$2:$M$1054,"Monday")</f>
        <v>-0.00421378651605452</v>
      </c>
    </row>
    <row r="6" customFormat="false" ht="15" hidden="false" customHeight="true" outlineLevel="0" collapsed="false">
      <c r="A6" s="22" t="s">
        <v>33</v>
      </c>
      <c r="B6" s="26" t="n">
        <f aca="false">AVERAGEIFS('Raw Data'!$B$2:$B$1054,'Raw Data'!$M$2:$M$1054,"Tuesday")</f>
        <v>137314.858059048</v>
      </c>
      <c r="C6" s="26" t="n">
        <f aca="false">AVERAGEIFS('Raw Data'!$D$2:$D$1054,'Raw Data'!$M$2:$M$1054,"Tuesday")</f>
        <v>3851.70198675497</v>
      </c>
      <c r="D6" s="29" t="n">
        <f aca="false">AVERAGEIFS('Raw Data'!$E$2:$E$1054,'Raw Data'!$M$2:$M$1054,"Tuesday")</f>
        <v>37.232695986035</v>
      </c>
      <c r="E6" s="27" t="n">
        <f aca="false">AVERAGEIFS('Raw Data'!$H$2:$H$1054,'Raw Data'!$M$2:$M$1054,"Tuesday")</f>
        <v>-0.00418552882695821</v>
      </c>
    </row>
    <row r="7" customFormat="false" ht="15" hidden="false" customHeight="true" outlineLevel="0" collapsed="false">
      <c r="A7" s="34" t="s">
        <v>34</v>
      </c>
      <c r="B7" s="25" t="n">
        <f aca="false">AVERAGEIFS('Raw Data'!$B$2:$B$1054,'Raw Data'!$M$2:$M$1054,"Wednesday")</f>
        <v>145890.659562444</v>
      </c>
      <c r="C7" s="25" t="n">
        <f aca="false">AVERAGEIFS('Raw Data'!$D$2:$D$1054,'Raw Data'!$M$2:$M$1054,"Wednesday")</f>
        <v>4105.99337748344</v>
      </c>
      <c r="D7" s="28" t="n">
        <f aca="false">AVERAGEIFS('Raw Data'!$E$2:$E$1054,'Raw Data'!$M$2:$M$1054,"Wednesday")</f>
        <v>37.0157908791411</v>
      </c>
      <c r="E7" s="30" t="n">
        <f aca="false">AVERAGEIFS('Raw Data'!$H$2:$H$1054,'Raw Data'!$M$2:$M$1054,"Wednesday")</f>
        <v>-0.00968221222131052</v>
      </c>
    </row>
    <row r="8" customFormat="false" ht="15" hidden="false" customHeight="true" outlineLevel="0" collapsed="false">
      <c r="A8" s="22" t="s">
        <v>35</v>
      </c>
      <c r="B8" s="26" t="n">
        <f aca="false">AVERAGEIFS('Raw Data'!$B$2:$B$1054,'Raw Data'!$M$2:$M$1054,"Thursday")</f>
        <v>141084.758278552</v>
      </c>
      <c r="C8" s="26" t="n">
        <f aca="false">AVERAGEIFS('Raw Data'!$D$2:$D$1054,'Raw Data'!$M$2:$M$1054,"Thursday")</f>
        <v>3969.22</v>
      </c>
      <c r="D8" s="29" t="n">
        <f aca="false">AVERAGEIFS('Raw Data'!$E$2:$E$1054,'Raw Data'!$M$2:$M$1054,"Thursday")</f>
        <v>37.161421856432</v>
      </c>
      <c r="E8" s="27" t="n">
        <f aca="false">AVERAGEIFS('Raw Data'!$H$2:$H$1054,'Raw Data'!$M$2:$M$1054,"Thursday")</f>
        <v>-0.00552480248364391</v>
      </c>
    </row>
    <row r="9" customFormat="false" ht="15" hidden="false" customHeight="true" outlineLevel="0" collapsed="false">
      <c r="A9" s="34" t="s">
        <v>36</v>
      </c>
      <c r="B9" s="25" t="n">
        <f aca="false">AVERAGEIFS('Raw Data'!$B$2:$B$1054,'Raw Data'!$M$2:$M$1054,"Friday")</f>
        <v>245313.970229885</v>
      </c>
      <c r="C9" s="25" t="n">
        <f aca="false">AVERAGEIFS('Raw Data'!$D$2:$D$1054,'Raw Data'!$M$2:$M$1054,"Friday")</f>
        <v>6955.39333333333</v>
      </c>
      <c r="D9" s="28" t="n">
        <f aca="false">AVERAGEIFS('Raw Data'!$E$2:$E$1054,'Raw Data'!$M$2:$M$1054,"Friday")</f>
        <v>36.9822630865355</v>
      </c>
      <c r="E9" s="30" t="n">
        <f aca="false">AVERAGEIFS('Raw Data'!$H$2:$H$1054,'Raw Data'!$M$2:$M$1054,"Friday")</f>
        <v>-0.0110436952492185</v>
      </c>
    </row>
    <row r="10" customFormat="false" ht="15" hidden="false" customHeight="true" outlineLevel="0" collapsed="false">
      <c r="A10" s="22" t="s">
        <v>37</v>
      </c>
      <c r="B10" s="26" t="n">
        <f aca="false">AVERAGEIFS('Raw Data'!$B$2:$B$1054,'Raw Data'!$M$2:$M$1054,"Saturday")</f>
        <v>279047.260026128</v>
      </c>
      <c r="C10" s="26" t="n">
        <f aca="false">AVERAGEIFS('Raw Data'!$D$2:$D$1054,'Raw Data'!$M$2:$M$1054,"Saturday")</f>
        <v>7937.30666666667</v>
      </c>
      <c r="D10" s="29" t="n">
        <f aca="false">AVERAGEIFS('Raw Data'!$E$2:$E$1054,'Raw Data'!$M$2:$M$1054,"Saturday")</f>
        <v>36.8576541943841</v>
      </c>
      <c r="E10" s="27" t="n">
        <f aca="false">AVERAGEIFS('Raw Data'!$H$2:$H$1054,'Raw Data'!$M$2:$M$1054,"Saturday")</f>
        <v>-0.0151412094100712</v>
      </c>
    </row>
    <row r="11" customFormat="false" ht="15" hidden="false" customHeight="true" outlineLevel="0" collapsed="false">
      <c r="A11" s="34" t="s">
        <v>38</v>
      </c>
      <c r="B11" s="25" t="n">
        <f aca="false">AVERAGEIFS('Raw Data'!$B$2:$B$1054,'Raw Data'!$M$2:$M$1054,"Sunday")</f>
        <v>138170.856900844</v>
      </c>
      <c r="C11" s="25" t="n">
        <f aca="false">AVERAGEIFS('Raw Data'!$D$2:$D$1054,'Raw Data'!$M$2:$M$1054,"Sunday")</f>
        <v>3897.1</v>
      </c>
      <c r="D11" s="28" t="n">
        <f aca="false">AVERAGEIFS('Raw Data'!$E$2:$E$1054,'Raw Data'!$M$2:$M$1054,"Sunday")</f>
        <v>37.0155033555563</v>
      </c>
      <c r="E11" s="30" t="n">
        <f aca="false">AVERAGEIFS('Raw Data'!$H$2:$H$1054,'Raw Data'!$M$2:$M$1054,"Sunday")</f>
        <v>-0.0115115828542161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19.5" hidden="false" customHeight="true" outlineLevel="0" collapsed="false">
      <c r="A1" s="18" t="s">
        <v>127</v>
      </c>
      <c r="B1" s="18"/>
      <c r="C1" s="18"/>
      <c r="D1" s="18"/>
      <c r="E1" s="18"/>
      <c r="F1" s="18"/>
    </row>
    <row r="2" customFormat="false" ht="15" hidden="false" customHeight="true" outlineLevel="0" collapsed="false">
      <c r="A2" s="19" t="s">
        <v>128</v>
      </c>
      <c r="B2" s="19"/>
      <c r="C2" s="19"/>
      <c r="D2" s="19"/>
      <c r="E2" s="19"/>
      <c r="F2" s="19"/>
    </row>
    <row r="4" customFormat="false" ht="27.75" hidden="false" customHeight="true" outlineLevel="0" collapsed="false">
      <c r="A4" s="33" t="s">
        <v>129</v>
      </c>
      <c r="B4" s="33" t="s">
        <v>130</v>
      </c>
      <c r="C4" s="33" t="s">
        <v>81</v>
      </c>
      <c r="D4" s="33" t="s">
        <v>125</v>
      </c>
      <c r="E4" s="33" t="s">
        <v>126</v>
      </c>
    </row>
    <row r="5" customFormat="false" ht="15" hidden="false" customHeight="true" outlineLevel="0" collapsed="false">
      <c r="A5" s="34" t="s">
        <v>131</v>
      </c>
      <c r="B5" s="25" t="n">
        <f aca="false">COUNTIFS('Raw Data'!$S$2:$S$1054,FALSE())</f>
        <v>925</v>
      </c>
      <c r="C5" s="28" t="n">
        <f aca="false">AVERAGEIFS('Raw Data'!$E$2:$E$1054,'Raw Data'!$S$2:$S$1054,FALSE())</f>
        <v>37.344364044423</v>
      </c>
      <c r="D5" s="25" t="n">
        <f aca="false">AVERAGEIFS('Raw Data'!$D$2:$D$1054,'Raw Data'!$S$2:$S$1054,FALSE())</f>
        <v>4634.96648648649</v>
      </c>
      <c r="E5" s="30" t="n">
        <f aca="false">AVERAGEIFS('Raw Data'!$H$2:$H$1054,'Raw Data'!$S$2:$S$1054,FALSE())</f>
        <v>0.00044409709182794</v>
      </c>
    </row>
    <row r="6" customFormat="false" ht="15" hidden="false" customHeight="true" outlineLevel="0" collapsed="false">
      <c r="A6" s="22" t="s">
        <v>132</v>
      </c>
      <c r="B6" s="26" t="n">
        <f aca="false">COUNTIFS('Raw Data'!$S$2:$S$1054,TRUE())</f>
        <v>128</v>
      </c>
      <c r="C6" s="29" t="n">
        <f aca="false">AVERAGEIFS('Raw Data'!$E$2:$E$1054,'Raw Data'!$S$2:$S$1054,TRUE())</f>
        <v>35.1107497987166</v>
      </c>
      <c r="D6" s="26" t="n">
        <f aca="false">AVERAGEIFS('Raw Data'!$D$2:$D$1054,'Raw Data'!$S$2:$S$1054,TRUE())</f>
        <v>7754.125</v>
      </c>
      <c r="E6" s="27" t="n">
        <f aca="false">AVERAGEIFS('Raw Data'!$H$2:$H$1054,'Raw Data'!$S$2:$S$1054,TRUE())</f>
        <v>-0.0751897966541103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22"/>
    <col collapsed="false" customWidth="true" hidden="false" outlineLevel="0" max="6" min="5" style="1" width="14"/>
    <col collapsed="false" customWidth="true" hidden="false" outlineLevel="0" max="7" min="7" style="1" width="10"/>
    <col collapsed="false" customWidth="true" hidden="false" outlineLevel="0" max="9" min="8" style="1" width="14"/>
    <col collapsed="false" customWidth="true" hidden="false" outlineLevel="0" max="10" min="10" style="1" width="10"/>
    <col collapsed="false" customWidth="true" hidden="false" outlineLevel="0" max="13" min="11" style="1" width="12"/>
    <col collapsed="false" customWidth="true" hidden="false" outlineLevel="0" max="15" min="15" style="1" width="12"/>
  </cols>
  <sheetData>
    <row r="1" customFormat="false" ht="19.5" hidden="false" customHeight="true" outlineLevel="0" collapsed="false">
      <c r="A1" s="18" t="s">
        <v>133</v>
      </c>
      <c r="B1" s="18"/>
      <c r="C1" s="18"/>
      <c r="D1" s="18"/>
      <c r="E1" s="18"/>
      <c r="F1" s="18"/>
      <c r="G1" s="18"/>
      <c r="H1" s="18"/>
    </row>
    <row r="2" customFormat="false" ht="15" hidden="false" customHeight="true" outlineLevel="0" collapsed="false">
      <c r="A2" s="19" t="s">
        <v>134</v>
      </c>
      <c r="B2" s="19"/>
      <c r="C2" s="19"/>
      <c r="D2" s="19"/>
      <c r="E2" s="19"/>
      <c r="F2" s="19"/>
      <c r="G2" s="19"/>
      <c r="H2" s="19"/>
    </row>
    <row r="4" customFormat="false" ht="48" hidden="false" customHeight="true" outlineLevel="0" collapsed="false">
      <c r="A4" s="35" t="s">
        <v>135</v>
      </c>
      <c r="B4" s="35" t="s">
        <v>136</v>
      </c>
      <c r="C4" s="35" t="s">
        <v>137</v>
      </c>
      <c r="D4" s="35" t="s">
        <v>138</v>
      </c>
      <c r="E4" s="35" t="s">
        <v>139</v>
      </c>
      <c r="F4" s="35" t="s">
        <v>140</v>
      </c>
      <c r="G4" s="35" t="s">
        <v>141</v>
      </c>
      <c r="H4" s="35" t="s">
        <v>142</v>
      </c>
      <c r="I4" s="35" t="s">
        <v>143</v>
      </c>
      <c r="J4" s="35" t="s">
        <v>144</v>
      </c>
      <c r="K4" s="35" t="s">
        <v>145</v>
      </c>
      <c r="L4" s="35" t="s">
        <v>146</v>
      </c>
      <c r="M4" s="35" t="s">
        <v>147</v>
      </c>
    </row>
    <row r="5" customFormat="false" ht="15" hidden="false" customHeight="true" outlineLevel="0" collapsed="false">
      <c r="A5" s="24" t="s">
        <v>148</v>
      </c>
      <c r="B5" s="36" t="n">
        <v>42514</v>
      </c>
      <c r="C5" s="36" t="n">
        <v>42524</v>
      </c>
      <c r="D5" s="37" t="str">
        <f aca="false">TEXT(O5,"yyyy-mm-dd")&amp;" to day before promo start"</f>
        <v>2016-04-24 to day before promo start</v>
      </c>
      <c r="E5" s="28" t="n">
        <f aca="false">AVERAGEIFS('Raw Data'!$E$2:$E$1054,'Raw Data'!$A$2:$A$1054,"&gt;="&amp;$O5,'Raw Data'!$A$2:$A$1054,"&lt;"&amp;$B5,'Raw Data'!$S$2:$S$1054,FALSE())</f>
        <v>38.1117645009463</v>
      </c>
      <c r="F5" s="28" t="n">
        <f aca="false">AVERAGEIFS('Raw Data'!$E$2:$E$1054,'Raw Data'!$A$2:$A$1054,"&gt;="&amp;$B5,'Raw Data'!$A$2:$A$1054,"&lt;="&amp;$C5)</f>
        <v>34.3523306308779</v>
      </c>
      <c r="G5" s="38" t="n">
        <f aca="false">(F5-E5)/E5</f>
        <v>-0.0986423462491498</v>
      </c>
      <c r="H5" s="25" t="n">
        <f aca="false">AVERAGEIFS('Raw Data'!$D$2:$D$1054,'Raw Data'!$A$2:$A$1054,"&gt;="&amp;$O5,'Raw Data'!$A$2:$A$1054,"&lt;"&amp;$B5,'Raw Data'!$S$2:$S$1054,FALSE())</f>
        <v>5203.86666666667</v>
      </c>
      <c r="I5" s="25" t="n">
        <f aca="false">AVERAGEIFS('Raw Data'!$D$2:$D$1054,'Raw Data'!$A$2:$A$1054,"&gt;="&amp;$B5,'Raw Data'!$A$2:$A$1054,"&lt;="&amp;$C5)</f>
        <v>7935.81818181818</v>
      </c>
      <c r="J5" s="38" t="n">
        <f aca="false">(I5-H5)/H5</f>
        <v>0.524984917974746</v>
      </c>
      <c r="K5" s="39" t="n">
        <f aca="false">J5/G5</f>
        <v>-5.3221049370495</v>
      </c>
      <c r="L5" s="30" t="n">
        <f aca="false">AVERAGEIFS('Raw Data'!$H$2:$H$1054,'Raw Data'!$A$2:$A$1054,"&gt;="&amp;$O5,'Raw Data'!$A$2:$A$1054,"&lt;"&amp;$B5,'Raw Data'!$S$2:$S$1054,FALSE())</f>
        <v>0.0289358265154422</v>
      </c>
      <c r="M5" s="30" t="n">
        <f aca="false">AVERAGEIFS('Raw Data'!$H$2:$H$1054,'Raw Data'!$A$2:$A$1054,"&gt;="&amp;$B5,'Raw Data'!$A$2:$A$1054,"&lt;="&amp;$C5)</f>
        <v>-0.0593673052112471</v>
      </c>
      <c r="O5" s="40" t="n">
        <v>42484</v>
      </c>
    </row>
    <row r="6" customFormat="false" ht="15" hidden="false" customHeight="true" outlineLevel="0" collapsed="false">
      <c r="A6" s="21" t="s">
        <v>149</v>
      </c>
      <c r="B6" s="41" t="n">
        <v>42270</v>
      </c>
      <c r="C6" s="41" t="n">
        <v>42279</v>
      </c>
      <c r="D6" s="42" t="str">
        <f aca="false">TEXT(O6,"yyyy-mm-dd")&amp;" to day before promo start"</f>
        <v>2015-08-24 to day before promo start</v>
      </c>
      <c r="E6" s="29" t="n">
        <f aca="false">AVERAGEIFS('Raw Data'!$E$2:$E$1054,'Raw Data'!$A$2:$A$1054,"&gt;="&amp;$O6,'Raw Data'!$A$2:$A$1054,"&lt;"&amp;$B6,'Raw Data'!$S$2:$S$1054,FALSE())</f>
        <v>37.9482211828595</v>
      </c>
      <c r="F6" s="29" t="n">
        <f aca="false">AVERAGEIFS('Raw Data'!$E$2:$E$1054,'Raw Data'!$A$2:$A$1054,"&gt;="&amp;$B6,'Raw Data'!$A$2:$A$1054,"&lt;="&amp;$C6)</f>
        <v>33.4046469425501</v>
      </c>
      <c r="G6" s="43" t="n">
        <f aca="false">(F6-E6)/E6</f>
        <v>-0.119730888528751</v>
      </c>
      <c r="H6" s="26" t="n">
        <f aca="false">AVERAGEIFS('Raw Data'!$D$2:$D$1054,'Raw Data'!$A$2:$A$1054,"&gt;="&amp;$O6,'Raw Data'!$A$2:$A$1054,"&lt;"&amp;$B6,'Raw Data'!$S$2:$S$1054,FALSE())</f>
        <v>2887.38095238095</v>
      </c>
      <c r="I6" s="26" t="n">
        <f aca="false">AVERAGEIFS('Raw Data'!$D$2:$D$1054,'Raw Data'!$A$2:$A$1054,"&gt;="&amp;$B6,'Raw Data'!$A$2:$A$1054,"&lt;="&amp;$C6)</f>
        <v>7819.4</v>
      </c>
      <c r="J6" s="43" t="n">
        <f aca="false">(I6-H6)/H6</f>
        <v>1.70812896841758</v>
      </c>
      <c r="K6" s="44" t="n">
        <f aca="false">J6/G6</f>
        <v>-14.2664018400515</v>
      </c>
      <c r="L6" s="27" t="n">
        <f aca="false">AVERAGEIFS('Raw Data'!$H$2:$H$1054,'Raw Data'!$A$2:$A$1054,"&gt;="&amp;$O6,'Raw Data'!$A$2:$A$1054,"&lt;"&amp;$B6,'Raw Data'!$S$2:$S$1054,FALSE())</f>
        <v>0.0202009614611144</v>
      </c>
      <c r="M6" s="27" t="n">
        <f aca="false">AVERAGEIFS('Raw Data'!$H$2:$H$1054,'Raw Data'!$A$2:$A$1054,"&gt;="&amp;$B6,'Raw Data'!$A$2:$A$1054,"&lt;="&amp;$C6)</f>
        <v>-0.130836129045348</v>
      </c>
      <c r="O6" s="40" t="n">
        <v>42240</v>
      </c>
    </row>
    <row r="7" customFormat="false" ht="15" hidden="false" customHeight="true" outlineLevel="0" collapsed="false">
      <c r="A7" s="24" t="s">
        <v>150</v>
      </c>
      <c r="B7" s="36" t="n">
        <v>42391</v>
      </c>
      <c r="C7" s="36" t="n">
        <v>42399</v>
      </c>
      <c r="D7" s="37" t="str">
        <f aca="false">TEXT(O7,"yyyy-mm-dd")&amp;" to day before promo start"</f>
        <v>2015-12-23 to day before promo start</v>
      </c>
      <c r="E7" s="28" t="n">
        <f aca="false">AVERAGEIFS('Raw Data'!$E$2:$E$1054,'Raw Data'!$A$2:$A$1054,"&gt;="&amp;$O7,'Raw Data'!$A$2:$A$1054,"&lt;"&amp;$B7,'Raw Data'!$S$2:$S$1054,FALSE())</f>
        <v>40.1561232240617</v>
      </c>
      <c r="F7" s="28" t="n">
        <f aca="false">AVERAGEIFS('Raw Data'!$E$2:$E$1054,'Raw Data'!$A$2:$A$1054,"&gt;="&amp;$B7,'Raw Data'!$A$2:$A$1054,"&lt;="&amp;$C7)</f>
        <v>34.0569160624596</v>
      </c>
      <c r="G7" s="38" t="n">
        <f aca="false">(F7-E7)/E7</f>
        <v>-0.151887350468818</v>
      </c>
      <c r="H7" s="25" t="n">
        <f aca="false">AVERAGEIFS('Raw Data'!$D$2:$D$1054,'Raw Data'!$A$2:$A$1054,"&gt;="&amp;$O7,'Raw Data'!$A$2:$A$1054,"&lt;"&amp;$B7,'Raw Data'!$S$2:$S$1054,FALSE())</f>
        <v>3268.96</v>
      </c>
      <c r="I7" s="25" t="n">
        <f aca="false">AVERAGEIFS('Raw Data'!$D$2:$D$1054,'Raw Data'!$A$2:$A$1054,"&gt;="&amp;$B7,'Raw Data'!$A$2:$A$1054,"&lt;="&amp;$C7)</f>
        <v>8096.66666666667</v>
      </c>
      <c r="J7" s="38" t="n">
        <f aca="false">(I7-H7)/H7</f>
        <v>1.47683259099734</v>
      </c>
      <c r="K7" s="39" t="n">
        <f aca="false">J7/G7</f>
        <v>-9.72320990812552</v>
      </c>
      <c r="L7" s="30" t="n">
        <f aca="false">AVERAGEIFS('Raw Data'!$H$2:$H$1054,'Raw Data'!$A$2:$A$1054,"&gt;="&amp;$O7,'Raw Data'!$A$2:$A$1054,"&lt;"&amp;$B7,'Raw Data'!$S$2:$S$1054,FALSE())</f>
        <v>0.0461404199983799</v>
      </c>
      <c r="M7" s="30" t="n">
        <f aca="false">AVERAGEIFS('Raw Data'!$H$2:$H$1054,'Raw Data'!$A$2:$A$1054,"&gt;="&amp;$B7,'Raw Data'!$A$2:$A$1054,"&lt;="&amp;$C7)</f>
        <v>-0.0910846537962969</v>
      </c>
      <c r="O7" s="40" t="n">
        <v>42361</v>
      </c>
    </row>
    <row r="10" customFormat="false" ht="15" hidden="false" customHeight="true" outlineLevel="0" collapsed="false">
      <c r="A10" s="45" t="s">
        <v>151</v>
      </c>
      <c r="B10" s="45"/>
      <c r="C10" s="45"/>
      <c r="D10" s="45"/>
      <c r="E10" s="45"/>
      <c r="F10" s="45"/>
      <c r="G10" s="45"/>
      <c r="H10" s="45"/>
    </row>
    <row r="11" customFormat="false" ht="15" hidden="false" customHeight="true" outlineLevel="0" collapsed="false">
      <c r="A11" s="10" t="s">
        <v>152</v>
      </c>
      <c r="B11" s="10"/>
      <c r="C11" s="10"/>
      <c r="D11" s="10"/>
      <c r="E11" s="10"/>
      <c r="F11" s="10"/>
      <c r="G11" s="10"/>
      <c r="H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</row>
  </sheetData>
  <mergeCells count="4">
    <mergeCell ref="A1:H1"/>
    <mergeCell ref="A2:H2"/>
    <mergeCell ref="A10:H10"/>
    <mergeCell ref="A11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2026-07-26T11:25:51Z</dcterms:created>
  <dc:creator>openpyxl</dc:creator>
  <dc:description/>
  <dc:language>en-US</dc:language>
  <cp:lastModifiedBy/>
  <dcterms:modified xsi:type="dcterms:W3CDTF">2026-07-26T11:33:56Z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